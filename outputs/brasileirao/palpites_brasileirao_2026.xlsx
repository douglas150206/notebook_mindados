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ício" sheetId="1" state="visible" r:id="rId3"/>
    <sheet name="Palpites" sheetId="2" state="visible" r:id="rId4"/>
    <sheet name="Rodadas" sheetId="3" state="visible" r:id="rId5"/>
    <sheet name="Melhores Palpites" sheetId="4" state="visible" r:id="rId6"/>
    <sheet name="Bilhetes" sheetId="5" state="visible" r:id="rId7"/>
    <sheet name="Resultado 1X2" sheetId="6" state="visible" r:id="rId8"/>
    <sheet name="Gols" sheetId="7" state="visible" r:id="rId9"/>
    <sheet name="Multi-Gols" sheetId="8" state="visible" r:id="rId10"/>
    <sheet name="Ambas Marcam" sheetId="9" state="visible" r:id="rId11"/>
    <sheet name="Escanteios" sheetId="10" state="visible" r:id="rId12"/>
    <sheet name="Cartões" sheetId="11" state="visible" r:id="rId13"/>
    <sheet name="Dados" sheetId="12" state="hidden" r:id="rId14"/>
    <sheet name="Calculadora" sheetId="13" state="visible" r:id="rId15"/>
    <sheet name="Confiabilidade" sheetId="14" state="visible" r:id="rId16"/>
    <sheet name="Times" sheetId="15" state="visible" r:id="rId17"/>
  </sheets>
  <definedNames>
    <definedName function="false" hidden="true" localSheetId="8" name="_xlnm._FilterDatabase" vbProcedure="false">'Ambas Marcam'!$A$5:$L$108</definedName>
    <definedName function="false" hidden="true" localSheetId="4" name="_xlnm._FilterDatabase" vbProcedure="false">Bilhetes!$A$18:$O$329</definedName>
    <definedName function="false" hidden="true" localSheetId="10" name="_xlnm._FilterDatabase" vbProcedure="false">Cartões!$A$5:$Q$108</definedName>
    <definedName function="false" hidden="true" localSheetId="13" name="_xlnm._FilterDatabase" vbProcedure="false">Confiabilidade!$A$5:$G$38</definedName>
    <definedName function="false" hidden="true" localSheetId="9" name="_xlnm._FilterDatabase" vbProcedure="false">Escanteios!$A$5:$S$108</definedName>
    <definedName function="false" hidden="true" localSheetId="6" name="_xlnm._FilterDatabase" vbProcedure="false">Gols!$A$5:$S$108</definedName>
    <definedName function="false" hidden="true" localSheetId="3" name="_xlnm._FilterDatabase" vbProcedure="false">'Melhores Palpites'!$A$5:$O$108</definedName>
    <definedName function="false" hidden="true" localSheetId="7" name="_xlnm._FilterDatabase" vbProcedure="false">'Multi-Gols'!$A$5:$AB$108</definedName>
    <definedName function="false" hidden="true" localSheetId="1" name="_xlnm._FilterDatabase" vbProcedure="false">Palpites!$A$5:$W$108</definedName>
    <definedName function="false" hidden="true" localSheetId="5" name="_xlnm._FilterDatabase" vbProcedure="false">'Resultado 1X2'!$A$5:$P$108</definedName>
    <definedName function="false" hidden="true" localSheetId="2" name="_xlnm._FilterDatabase" vbProcedure="false">Rodadas!$A$23:$T$126</definedName>
    <definedName function="false" hidden="false" name="Lista_Mercados" vbProcedure="false">Dados!$B$1:$Y$1</definedName>
    <definedName function="false" hidden="false" name="Lista_Partidas" vbProcedure="false">Dados!$A$2:$A$104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<sst xmlns="http://schemas.openxmlformats.org/spreadsheetml/2006/main" count="4771" uniqueCount="420">
  <si>
    <t xml:space="preserve">BRASILEIRÃO SÉRIE A 2026</t>
  </si>
  <si>
    <t xml:space="preserve">Previsões de gols, resultados, escanteios e cartões — com a odd justa de cada mercado</t>
  </si>
  <si>
    <t xml:space="preserve">PARTIDAS RESTANTES</t>
  </si>
  <si>
    <t xml:space="preserve">RODADAS RESTANTES</t>
  </si>
  <si>
    <t xml:space="preserve">LÍDER</t>
  </si>
  <si>
    <t xml:space="preserve">DADOS ATÉ</t>
  </si>
  <si>
    <t xml:space="preserve">103</t>
  </si>
  <si>
    <t xml:space="preserve">11</t>
  </si>
  <si>
    <t xml:space="preserve">Flamengo RJ</t>
  </si>
  <si>
    <t xml:space="preserve">20/09/2026</t>
  </si>
  <si>
    <t xml:space="preserve">de 380 no campeonato</t>
  </si>
  <si>
    <t xml:space="preserve">da 21 à 38</t>
  </si>
  <si>
    <t xml:space="preserve">60 pontos</t>
  </si>
  <si>
    <t xml:space="preserve">277 partidas disputadas</t>
  </si>
  <si>
    <t xml:space="preserve">POR ONDE COMEÇAR</t>
  </si>
  <si>
    <t xml:space="preserve">Palpites</t>
  </si>
  <si>
    <t xml:space="preserve">Todas as 103 partidas numa tela, com probabilidade e odd justa.</t>
  </si>
  <si>
    <t xml:space="preserve">Rodadas</t>
  </si>
  <si>
    <t xml:space="preserve">As mesmas previsões no calendário oficial: resumo por rodada e jogo a jogo.</t>
  </si>
  <si>
    <t xml:space="preserve">Melhores Palpites</t>
  </si>
  <si>
    <t xml:space="preserve">Os palpites mais prováveis de cada rodada, um por partida.</t>
  </si>
  <si>
    <t xml:space="preserve">Bilhetes</t>
  </si>
  <si>
    <t xml:space="preserve">Múltiplas pré-montadas, do mais seguro ao de odd mais alta — com o retorno esperado de cada uma.</t>
  </si>
  <si>
    <t xml:space="preserve">Calculadora</t>
  </si>
  <si>
    <t xml:space="preserve">Escolha a partida e o mercado, digite a cotação da casa e veja se compensa.</t>
  </si>
  <si>
    <t xml:space="preserve">Resultado 1X2</t>
  </si>
  <si>
    <t xml:space="preserve">Vitória, empate, derrota e dupla chance, com as odds justas.</t>
  </si>
  <si>
    <t xml:space="preserve">Gols</t>
  </si>
  <si>
    <t xml:space="preserve">Mais/menos de 0,5 a 4,5 gols e o placar mais provável.</t>
  </si>
  <si>
    <t xml:space="preserve">Multi-Gols</t>
  </si>
  <si>
    <t xml:space="preserve">Chance de o total de gols cair em cada faixa.</t>
  </si>
  <si>
    <t xml:space="preserve">Ambas Marcam</t>
  </si>
  <si>
    <t xml:space="preserve">Ambas marcam sim/não e a chance de cada equipe marcar.</t>
  </si>
  <si>
    <t xml:space="preserve">Escanteios</t>
  </si>
  <si>
    <t xml:space="preserve">Escanteios esperados e linhas de mais/menos.</t>
  </si>
  <si>
    <t xml:space="preserve">Cartões</t>
  </si>
  <si>
    <t xml:space="preserve">Cartões esperados e linhas de mais/menos.</t>
  </si>
  <si>
    <t xml:space="preserve">Confiabilidade</t>
  </si>
  <si>
    <t xml:space="preserve">Quanto cada mercado errou em teste fora da amostra.</t>
  </si>
  <si>
    <t xml:space="preserve">Times</t>
  </si>
  <si>
    <t xml:space="preserve">Força de ataque e defesa de cada clube.</t>
  </si>
  <si>
    <t xml:space="preserve">COMO LER A ODD JUSTA</t>
  </si>
  <si>
    <t xml:space="preserve">•   A odd justa é 1 dividido pela probabilidade: o preço de equilíbrio daquele palpite.</t>
  </si>
  <si>
    <t xml:space="preserve">•   Casa paga ACIMA da odd justa  →  a aposta tem valor esperado positivo.</t>
  </si>
  <si>
    <t xml:space="preserve">•   Casa paga ABAIXO da odd justa  →  valor esperado negativo, mesmo que o palpite acerte muito.</t>
  </si>
  <si>
    <t xml:space="preserve">•   A cotação não muda a chance de acertar. Muda só o quanto se recebe por acertar.</t>
  </si>
  <si>
    <t xml:space="preserve">CONFIANÇA DE CADA FAMÍLIA</t>
  </si>
  <si>
    <t xml:space="preserve">ALTA</t>
  </si>
  <si>
    <t xml:space="preserve">Resultado, gols e multi-gols</t>
  </si>
  <si>
    <t xml:space="preserve">Poisson com Dixon-Coles, ajustado com todas as partidas até a rodada mais recente de 2026 e testado em 4.076 partidas fora da amostra.</t>
  </si>
  <si>
    <t xml:space="preserve">MÉDIA</t>
  </si>
  <si>
    <t xml:space="preserve">Escanteios e cartões</t>
  </si>
  <si>
    <t xml:space="preserve">Base própria de estatísticas cobrindo 2015 a 2026, com os 20 clubes. Viés fora da amostra de 1 a 2 p.p., mas oscila cerca de ±5 p.p. entre temporadas.</t>
  </si>
  <si>
    <t xml:space="preserve">Ambas as equipes marcam</t>
  </si>
  <si>
    <t xml:space="preserve">O modelo supõe gols independentes e subestima este mercado em cerca de 4 pontos percentuais. Some o viés antes de usar.</t>
  </si>
  <si>
    <t xml:space="preserve">AVISO</t>
  </si>
  <si>
    <t xml:space="preserve">Isto é um trabalho de análise de dados, não um sistema de apostas. A própria análise deste projeto mostrou que o retorno esperado é negativo em todas as faixas de cotação do Brasileirão, e que apostar só onde o modelo enxerga vantagem piora o resultado. O mercado acerta mais que este modelo: 51,3% contra 48,9% no 1X2.</t>
  </si>
  <si>
    <t xml:space="preserve">Gols e cotações: Football-Data.co.uk. Escanteios, cartões e calendário: datalake leeofernandes1980/brasileirao-dataset (2015-2026). Os 277 resultados já disputados de 2026 batem entre as duas bases.</t>
  </si>
  <si>
    <t xml:space="preserve">PALPITES — TODAS AS PARTIDAS</t>
  </si>
  <si>
    <t xml:space="preserve">103 jogos restantes, na ordem do calendário. Use os filtros do cabeçalho. Ao lado de cada probabilidade está a odd justa: se a casa paga mais que ela, a aposta tem valor.</t>
  </si>
  <si>
    <t xml:space="preserve">JOGO</t>
  </si>
  <si>
    <t xml:space="preserve">RESULTADO</t>
  </si>
  <si>
    <t xml:space="preserve">GOLS</t>
  </si>
  <si>
    <t xml:space="preserve">AMBAS</t>
  </si>
  <si>
    <t xml:space="preserve">ESC.</t>
  </si>
  <si>
    <t xml:space="preserve">CART.</t>
  </si>
  <si>
    <t xml:space="preserve">PALPITE MAIS SEGURO</t>
  </si>
  <si>
    <t xml:space="preserve">Rodada</t>
  </si>
  <si>
    <t xml:space="preserve">Data</t>
  </si>
  <si>
    <t xml:space="preserve">Mandante</t>
  </si>
  <si>
    <t xml:space="preserve">Visitante</t>
  </si>
  <si>
    <t xml:space="preserve">Palpite</t>
  </si>
  <si>
    <t xml:space="preserve">Placar</t>
  </si>
  <si>
    <t xml:space="preserve">Placar %</t>
  </si>
  <si>
    <t xml:space="preserve">Casa</t>
  </si>
  <si>
    <t xml:space="preserve">Odd</t>
  </si>
  <si>
    <t xml:space="preserve">Empate</t>
  </si>
  <si>
    <t xml:space="preserve">Fora</t>
  </si>
  <si>
    <t xml:space="preserve">Gols esp.</t>
  </si>
  <si>
    <t xml:space="preserve">+2,5</t>
  </si>
  <si>
    <t xml:space="preserve">Sim</t>
  </si>
  <si>
    <t xml:space="preserve">Aposta</t>
  </si>
  <si>
    <t xml:space="preserve">Chance</t>
  </si>
  <si>
    <t xml:space="preserve">Chapecoense-SC</t>
  </si>
  <si>
    <t xml:space="preserve">Vasco</t>
  </si>
  <si>
    <t xml:space="preserve">1-1</t>
  </si>
  <si>
    <t xml:space="preserve">Multi-gols 1-4</t>
  </si>
  <si>
    <t xml:space="preserve">Sao Paulo</t>
  </si>
  <si>
    <t xml:space="preserve">Santos</t>
  </si>
  <si>
    <t xml:space="preserve">1-0</t>
  </si>
  <si>
    <t xml:space="preserve">Atletico-MG</t>
  </si>
  <si>
    <t xml:space="preserve">Bragantino</t>
  </si>
  <si>
    <t xml:space="preserve">Athletico-PR</t>
  </si>
  <si>
    <t xml:space="preserve">Botafogo RJ</t>
  </si>
  <si>
    <t xml:space="preserve">Casa ou empate (1X)</t>
  </si>
  <si>
    <t xml:space="preserve">Mirassol</t>
  </si>
  <si>
    <t xml:space="preserve">Cruzeiro</t>
  </si>
  <si>
    <t xml:space="preserve">Menos de 3,5 gols</t>
  </si>
  <si>
    <t xml:space="preserve">Fluminense</t>
  </si>
  <si>
    <t xml:space="preserve">Coritiba</t>
  </si>
  <si>
    <t xml:space="preserve">Internacional</t>
  </si>
  <si>
    <t xml:space="preserve">Corinthians</t>
  </si>
  <si>
    <t xml:space="preserve">Palmeiras</t>
  </si>
  <si>
    <t xml:space="preserve">Bahia</t>
  </si>
  <si>
    <t xml:space="preserve">Remo</t>
  </si>
  <si>
    <t xml:space="preserve">Gremio</t>
  </si>
  <si>
    <t xml:space="preserve">Vitoria</t>
  </si>
  <si>
    <t xml:space="preserve">Mais de 1,5 gols</t>
  </si>
  <si>
    <t xml:space="preserve">2-0</t>
  </si>
  <si>
    <t xml:space="preserve">0-1</t>
  </si>
  <si>
    <t xml:space="preserve">Empate ou fora (X2)</t>
  </si>
  <si>
    <t xml:space="preserve">Odd justa = 1 / probabilidade. 'Placar %' é a chance do placar exato mostrado ao lado. Escanteios e cartões são o total esperado da partida (confiança média — ver aba Início).</t>
  </si>
  <si>
    <t xml:space="preserve">PREVISÕES RODADA A RODADA</t>
  </si>
  <si>
    <t xml:space="preserve">103 partidas em 11 rodadas. Jogos marcados como ADIADO estão na rodada original e a data já passou: vale a rodada, não a data.</t>
  </si>
  <si>
    <t xml:space="preserve">RESUMO POR RODADA</t>
  </si>
  <si>
    <t xml:space="preserve">RODADA</t>
  </si>
  <si>
    <t xml:space="preserve">MÉDIAS DA RODADA</t>
  </si>
  <si>
    <t xml:space="preserve">Jogos</t>
  </si>
  <si>
    <t xml:space="preserve">De</t>
  </si>
  <si>
    <t xml:space="preserve">Até</t>
  </si>
  <si>
    <t xml:space="preserve">Ambas</t>
  </si>
  <si>
    <t xml:space="preserve">TODAS</t>
  </si>
  <si>
    <t xml:space="preserve">JOGO A JOGO</t>
  </si>
  <si>
    <t xml:space="preserve">Situação</t>
  </si>
  <si>
    <t xml:space="preserve">Odd fav.</t>
  </si>
  <si>
    <t xml:space="preserve">adiado</t>
  </si>
  <si>
    <t xml:space="preserve">programado</t>
  </si>
  <si>
    <t xml:space="preserve">'Odd fav.' é a odd justa do desfecho mais provável da partida.</t>
  </si>
  <si>
    <t xml:space="preserve">MELHORES PALPITES DE CADA RODADA</t>
  </si>
  <si>
    <t xml:space="preserve">Quatro sugestões por partida: a mais provável e uma em cada faixa de odd. Como a odd justa é 1/probabilidade, o palpite mais seguro é sempre o que menos paga — por isso a vitrine é separada por risco.</t>
  </si>
  <si>
    <t xml:space="preserve">PARTIDA</t>
  </si>
  <si>
    <t xml:space="preserve">MAIS SEGURO</t>
  </si>
  <si>
    <t xml:space="preserve">ODD ~1,5</t>
  </si>
  <si>
    <t xml:space="preserve">ODD ~2,0</t>
  </si>
  <si>
    <t xml:space="preserve">ODD ~3,0</t>
  </si>
  <si>
    <t xml:space="preserve">Partida</t>
  </si>
  <si>
    <t xml:space="preserve">Mercado</t>
  </si>
  <si>
    <t xml:space="preserve">Prob.</t>
  </si>
  <si>
    <t xml:space="preserve">Odd justa</t>
  </si>
  <si>
    <t xml:space="preserve">Chapecoense-SC x Vasco</t>
  </si>
  <si>
    <t xml:space="preserve">Mais de 0,5 gol</t>
  </si>
  <si>
    <t xml:space="preserve">Multi-gols 0-3</t>
  </si>
  <si>
    <t xml:space="preserve">Multi-gols 3-6</t>
  </si>
  <si>
    <t xml:space="preserve">Vitória do mandante</t>
  </si>
  <si>
    <t xml:space="preserve">Sao Paulo x Santos</t>
  </si>
  <si>
    <t xml:space="preserve">Multi-gols 2-5</t>
  </si>
  <si>
    <t xml:space="preserve">Multi-gols 3-4</t>
  </si>
  <si>
    <t xml:space="preserve">Atletico-MG x Bragantino</t>
  </si>
  <si>
    <t xml:space="preserve">Athletico-PR x Atletico-MG</t>
  </si>
  <si>
    <t xml:space="preserve">Mais de 8,5 escanteios</t>
  </si>
  <si>
    <t xml:space="preserve">Multi-gols 1-2</t>
  </si>
  <si>
    <t xml:space="preserve">Botafogo RJ x Vasco</t>
  </si>
  <si>
    <t xml:space="preserve">Mais de 3,5 gols</t>
  </si>
  <si>
    <t xml:space="preserve">Bragantino x Mirassol</t>
  </si>
  <si>
    <t xml:space="preserve">Multi-gols 1-3</t>
  </si>
  <si>
    <t xml:space="preserve">Menos de 2,5 gols</t>
  </si>
  <si>
    <t xml:space="preserve">Vitória do visitante</t>
  </si>
  <si>
    <t xml:space="preserve">Cruzeiro x Sao Paulo</t>
  </si>
  <si>
    <t xml:space="preserve">Mais de 5,5 cartões</t>
  </si>
  <si>
    <t xml:space="preserve">Multi-gols 3-5</t>
  </si>
  <si>
    <t xml:space="preserve">Fluminense x Coritiba</t>
  </si>
  <si>
    <t xml:space="preserve">Ambas marcam - NÃO</t>
  </si>
  <si>
    <t xml:space="preserve">Internacional x Corinthians</t>
  </si>
  <si>
    <t xml:space="preserve">Mais de 9,5 escanteios</t>
  </si>
  <si>
    <t xml:space="preserve">Multi-gols 0-1</t>
  </si>
  <si>
    <t xml:space="preserve">Palmeiras x Bahia</t>
  </si>
  <si>
    <t xml:space="preserve">Remo x Gremio</t>
  </si>
  <si>
    <t xml:space="preserve">Santos x Flamengo RJ</t>
  </si>
  <si>
    <t xml:space="preserve">Mais de 2,5 gols</t>
  </si>
  <si>
    <t xml:space="preserve">Vitoria x Chapecoense-SC</t>
  </si>
  <si>
    <t xml:space="preserve">Mais de 10,5 escanteios</t>
  </si>
  <si>
    <t xml:space="preserve">Atletico-MG x Santos</t>
  </si>
  <si>
    <t xml:space="preserve">Bahia x Mirassol</t>
  </si>
  <si>
    <t xml:space="preserve">Bragantino x Cruzeiro</t>
  </si>
  <si>
    <t xml:space="preserve">Chapecoense-SC x Athletico-PR</t>
  </si>
  <si>
    <t xml:space="preserve">Ambas marcam - SIM</t>
  </si>
  <si>
    <t xml:space="preserve">Coritiba x Botafogo RJ</t>
  </si>
  <si>
    <t xml:space="preserve">Flamengo RJ x Fluminense</t>
  </si>
  <si>
    <t xml:space="preserve">Gremio x Internacional</t>
  </si>
  <si>
    <t xml:space="preserve">Palmeiras x Corinthians</t>
  </si>
  <si>
    <t xml:space="preserve">Sao Paulo x Vitoria</t>
  </si>
  <si>
    <t xml:space="preserve">Vasco x Remo</t>
  </si>
  <si>
    <t xml:space="preserve">Athletico-PR x Palmeiras</t>
  </si>
  <si>
    <t xml:space="preserve">Atletico-MG x Coritiba</t>
  </si>
  <si>
    <t xml:space="preserve">Bahia x Flamengo RJ</t>
  </si>
  <si>
    <t xml:space="preserve">Botafogo RJ x Chapecoense-SC</t>
  </si>
  <si>
    <t xml:space="preserve">Corinthians x Vitoria</t>
  </si>
  <si>
    <t xml:space="preserve">Fluminense x Santos</t>
  </si>
  <si>
    <t xml:space="preserve">Mais de 4,5 cartões</t>
  </si>
  <si>
    <t xml:space="preserve">Gremio x Cruzeiro</t>
  </si>
  <si>
    <t xml:space="preserve">Mirassol x Internacional</t>
  </si>
  <si>
    <t xml:space="preserve">Remo x Bragantino</t>
  </si>
  <si>
    <t xml:space="preserve">Sao Paulo x Vasco</t>
  </si>
  <si>
    <t xml:space="preserve">Chapecoense-SC x Fluminense</t>
  </si>
  <si>
    <t xml:space="preserve">Coritiba x Gremio</t>
  </si>
  <si>
    <t xml:space="preserve">Cruzeiro x Remo</t>
  </si>
  <si>
    <t xml:space="preserve">Mais de 3,5 cartões</t>
  </si>
  <si>
    <t xml:space="preserve">Flamengo RJ x Atletico-MG</t>
  </si>
  <si>
    <t xml:space="preserve">Internacional x Botafogo RJ</t>
  </si>
  <si>
    <t xml:space="preserve">Mirassol x Sao Paulo</t>
  </si>
  <si>
    <t xml:space="preserve">Palmeiras x Bragantino</t>
  </si>
  <si>
    <t xml:space="preserve">Santos x Bahia</t>
  </si>
  <si>
    <t xml:space="preserve">Vasco x Corinthians</t>
  </si>
  <si>
    <t xml:space="preserve">Vitoria x Athletico-PR</t>
  </si>
  <si>
    <t xml:space="preserve">Atletico-MG x Cruzeiro</t>
  </si>
  <si>
    <t xml:space="preserve">Bahia x Sao Paulo</t>
  </si>
  <si>
    <t xml:space="preserve">Bragantino x Chapecoense-SC</t>
  </si>
  <si>
    <t xml:space="preserve">Corinthians x Mirassol</t>
  </si>
  <si>
    <t xml:space="preserve">Coritiba x Vitoria</t>
  </si>
  <si>
    <t xml:space="preserve">Fluminense x Internacional</t>
  </si>
  <si>
    <t xml:space="preserve">Gremio x Athletico-PR</t>
  </si>
  <si>
    <t xml:space="preserve">Remo x Botafogo RJ</t>
  </si>
  <si>
    <t xml:space="preserve">Santos x Palmeiras</t>
  </si>
  <si>
    <t xml:space="preserve">Vasco x Flamengo RJ</t>
  </si>
  <si>
    <t xml:space="preserve">Athletico-PR x Vasco</t>
  </si>
  <si>
    <t xml:space="preserve">Botafogo RJ x Atletico-MG</t>
  </si>
  <si>
    <t xml:space="preserve">Bragantino x Santos</t>
  </si>
  <si>
    <t xml:space="preserve">Chapecoense-SC x Mirassol</t>
  </si>
  <si>
    <t xml:space="preserve">Cruzeiro x Bahia</t>
  </si>
  <si>
    <t xml:space="preserve">Flamengo RJ x Gremio</t>
  </si>
  <si>
    <t xml:space="preserve">Internacional x Coritiba</t>
  </si>
  <si>
    <t xml:space="preserve">Palmeiras x Remo</t>
  </si>
  <si>
    <t xml:space="preserve">Sao Paulo x Corinthians</t>
  </si>
  <si>
    <t xml:space="preserve">Vitoria x Fluminense</t>
  </si>
  <si>
    <t xml:space="preserve">Corinthians x Botafogo RJ</t>
  </si>
  <si>
    <t xml:space="preserve">Coritiba x Santos</t>
  </si>
  <si>
    <t xml:space="preserve">Cruzeiro x Palmeiras</t>
  </si>
  <si>
    <t xml:space="preserve">Flamengo RJ x Athletico-PR</t>
  </si>
  <si>
    <t xml:space="preserve">Gremio x Bahia</t>
  </si>
  <si>
    <t xml:space="preserve">Mirassol x Atletico-MG</t>
  </si>
  <si>
    <t xml:space="preserve">Remo x Chapecoense-SC</t>
  </si>
  <si>
    <t xml:space="preserve">Sao Paulo x Fluminense</t>
  </si>
  <si>
    <t xml:space="preserve">Vasco x Internacional</t>
  </si>
  <si>
    <t xml:space="preserve">Vitoria x Bragantino</t>
  </si>
  <si>
    <t xml:space="preserve">Athletico-PR x Remo</t>
  </si>
  <si>
    <t xml:space="preserve">Atletico-MG x Corinthians</t>
  </si>
  <si>
    <t xml:space="preserve">Bahia x Coritiba</t>
  </si>
  <si>
    <t xml:space="preserve">Botafogo RJ x Sao Paulo</t>
  </si>
  <si>
    <t xml:space="preserve">Bragantino x Vasco</t>
  </si>
  <si>
    <t xml:space="preserve">Chapecoense-SC x Cruzeiro</t>
  </si>
  <si>
    <t xml:space="preserve">Fluminense x Mirassol</t>
  </si>
  <si>
    <t xml:space="preserve">Internacional x Vitoria</t>
  </si>
  <si>
    <t xml:space="preserve">Palmeiras x Flamengo RJ</t>
  </si>
  <si>
    <t xml:space="preserve">Santos x Gremio</t>
  </si>
  <si>
    <t xml:space="preserve">Atletico-MG x Vasco</t>
  </si>
  <si>
    <t xml:space="preserve">Botafogo RJ x Bahia</t>
  </si>
  <si>
    <t xml:space="preserve">Chapecoense-SC x Palmeiras</t>
  </si>
  <si>
    <t xml:space="preserve">Corinthians x Gremio</t>
  </si>
  <si>
    <t xml:space="preserve">Coritiba x Flamengo RJ</t>
  </si>
  <si>
    <t xml:space="preserve">Fluminense x Cruzeiro</t>
  </si>
  <si>
    <t xml:space="preserve">Internacional x Bragantino</t>
  </si>
  <si>
    <t xml:space="preserve">Mirassol x Athletico-PR</t>
  </si>
  <si>
    <t xml:space="preserve">Sao Paulo x Remo</t>
  </si>
  <si>
    <t xml:space="preserve">Vitoria x Santos</t>
  </si>
  <si>
    <t xml:space="preserve">Athletico-PR x Sao Paulo</t>
  </si>
  <si>
    <t xml:space="preserve">Bahia x Atletico-MG</t>
  </si>
  <si>
    <t xml:space="preserve">Bragantino x Fluminense</t>
  </si>
  <si>
    <t xml:space="preserve">Cruzeiro x Internacional</t>
  </si>
  <si>
    <t xml:space="preserve">Flamengo RJ x Chapecoense-SC</t>
  </si>
  <si>
    <t xml:space="preserve">Multi-gols 0-2</t>
  </si>
  <si>
    <t xml:space="preserve">Gremio x Mirassol</t>
  </si>
  <si>
    <t xml:space="preserve">Palmeiras x Coritiba</t>
  </si>
  <si>
    <t xml:space="preserve">Remo x Corinthians</t>
  </si>
  <si>
    <t xml:space="preserve">Santos x Botafogo RJ</t>
  </si>
  <si>
    <t xml:space="preserve">Vasco x Vitoria</t>
  </si>
  <si>
    <t xml:space="preserve">Cada coluna traz um mercado diferente: o mesmo palpite não se repete entre as faixas da mesma partida. 'Mais seguro' costuma cair em mercados de odd baixa, que pagam pouco justamente por serem prováveis.</t>
  </si>
  <si>
    <t xml:space="preserve">BILHETES PRÉ-MONTADOS</t>
  </si>
  <si>
    <t xml:space="preserve">Uma escada por rodada, do bilhete mais seguro ao de odd mais alta. Todas as pernas vêm de partidas diferentes. Filtre pela rodada ou pelo perfil do bilhete.</t>
  </si>
  <si>
    <t xml:space="preserve">O QUE ACONTECE QUANDO SE EMPILHA PERNA</t>
  </si>
  <si>
    <t xml:space="preserve">A margem medida no Brasileirão é de 7.0% por mercado. Numa múltipla ela incide uma vez por perna, então o retorno esperado piora a cada perna adicionada — independentemente de quais jogos entrem.</t>
  </si>
  <si>
    <t xml:space="preserve">PERNAS</t>
  </si>
  <si>
    <t xml:space="preserve">RETORNO ESPERADO</t>
  </si>
  <si>
    <t xml:space="preserve">OS BILHETES</t>
  </si>
  <si>
    <t xml:space="preserve">BILHETE</t>
  </si>
  <si>
    <t xml:space="preserve">O BILHETE INTEIRO</t>
  </si>
  <si>
    <t xml:space="preserve">PERNA A PERNA</t>
  </si>
  <si>
    <t xml:space="preserve">Perfil</t>
  </si>
  <si>
    <t xml:space="preserve">Alvo</t>
  </si>
  <si>
    <t xml:space="preserve">Pernas</t>
  </si>
  <si>
    <t xml:space="preserve">Prob. combinada</t>
  </si>
  <si>
    <t xml:space="preserve">Odd provável na casa</t>
  </si>
  <si>
    <t xml:space="preserve">Retorno esperado</t>
  </si>
  <si>
    <t xml:space="preserve">Perna</t>
  </si>
  <si>
    <t xml:space="preserve">Confiança</t>
  </si>
  <si>
    <t xml:space="preserve">Muito seguro</t>
  </si>
  <si>
    <t xml:space="preserve">Alta</t>
  </si>
  <si>
    <t xml:space="preserve">Seguro</t>
  </si>
  <si>
    <t xml:space="preserve">Moderado</t>
  </si>
  <si>
    <t xml:space="preserve">Média</t>
  </si>
  <si>
    <t xml:space="preserve">Equilibrado</t>
  </si>
  <si>
    <t xml:space="preserve">Ousado</t>
  </si>
  <si>
    <t xml:space="preserve">Multi-gols 2-4</t>
  </si>
  <si>
    <t xml:space="preserve">Multi-gols 2-3</t>
  </si>
  <si>
    <t xml:space="preserve">Arriscado</t>
  </si>
  <si>
    <t xml:space="preserve">Agressivo</t>
  </si>
  <si>
    <t xml:space="preserve">Muito agressivo</t>
  </si>
  <si>
    <t xml:space="preserve">Risco máximo</t>
  </si>
  <si>
    <t xml:space="preserve">'Odd provável na casa' é a odd justa reduzida pela margem medida, uma vez por perna — é uma estimativa do que a casa ofereceria, não uma cotação real. O retorno esperado é negativo em todos os bilhetes, e quanto mais alta a odd, pior: é assim que a conta funciona.</t>
  </si>
  <si>
    <t xml:space="preserve">RESULTADO 1X2</t>
  </si>
  <si>
    <t xml:space="preserve">Cada desfecho com a sua probabilidade e a odd justa correspondente. Dupla chance cobre dois dos três resultados.</t>
  </si>
  <si>
    <t xml:space="preserve">1X</t>
  </si>
  <si>
    <t xml:space="preserve">12</t>
  </si>
  <si>
    <t xml:space="preserve">X2</t>
  </si>
  <si>
    <t xml:space="preserve">Linhas de mais/menos gols. 'Menos de 2,5' é o complemento de 'mais de 2,5'.</t>
  </si>
  <si>
    <t xml:space="preserve">ESPERADO</t>
  </si>
  <si>
    <t xml:space="preserve">+0,5</t>
  </si>
  <si>
    <t xml:space="preserve">+1,5</t>
  </si>
  <si>
    <t xml:space="preserve">+3,5</t>
  </si>
  <si>
    <t xml:space="preserve">+4,5</t>
  </si>
  <si>
    <t xml:space="preserve">-2,5</t>
  </si>
  <si>
    <t xml:space="preserve">Gols mandante</t>
  </si>
  <si>
    <t xml:space="preserve">Gols visitante</t>
  </si>
  <si>
    <t xml:space="preserve">Gols total</t>
  </si>
  <si>
    <t xml:space="preserve">MULTI-GOLS</t>
  </si>
  <si>
    <t xml:space="preserve">Chance de o total de gols da partida cair dentro de cada faixa.</t>
  </si>
  <si>
    <t xml:space="preserve">0-2</t>
  </si>
  <si>
    <t xml:space="preserve">0-3</t>
  </si>
  <si>
    <t xml:space="preserve">1-2</t>
  </si>
  <si>
    <t xml:space="preserve">1-3</t>
  </si>
  <si>
    <t xml:space="preserve">1-4</t>
  </si>
  <si>
    <t xml:space="preserve">2-3</t>
  </si>
  <si>
    <t xml:space="preserve">2-4</t>
  </si>
  <si>
    <t xml:space="preserve">2-5</t>
  </si>
  <si>
    <t xml:space="preserve">3-4</t>
  </si>
  <si>
    <t xml:space="preserve">3-5</t>
  </si>
  <si>
    <t xml:space="preserve">3-6</t>
  </si>
  <si>
    <t xml:space="preserve">AMBAS MARCAM</t>
  </si>
  <si>
    <t xml:space="preserve">Ambas as equipes marcam, e a chance de cada lado marcar pelo menos um gol.</t>
  </si>
  <si>
    <t xml:space="preserve">Não</t>
  </si>
  <si>
    <t xml:space="preserve">Mandante marca</t>
  </si>
  <si>
    <t xml:space="preserve">Visitante marca</t>
  </si>
  <si>
    <t xml:space="preserve">ATENÇÃO: o modelo supõe que os gols dos dois times são independentes e por isso SUBESTIMA este mercado em cerca de 4 pontos percentuais. Some o viés antes de usar — ver aba Confiabilidade.</t>
  </si>
  <si>
    <t xml:space="preserve">ESCANTEIOS</t>
  </si>
  <si>
    <t xml:space="preserve">Total de escanteios da partida (soma dos dois times) e as linhas de mais/menos.</t>
  </si>
  <si>
    <t xml:space="preserve">+7,5</t>
  </si>
  <si>
    <t xml:space="preserve">+8,5</t>
  </si>
  <si>
    <t xml:space="preserve">+9,5</t>
  </si>
  <si>
    <t xml:space="preserve">+10,5</t>
  </si>
  <si>
    <t xml:space="preserve">+11,5</t>
  </si>
  <si>
    <t xml:space="preserve">+12,5</t>
  </si>
  <si>
    <t xml:space="preserve">Esc. mandante</t>
  </si>
  <si>
    <t xml:space="preserve">Esc. visitante</t>
  </si>
  <si>
    <t xml:space="preserve">Esc. total</t>
  </si>
  <si>
    <t xml:space="preserve">Confiança média: base de estatísticas cobre 2015 a 2026, com os 20 clubes. O viés fora da amostra é pequeno, mas oscila cerca de ±5 p.p. entre temporadas.</t>
  </si>
  <si>
    <t xml:space="preserve">CARTÕES</t>
  </si>
  <si>
    <t xml:space="preserve">Total de cartões da partida (amarelos mais vermelhos, somando os dois times) e as linhas de mais/menos.</t>
  </si>
  <si>
    <t xml:space="preserve">+5,5</t>
  </si>
  <si>
    <t xml:space="preserve">+6,5</t>
  </si>
  <si>
    <t xml:space="preserve">Cart. mandante</t>
  </si>
  <si>
    <t xml:space="preserve">Cart. visitante</t>
  </si>
  <si>
    <t xml:space="preserve">Cart. total</t>
  </si>
  <si>
    <t xml:space="preserve">Confiança média: incluir as temporadas de 2024 a 2026 derrubou o viés de 'mais de 4,5 cartões' de -4,3 para -1,8 ponto percentual na validação fora da amostra.</t>
  </si>
  <si>
    <t xml:space="preserve">Dupla chance 1X (casa ou empate)</t>
  </si>
  <si>
    <t xml:space="preserve">Dupla chance 12 (casa ou fora)</t>
  </si>
  <si>
    <t xml:space="preserve">Dupla chance X2 (empate ou fora)</t>
  </si>
  <si>
    <t xml:space="preserve">Ambas as equipes marcam - SIM</t>
  </si>
  <si>
    <t xml:space="preserve">Ambas as equipes marcam - NÃO</t>
  </si>
  <si>
    <t xml:space="preserve">CALCULADORA DE VALOR</t>
  </si>
  <si>
    <t xml:space="preserve">Escolha a partida e o mercado nas listas, digite a cotação da casa no campo amarelo e leia o veredicto.</t>
  </si>
  <si>
    <t xml:space="preserve">1. O QUE VOCÊ VAI APOSTAR</t>
  </si>
  <si>
    <t xml:space="preserve">A MESMA APOSTA EM VÁRIAS COTAÇÕES</t>
  </si>
  <si>
    <t xml:space="preserve">A chance de acertar é a MESMA em todas as linhas. O que muda é o preço.</t>
  </si>
  <si>
    <t xml:space="preserve">Probabilidade do modelo</t>
  </si>
  <si>
    <t xml:space="preserve">SIMULAÇÃO</t>
  </si>
  <si>
    <t xml:space="preserve">2. QUANTO A CASA PAGA</t>
  </si>
  <si>
    <t xml:space="preserve">Cotação</t>
  </si>
  <si>
    <t xml:space="preserve">Valor esp.</t>
  </si>
  <si>
    <t xml:space="preserve">Lucro se green</t>
  </si>
  <si>
    <t xml:space="preserve">Vale?</t>
  </si>
  <si>
    <t xml:space="preserve">Odd justa (equilíbrio)</t>
  </si>
  <si>
    <t xml:space="preserve">Cotação oferecida</t>
  </si>
  <si>
    <t xml:space="preserve">3. VEREDICTO</t>
  </si>
  <si>
    <t xml:space="preserve">Valor esperado por real</t>
  </si>
  <si>
    <t xml:space="preserve">Vantagem sobre o preço</t>
  </si>
  <si>
    <t xml:space="preserve">Lucro se vier green</t>
  </si>
  <si>
    <t xml:space="preserve">Em 100 apostas de R$ 10</t>
  </si>
  <si>
    <t xml:space="preserve">Resultado</t>
  </si>
  <si>
    <t xml:space="preserve">Lembrete: valor esperado positivo segundo o modelo não garante lucro. No teste histórico do projeto, apostar só onde o modelo via vantagem rendeu PIOR do que apostar em tudo.</t>
  </si>
  <si>
    <t xml:space="preserve">QUANTO CADA MERCADO ERRA</t>
  </si>
  <si>
    <t xml:space="preserve">Viés = previsto menos observado, medido FORA DA AMOSTRA: o modelo treina até a temporada anterior e é conferido na seguinte. Negativo significa que o modelo subestima o mercado.</t>
  </si>
  <si>
    <t xml:space="preserve">MERCADO</t>
  </si>
  <si>
    <t xml:space="preserve">MEDIDO FORA DA AMOSTRA</t>
  </si>
  <si>
    <t xml:space="preserve">LEITURA</t>
  </si>
  <si>
    <t xml:space="preserve">Previsto</t>
  </si>
  <si>
    <t xml:space="preserve">Observado</t>
  </si>
  <si>
    <t xml:space="preserve">Viés (p.p.)</t>
  </si>
  <si>
    <t xml:space="preserve">Partidas</t>
  </si>
  <si>
    <t xml:space="preserve">Observação</t>
  </si>
  <si>
    <t xml:space="preserve">Acerto do 1X2 (acurácia)</t>
  </si>
  <si>
    <t xml:space="preserve">acurácia do palpite de resultado; o mercado acerta ~51%</t>
  </si>
  <si>
    <t xml:space="preserve">Mais de 0,5 gols</t>
  </si>
  <si>
    <t xml:space="preserve">Mais de 4,5 gols</t>
  </si>
  <si>
    <t xml:space="preserve">modelo supõe gols independentes e subestima este mercado</t>
  </si>
  <si>
    <t xml:space="preserve">Mais de 7,5 escanteios</t>
  </si>
  <si>
    <t xml:space="preserve">base vai até 2026; oscilação de ±9.9 p.p. entre temporadas</t>
  </si>
  <si>
    <t xml:space="preserve">base vai até 2026; oscilação de ±9.1 p.p. entre temporadas</t>
  </si>
  <si>
    <t xml:space="preserve">base vai até 2026; oscilação de ±6.9 p.p. entre temporadas</t>
  </si>
  <si>
    <t xml:space="preserve">base vai até 2026; oscilação de ±7.9 p.p. entre temporadas</t>
  </si>
  <si>
    <t xml:space="preserve">Mais de 11,5 escanteios</t>
  </si>
  <si>
    <t xml:space="preserve">base vai até 2026; oscilação de ±6.1 p.p. entre temporadas</t>
  </si>
  <si>
    <t xml:space="preserve">Mais de 12,5 escanteios</t>
  </si>
  <si>
    <t xml:space="preserve">base vai até 2026; oscilação de ±4.9 p.p. entre temporadas</t>
  </si>
  <si>
    <t xml:space="preserve">Mais de 2,5 cartões</t>
  </si>
  <si>
    <t xml:space="preserve">base vai até 2026; oscilação de ±11.8 p.p. entre temporadas</t>
  </si>
  <si>
    <t xml:space="preserve">base vai até 2026; oscilação de ±10.5 p.p. entre temporadas</t>
  </si>
  <si>
    <t xml:space="preserve">base vai até 2026; oscilação de ±10.2 p.p. entre temporadas</t>
  </si>
  <si>
    <t xml:space="preserve">base vai até 2026; oscilação de ±8.4 p.p. entre temporadas</t>
  </si>
  <si>
    <t xml:space="preserve">Mais de 6,5 cartões</t>
  </si>
  <si>
    <t xml:space="preserve">base vai até 2026; oscilação de ±7.7 p.p. entre temporadas</t>
  </si>
  <si>
    <t xml:space="preserve">FORÇA DOS CLUBES</t>
  </si>
  <si>
    <t xml:space="preserve">Valores relativos à média da liga, onde 1,00 é a média. Ataque acima de 1,00 marca mais que a média; defesa abaixo de 1,00 sofre menos. Escanteios e cartões vêm da base 2015-2026.</t>
  </si>
  <si>
    <t xml:space="preserve">CLUBE</t>
  </si>
  <si>
    <t xml:space="preserve">Time</t>
  </si>
  <si>
    <t xml:space="preserve">Pos.</t>
  </si>
  <si>
    <t xml:space="preserve">Pontos</t>
  </si>
  <si>
    <t xml:space="preserve">Ataque</t>
  </si>
  <si>
    <t xml:space="preserve">Defesa</t>
  </si>
  <si>
    <t xml:space="preserve">Esc. a favor</t>
  </si>
  <si>
    <t xml:space="preserve">Esc. contra</t>
  </si>
  <si>
    <t xml:space="preserve">Azul mais forte = melhor naquele quesito. Em defesa e cartões, melhor é ter o número mais baixo.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</si>
</sst>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0.0%"/>
    <numFmt numFmtId="167" formatCode="0.00"/>
    <numFmt numFmtId="168" formatCode="&quot;R$ &quot;#,##0.00;[RED]&quot;-R$ &quot;#,##0.00"/>
    <numFmt numFmtId="169" formatCode="\+0.00;\-0.00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F2942"/>
      <name val="Arial"/>
      <family val="0"/>
      <charset val="1"/>
    </font>
    <font>
      <sz val="11"/>
      <color rgb="FF6B7280"/>
      <name val="Arial"/>
      <family val="0"/>
      <charset val="1"/>
    </font>
    <font>
      <b val="true"/>
      <sz val="8"/>
      <color rgb="FF6B7280"/>
      <name val="Arial"/>
      <family val="0"/>
      <charset val="1"/>
    </font>
    <font>
      <b val="true"/>
      <sz val="16"/>
      <color rgb="FF1E4E8C"/>
      <name val="Arial"/>
      <family val="0"/>
      <charset val="1"/>
    </font>
    <font>
      <sz val="9"/>
      <color rgb="FF9CA3AF"/>
      <name val="Arial"/>
      <family val="0"/>
      <charset val="1"/>
    </font>
    <font>
      <b val="true"/>
      <sz val="12"/>
      <color rgb="FF0F294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F2937"/>
      <name val="Arial"/>
      <family val="0"/>
      <charset val="1"/>
    </font>
    <font>
      <b val="true"/>
      <sz val="10"/>
      <color rgb="FF1F2937"/>
      <name val="Arial"/>
      <family val="0"/>
      <charset val="1"/>
    </font>
    <font>
      <sz val="9"/>
      <color rgb="FF6B7280"/>
      <name val="Arial"/>
      <family val="0"/>
      <charset val="1"/>
    </font>
    <font>
      <b val="true"/>
      <sz val="10"/>
      <color rgb="FFB45309"/>
      <name val="Arial"/>
      <family val="0"/>
      <charset val="1"/>
    </font>
    <font>
      <sz val="9"/>
      <color rgb="FF1F2937"/>
      <name val="Arial"/>
      <family val="0"/>
      <charset val="1"/>
    </font>
    <font>
      <b val="true"/>
      <sz val="18"/>
      <color rgb="FF0F2942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F2937"/>
      <name val="Arial"/>
      <family val="0"/>
      <charset val="1"/>
    </font>
    <font>
      <b val="true"/>
      <sz val="10"/>
      <color rgb="FFB3261E"/>
      <name val="Arial"/>
      <family val="0"/>
      <charset val="1"/>
    </font>
    <font>
      <b val="true"/>
      <sz val="20"/>
      <color rgb="FF0F2942"/>
      <name val="Arial"/>
      <family val="0"/>
      <charset val="1"/>
    </font>
    <font>
      <b val="true"/>
      <sz val="10"/>
      <color rgb="FF1A3E7A"/>
      <name val="Arial"/>
      <family val="0"/>
      <charset val="1"/>
    </font>
    <font>
      <b val="true"/>
      <sz val="11"/>
      <name val="Arial"/>
      <family val="0"/>
      <charset val="1"/>
    </font>
  </fonts>
  <fills count="19">
    <fill>
      <patternFill patternType="none"/>
    </fill>
    <fill>
      <patternFill patternType="gray125"/>
    </fill>
    <fill>
      <patternFill patternType="solid">
        <fgColor rgb="FFEEF4FC"/>
        <bgColor rgb="FFF5F8FC"/>
      </patternFill>
    </fill>
    <fill>
      <patternFill patternType="solid">
        <fgColor rgb="FF1E4E8C"/>
        <bgColor rgb="FF1A3E7A"/>
      </patternFill>
    </fill>
    <fill>
      <patternFill patternType="solid">
        <fgColor rgb="FF42566E"/>
        <bgColor rgb="FF1E4E8C"/>
      </patternFill>
    </fill>
    <fill>
      <patternFill patternType="solid">
        <fgColor rgb="FF7A1F6B"/>
        <bgColor rgb="FF800080"/>
      </patternFill>
    </fill>
    <fill>
      <patternFill patternType="solid">
        <fgColor rgb="FFC2501F"/>
        <bgColor rgb="FFB45309"/>
      </patternFill>
    </fill>
    <fill>
      <patternFill patternType="solid">
        <fgColor rgb="FF12805C"/>
        <bgColor rgb="FF0E7490"/>
      </patternFill>
    </fill>
    <fill>
      <patternFill patternType="solid">
        <fgColor rgb="FF0E7490"/>
        <bgColor rgb="FF12805C"/>
      </patternFill>
    </fill>
    <fill>
      <patternFill patternType="solid">
        <fgColor rgb="FFB45309"/>
        <bgColor rgb="FFC2501F"/>
      </patternFill>
    </fill>
    <fill>
      <patternFill patternType="solid">
        <fgColor rgb="FFFFF8E6"/>
        <bgColor rgb="FFF5F8FC"/>
      </patternFill>
    </fill>
    <fill>
      <patternFill patternType="solid">
        <fgColor rgb="FFF5F8FC"/>
        <bgColor rgb="FFEEF4FC"/>
      </patternFill>
    </fill>
    <fill>
      <patternFill patternType="solid">
        <fgColor rgb="FF4A3AA7"/>
        <bgColor rgb="FF42566E"/>
      </patternFill>
    </fill>
    <fill>
      <patternFill patternType="solid">
        <fgColor rgb="FF173C6D"/>
        <bgColor rgb="FF1A3E7A"/>
      </patternFill>
    </fill>
    <fill>
      <patternFill patternType="solid">
        <fgColor rgb="FF0E6347"/>
        <bgColor rgb="FF0A5A70"/>
      </patternFill>
    </fill>
    <fill>
      <patternFill patternType="solid">
        <fgColor rgb="FF973E18"/>
        <bgColor rgb="FF8C4007"/>
      </patternFill>
    </fill>
    <fill>
      <patternFill patternType="solid">
        <fgColor rgb="FF0A5A70"/>
        <bgColor rgb="FF0E6347"/>
      </patternFill>
    </fill>
    <fill>
      <patternFill patternType="solid">
        <fgColor rgb="FF8C4007"/>
        <bgColor rgb="FF973E18"/>
      </patternFill>
    </fill>
    <fill>
      <patternFill patternType="solid">
        <fgColor rgb="FFFFF3B0"/>
        <bgColor rgb="FFFFF8E6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5DEE9"/>
      </bottom>
      <diagonal/>
    </border>
    <border diagonalUp="false" diagonalDown="false">
      <left style="thin">
        <color rgb="FFD9A400"/>
      </left>
      <right style="thin">
        <color rgb="FFD9A400"/>
      </right>
      <top style="thin">
        <color rgb="FFD9A400"/>
      </top>
      <bottom style="thin">
        <color rgb="FFD9A4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0" fillId="5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0" fillId="7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0" fillId="8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0" fillId="9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1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1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11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1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7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1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2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2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11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9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3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3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1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1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9" fontId="11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11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2">
    <dxf>
      <fill>
        <patternFill patternType="solid">
          <fgColor rgb="FFF5F8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0F6FE"/>
          <bgColor rgb="FF000000"/>
        </patternFill>
      </fill>
    </dxf>
    <dxf>
      <fill>
        <patternFill patternType="solid">
          <fgColor rgb="FFF1F7FE"/>
          <bgColor rgb="FF000000"/>
        </patternFill>
      </fill>
    </dxf>
    <dxf>
      <fill>
        <patternFill patternType="solid">
          <fgColor rgb="FFF2F7FE"/>
          <bgColor rgb="FF000000"/>
        </patternFill>
      </fill>
    </dxf>
    <dxf>
      <fill>
        <patternFill patternType="solid">
          <fgColor rgb="FFF2F8FE"/>
          <bgColor rgb="FF000000"/>
        </patternFill>
      </fill>
    </dxf>
    <dxf>
      <fill>
        <patternFill patternType="solid">
          <fgColor rgb="FFF3F8FE"/>
          <bgColor rgb="FF000000"/>
        </patternFill>
      </fill>
    </dxf>
    <dxf>
      <fill>
        <patternFill patternType="solid">
          <fgColor rgb="FFF4F8FE"/>
          <bgColor rgb="FF000000"/>
        </patternFill>
      </fill>
    </dxf>
    <dxf>
      <fill>
        <patternFill patternType="solid">
          <fgColor rgb="FFF4F9FE"/>
          <bgColor rgb="FF000000"/>
        </patternFill>
      </fill>
    </dxf>
    <dxf>
      <fill>
        <patternFill patternType="solid">
          <fgColor rgb="FFF5F9FE"/>
          <bgColor rgb="FF000000"/>
        </patternFill>
      </fill>
    </dxf>
    <dxf>
      <fill>
        <patternFill patternType="solid">
          <fgColor rgb="FFF5FAFE"/>
          <bgColor rgb="FF000000"/>
        </patternFill>
      </fill>
    </dxf>
    <dxf>
      <fill>
        <patternFill patternType="solid">
          <fgColor rgb="FFF6FAFE"/>
          <bgColor rgb="FF000000"/>
        </patternFill>
      </fill>
    </dxf>
    <dxf>
      <fill>
        <patternFill patternType="solid">
          <fgColor rgb="FFAFCFF6"/>
          <bgColor rgb="FF000000"/>
        </patternFill>
      </fill>
    </dxf>
    <dxf>
      <fill>
        <patternFill patternType="solid">
          <fgColor rgb="FFB5D3F7"/>
          <bgColor rgb="FF000000"/>
        </patternFill>
      </fill>
    </dxf>
    <dxf>
      <fill>
        <patternFill patternType="solid">
          <fgColor rgb="FFBAD6F8"/>
          <bgColor rgb="FF000000"/>
        </patternFill>
      </fill>
    </dxf>
    <dxf>
      <fill>
        <patternFill patternType="solid">
          <fgColor rgb="FFBDD8F8"/>
          <bgColor rgb="FF000000"/>
        </patternFill>
      </fill>
    </dxf>
    <dxf>
      <fill>
        <patternFill patternType="solid">
          <fgColor rgb="FFBFD9F8"/>
          <bgColor rgb="FF000000"/>
        </patternFill>
      </fill>
    </dxf>
    <dxf>
      <fill>
        <patternFill patternType="solid">
          <fgColor rgb="FFC0D9F8"/>
          <bgColor rgb="FF000000"/>
        </patternFill>
      </fill>
    </dxf>
    <dxf>
      <fill>
        <patternFill patternType="solid">
          <fgColor rgb="FFC0DAF8"/>
          <bgColor rgb="FF000000"/>
        </patternFill>
      </fill>
    </dxf>
    <dxf>
      <fill>
        <patternFill patternType="solid">
          <fgColor rgb="FFC2DAF8"/>
          <bgColor rgb="FF000000"/>
        </patternFill>
      </fill>
    </dxf>
    <dxf>
      <fill>
        <patternFill patternType="solid">
          <fgColor rgb="FFC2DBF9"/>
          <bgColor rgb="FF000000"/>
        </patternFill>
      </fill>
    </dxf>
    <dxf>
      <fill>
        <patternFill patternType="solid">
          <fgColor rgb="FFC3DBF9"/>
          <bgColor rgb="FF000000"/>
        </patternFill>
      </fill>
    </dxf>
    <dxf>
      <fill>
        <patternFill patternType="solid">
          <fgColor rgb="FFC5DCF9"/>
          <bgColor rgb="FF000000"/>
        </patternFill>
      </fill>
    </dxf>
    <dxf>
      <fill>
        <patternFill patternType="solid">
          <fgColor rgb="FFC5DDF9"/>
          <bgColor rgb="FF000000"/>
        </patternFill>
      </fill>
    </dxf>
    <dxf>
      <fill>
        <patternFill patternType="solid">
          <fgColor rgb="FFC6DDF9"/>
          <bgColor rgb="FF000000"/>
        </patternFill>
      </fill>
    </dxf>
    <dxf>
      <fill>
        <patternFill patternType="solid">
          <fgColor rgb="FFC8DEF9"/>
          <bgColor rgb="FF000000"/>
        </patternFill>
      </fill>
    </dxf>
    <dxf>
      <fill>
        <patternFill patternType="solid">
          <fgColor rgb="FFC9DFF9"/>
          <bgColor rgb="FF000000"/>
        </patternFill>
      </fill>
    </dxf>
    <dxf>
      <fill>
        <patternFill patternType="solid">
          <fgColor rgb="FFCADFF9"/>
          <bgColor rgb="FF000000"/>
        </patternFill>
      </fill>
    </dxf>
    <dxf>
      <fill>
        <patternFill patternType="solid">
          <fgColor rgb="FFCBE0FA"/>
          <bgColor rgb="FF000000"/>
        </patternFill>
      </fill>
    </dxf>
    <dxf>
      <fill>
        <patternFill patternType="solid">
          <fgColor rgb="FFCCE1FA"/>
          <bgColor rgb="FF000000"/>
        </patternFill>
      </fill>
    </dxf>
    <dxf>
      <fill>
        <patternFill patternType="solid">
          <fgColor rgb="FFCEE2FA"/>
          <bgColor rgb="FF000000"/>
        </patternFill>
      </fill>
    </dxf>
    <dxf>
      <fill>
        <patternFill patternType="solid">
          <fgColor rgb="FFCFE2FA"/>
          <bgColor rgb="FF000000"/>
        </patternFill>
      </fill>
    </dxf>
    <dxf>
      <fill>
        <patternFill patternType="solid">
          <fgColor rgb="FFCFE3FA"/>
          <bgColor rgb="FF000000"/>
        </patternFill>
      </fill>
    </dxf>
    <dxf>
      <fill>
        <patternFill patternType="solid">
          <fgColor rgb="FFD0E3FA"/>
          <bgColor rgb="FF000000"/>
        </patternFill>
      </fill>
    </dxf>
    <dxf>
      <fill>
        <patternFill patternType="solid">
          <fgColor rgb="FFD1E3FA"/>
          <bgColor rgb="FF000000"/>
        </patternFill>
      </fill>
    </dxf>
    <dxf>
      <fill>
        <patternFill patternType="solid">
          <fgColor rgb="FFD1E4FA"/>
          <bgColor rgb="FF000000"/>
        </patternFill>
      </fill>
    </dxf>
    <dxf>
      <fill>
        <patternFill patternType="solid">
          <fgColor rgb="FFD2E4FA"/>
          <bgColor rgb="FF000000"/>
        </patternFill>
      </fill>
    </dxf>
    <dxf>
      <fill>
        <patternFill patternType="solid">
          <fgColor rgb="FFD3E5FA"/>
          <bgColor rgb="FF000000"/>
        </patternFill>
      </fill>
    </dxf>
    <dxf>
      <fill>
        <patternFill patternType="solid">
          <fgColor rgb="FFD4E5FB"/>
          <bgColor rgb="FF000000"/>
        </patternFill>
      </fill>
    </dxf>
    <dxf>
      <fill>
        <patternFill patternType="solid">
          <fgColor rgb="FFD4E6FB"/>
          <bgColor rgb="FF000000"/>
        </patternFill>
      </fill>
    </dxf>
    <dxf>
      <fill>
        <patternFill patternType="solid">
          <fgColor rgb="FFD5E6FB"/>
          <bgColor rgb="FF000000"/>
        </patternFill>
      </fill>
    </dxf>
    <dxf>
      <fill>
        <patternFill patternType="solid">
          <fgColor rgb="FFD6E7FB"/>
          <bgColor rgb="FF000000"/>
        </patternFill>
      </fill>
    </dxf>
    <dxf>
      <fill>
        <patternFill patternType="solid">
          <fgColor rgb="FFD7E7FB"/>
          <bgColor rgb="FF000000"/>
        </patternFill>
      </fill>
    </dxf>
    <dxf>
      <fill>
        <patternFill patternType="solid">
          <fgColor rgb="FFD8E8FB"/>
          <bgColor rgb="FF000000"/>
        </patternFill>
      </fill>
    </dxf>
    <dxf>
      <fill>
        <patternFill patternType="solid">
          <fgColor rgb="FFD9E8FB"/>
          <bgColor rgb="FF000000"/>
        </patternFill>
      </fill>
    </dxf>
    <dxf>
      <fill>
        <patternFill patternType="solid">
          <fgColor rgb="FFD9E9FB"/>
          <bgColor rgb="FF000000"/>
        </patternFill>
      </fill>
    </dxf>
    <dxf>
      <fill>
        <patternFill patternType="solid">
          <fgColor rgb="FFDAE9FB"/>
          <bgColor rgb="FF000000"/>
        </patternFill>
      </fill>
    </dxf>
    <dxf>
      <fill>
        <patternFill patternType="solid">
          <fgColor rgb="FFDBE9FB"/>
          <bgColor rgb="FF000000"/>
        </patternFill>
      </fill>
    </dxf>
    <dxf>
      <fill>
        <patternFill patternType="solid">
          <fgColor rgb="FFDBEAFB"/>
          <bgColor rgb="FF000000"/>
        </patternFill>
      </fill>
    </dxf>
    <dxf>
      <fill>
        <patternFill patternType="solid">
          <fgColor rgb="FFDDEBFC"/>
          <bgColor rgb="FF000000"/>
        </patternFill>
      </fill>
    </dxf>
    <dxf>
      <fill>
        <patternFill patternType="solid">
          <fgColor rgb="FFDEEBFC"/>
          <bgColor rgb="FF000000"/>
        </patternFill>
      </fill>
    </dxf>
    <dxf>
      <fill>
        <patternFill patternType="solid">
          <fgColor rgb="FFDFECFC"/>
          <bgColor rgb="FF000000"/>
        </patternFill>
      </fill>
    </dxf>
    <dxf>
      <fill>
        <patternFill patternType="solid">
          <fgColor rgb="FFE0ECFC"/>
          <bgColor rgb="FF000000"/>
        </patternFill>
      </fill>
    </dxf>
    <dxf>
      <fill>
        <patternFill patternType="solid">
          <fgColor rgb="FFE0EDFC"/>
          <bgColor rgb="FF000000"/>
        </patternFill>
      </fill>
    </dxf>
    <dxf>
      <fill>
        <patternFill patternType="solid">
          <fgColor rgb="FFE1EDFC"/>
          <bgColor rgb="FF000000"/>
        </patternFill>
      </fill>
    </dxf>
    <dxf>
      <fill>
        <patternFill patternType="solid">
          <fgColor rgb="FFE2EEFC"/>
          <bgColor rgb="FF000000"/>
        </patternFill>
      </fill>
    </dxf>
    <dxf>
      <fill>
        <patternFill patternType="solid">
          <fgColor rgb="FFE3EEFC"/>
          <bgColor rgb="FF000000"/>
        </patternFill>
      </fill>
    </dxf>
    <dxf>
      <fill>
        <patternFill patternType="solid">
          <fgColor rgb="FFE5F0FC"/>
          <bgColor rgb="FF000000"/>
        </patternFill>
      </fill>
    </dxf>
    <dxf>
      <fill>
        <patternFill patternType="solid">
          <fgColor rgb="FFE5F0FD"/>
          <bgColor rgb="FF000000"/>
        </patternFill>
      </fill>
    </dxf>
    <dxf>
      <fill>
        <patternFill patternType="solid">
          <fgColor rgb="FFE6F0FD"/>
          <bgColor rgb="FF000000"/>
        </patternFill>
      </fill>
    </dxf>
    <dxf>
      <fill>
        <patternFill patternType="solid">
          <fgColor rgb="FFE7F1FD"/>
          <bgColor rgb="FF000000"/>
        </patternFill>
      </fill>
    </dxf>
    <dxf>
      <fill>
        <patternFill patternType="solid">
          <fgColor rgb="FFE8F1FD"/>
          <bgColor rgb="FF000000"/>
        </patternFill>
      </fill>
    </dxf>
    <dxf>
      <fill>
        <patternFill patternType="solid">
          <fgColor rgb="FFECF4FD"/>
          <bgColor rgb="FF000000"/>
        </patternFill>
      </fill>
    </dxf>
    <dxf>
      <fill>
        <patternFill patternType="solid">
          <fgColor rgb="FF6B7280"/>
          <bgColor rgb="FF000000"/>
        </patternFill>
      </fill>
    </dxf>
    <dxf>
      <fill>
        <patternFill patternType="solid">
          <fgColor rgb="FFE4EFFC"/>
          <bgColor rgb="FF000000"/>
        </patternFill>
      </fill>
    </dxf>
    <dxf>
      <fill>
        <patternFill patternType="solid">
          <fgColor rgb="FFE5EFFC"/>
          <bgColor rgb="FF000000"/>
        </patternFill>
      </fill>
    </dxf>
    <dxf>
      <fill>
        <patternFill patternType="solid">
          <fgColor rgb="FFE6F1FD"/>
          <bgColor rgb="FF000000"/>
        </patternFill>
      </fill>
    </dxf>
    <dxf>
      <fill>
        <patternFill patternType="solid">
          <fgColor rgb="FFE8F2FD"/>
          <bgColor rgb="FF000000"/>
        </patternFill>
      </fill>
    </dxf>
    <dxf>
      <fill>
        <patternFill patternType="solid">
          <fgColor rgb="FFE9F2FD"/>
          <bgColor rgb="FF000000"/>
        </patternFill>
      </fill>
    </dxf>
    <dxf>
      <fill>
        <patternFill patternType="solid">
          <fgColor rgb="FFEAF2FD"/>
          <bgColor rgb="FF000000"/>
        </patternFill>
      </fill>
    </dxf>
    <dxf>
      <fill>
        <patternFill patternType="solid">
          <fgColor rgb="FFEAF3FD"/>
          <bgColor rgb="FF000000"/>
        </patternFill>
      </fill>
    </dxf>
    <dxf>
      <fill>
        <patternFill patternType="solid">
          <fgColor rgb="FFEBF3FD"/>
          <bgColor rgb="FF000000"/>
        </patternFill>
      </fill>
    </dxf>
    <dxf>
      <fill>
        <patternFill patternType="solid">
          <fgColor rgb="FFEDF5FD"/>
          <bgColor rgb="FF000000"/>
        </patternFill>
      </fill>
    </dxf>
    <dxf>
      <fill>
        <patternFill patternType="solid">
          <fgColor rgb="FFEFF6FE"/>
          <bgColor rgb="FF000000"/>
        </patternFill>
      </fill>
    </dxf>
    <dxf>
      <fill>
        <patternFill patternType="solid">
          <fgColor rgb="FFCDE1FA"/>
          <bgColor rgb="FF000000"/>
        </patternFill>
      </fill>
    </dxf>
    <dxf>
      <fill>
        <patternFill patternType="solid">
          <fgColor rgb="FFD7E8FB"/>
          <bgColor rgb="FF000000"/>
        </patternFill>
      </fill>
    </dxf>
    <dxf>
      <fill>
        <patternFill patternType="solid">
          <fgColor rgb="FFDCEAFB"/>
          <bgColor rgb="FF000000"/>
        </patternFill>
      </fill>
    </dxf>
    <dxf>
      <fill>
        <patternFill patternType="solid">
          <fgColor rgb="FFDCEAFC"/>
          <bgColor rgb="FF000000"/>
        </patternFill>
      </fill>
    </dxf>
    <dxf>
      <fill>
        <patternFill patternType="solid">
          <fgColor rgb="FFDEECFC"/>
          <bgColor rgb="FF000000"/>
        </patternFill>
      </fill>
    </dxf>
    <dxf>
      <fill>
        <patternFill patternType="solid">
          <fgColor rgb="FFE3EFFC"/>
          <bgColor rgb="FF000000"/>
        </patternFill>
      </fill>
    </dxf>
    <dxf>
      <fill>
        <patternFill patternType="solid">
          <fgColor rgb="FFEBF4FD"/>
          <bgColor rgb="FF000000"/>
        </patternFill>
      </fill>
    </dxf>
    <dxf>
      <fill>
        <patternFill patternType="solid">
          <fgColor rgb="FFEDF4FD"/>
          <bgColor rgb="FF000000"/>
        </patternFill>
      </fill>
    </dxf>
    <dxf>
      <fill>
        <patternFill patternType="solid">
          <fgColor rgb="FFEEF5FD"/>
          <bgColor rgb="FF000000"/>
        </patternFill>
      </fill>
    </dxf>
    <dxf>
      <fill>
        <patternFill patternType="solid">
          <fgColor rgb="FFEEF5FE"/>
          <bgColor rgb="FF000000"/>
        </patternFill>
      </fill>
    </dxf>
    <dxf>
      <fill>
        <patternFill patternType="solid">
          <fgColor rgb="FFEFF5FE"/>
          <bgColor rgb="FF000000"/>
        </patternFill>
      </fill>
    </dxf>
    <dxf>
      <fill>
        <patternFill patternType="solid">
          <fgColor rgb="FFF7FBFF"/>
          <bgColor rgb="FF000000"/>
        </patternFill>
      </fill>
    </dxf>
    <dxf>
      <fill>
        <patternFill patternType="solid">
          <fgColor rgb="FFF8FBFF"/>
          <bgColor rgb="FF000000"/>
        </patternFill>
      </fill>
    </dxf>
    <dxf>
      <fill>
        <patternFill patternType="solid">
          <fgColor rgb="FFFAFCFF"/>
          <bgColor rgb="FF000000"/>
        </patternFill>
      </fill>
    </dxf>
    <dxf>
      <fill>
        <patternFill patternType="solid">
          <fgColor rgb="FFC7DEF9"/>
          <bgColor rgb="FF000000"/>
        </patternFill>
      </fill>
    </dxf>
    <dxf>
      <fill>
        <patternFill patternType="solid">
          <fgColor rgb="FFC8DFF9"/>
          <bgColor rgb="FF000000"/>
        </patternFill>
      </fill>
    </dxf>
    <dxf>
      <fill>
        <patternFill patternType="solid">
          <fgColor rgb="FFCAE0F9"/>
          <bgColor rgb="FF000000"/>
        </patternFill>
      </fill>
    </dxf>
    <dxf>
      <fill>
        <patternFill patternType="solid">
          <fgColor rgb="FFCCE0FA"/>
          <bgColor rgb="FF000000"/>
        </patternFill>
      </fill>
    </dxf>
    <dxf>
      <fill>
        <patternFill patternType="solid">
          <fgColor rgb="FFCDE2FA"/>
          <bgColor rgb="FF000000"/>
        </patternFill>
      </fill>
    </dxf>
    <dxf>
      <fill>
        <patternFill patternType="solid">
          <fgColor rgb="FFD6E6FB"/>
          <bgColor rgb="FF000000"/>
        </patternFill>
      </fill>
    </dxf>
    <dxf>
      <fill>
        <patternFill patternType="solid">
          <fgColor rgb="FFCBE0F9"/>
          <bgColor rgb="FF000000"/>
        </patternFill>
      </fill>
    </dxf>
    <dxf>
      <fill>
        <patternFill patternType="solid">
          <fgColor rgb="FFD2E5FA"/>
          <bgColor rgb="FF000000"/>
        </patternFill>
      </fill>
    </dxf>
    <dxf>
      <fill>
        <patternFill patternType="solid">
          <fgColor rgb="FFA4C9F5"/>
          <bgColor rgb="FF000000"/>
        </patternFill>
      </fill>
    </dxf>
    <dxf>
      <fill>
        <patternFill patternType="solid">
          <fgColor rgb="FFA6CAF5"/>
          <bgColor rgb="FF000000"/>
        </patternFill>
      </fill>
    </dxf>
    <dxf>
      <fill>
        <patternFill patternType="solid">
          <fgColor rgb="FFA7CAF5"/>
          <bgColor rgb="FF000000"/>
        </patternFill>
      </fill>
    </dxf>
    <dxf>
      <fill>
        <patternFill patternType="solid">
          <fgColor rgb="FFA9CCF6"/>
          <bgColor rgb="FF000000"/>
        </patternFill>
      </fill>
    </dxf>
    <dxf>
      <fill>
        <patternFill patternType="solid">
          <fgColor rgb="FFABCDF6"/>
          <bgColor rgb="FF000000"/>
        </patternFill>
      </fill>
    </dxf>
    <dxf>
      <fill>
        <patternFill patternType="solid">
          <fgColor rgb="FFACCEF6"/>
          <bgColor rgb="FF000000"/>
        </patternFill>
      </fill>
    </dxf>
    <dxf>
      <fill>
        <patternFill patternType="solid">
          <fgColor rgb="FFADCEF6"/>
          <bgColor rgb="FF000000"/>
        </patternFill>
      </fill>
    </dxf>
    <dxf>
      <fill>
        <patternFill patternType="solid">
          <fgColor rgb="FFAECFF6"/>
          <bgColor rgb="FF000000"/>
        </patternFill>
      </fill>
    </dxf>
    <dxf>
      <fill>
        <patternFill patternType="solid">
          <fgColor rgb="FFAFD0F6"/>
          <bgColor rgb="FF000000"/>
        </patternFill>
      </fill>
    </dxf>
    <dxf>
      <fill>
        <patternFill patternType="solid">
          <fgColor rgb="FFB0D0F6"/>
          <bgColor rgb="FF000000"/>
        </patternFill>
      </fill>
    </dxf>
    <dxf>
      <fill>
        <patternFill patternType="solid">
          <fgColor rgb="FFB0D0F7"/>
          <bgColor rgb="FF000000"/>
        </patternFill>
      </fill>
    </dxf>
    <dxf>
      <fill>
        <patternFill patternType="solid">
          <fgColor rgb="FFB1D0F7"/>
          <bgColor rgb="FF000000"/>
        </patternFill>
      </fill>
    </dxf>
    <dxf>
      <fill>
        <patternFill patternType="solid">
          <fgColor rgb="FFB1D1F7"/>
          <bgColor rgb="FF000000"/>
        </patternFill>
      </fill>
    </dxf>
    <dxf>
      <fill>
        <patternFill patternType="solid">
          <fgColor rgb="FFB2D1F7"/>
          <bgColor rgb="FF000000"/>
        </patternFill>
      </fill>
    </dxf>
    <dxf>
      <fill>
        <patternFill patternType="solid">
          <fgColor rgb="FFB3D1F7"/>
          <bgColor rgb="FF000000"/>
        </patternFill>
      </fill>
    </dxf>
    <dxf>
      <fill>
        <patternFill patternType="solid">
          <fgColor rgb="FFB3D2F7"/>
          <bgColor rgb="FF000000"/>
        </patternFill>
      </fill>
    </dxf>
    <dxf>
      <fill>
        <patternFill patternType="solid">
          <fgColor rgb="FFB4D2F7"/>
          <bgColor rgb="FF000000"/>
        </patternFill>
      </fill>
    </dxf>
    <dxf>
      <fill>
        <patternFill patternType="solid">
          <fgColor rgb="FFFFF8E6"/>
          <bgColor rgb="FF000000"/>
        </patternFill>
      </fill>
    </dxf>
    <dxf>
      <fill>
        <patternFill patternType="solid">
          <fgColor rgb="FFB45309"/>
          <bgColor rgb="FF000000"/>
        </patternFill>
      </fill>
    </dxf>
    <dxf>
      <font>
        <name val="Arial"/>
        <charset val="1"/>
        <family val="0"/>
        <b val="1"/>
        <color rgb="FFB45309"/>
        <sz val="9"/>
      </font>
      <fill>
        <patternFill>
          <bgColor rgb="FFFFF8E6"/>
        </patternFill>
      </fill>
    </dxf>
    <dxf>
      <fill>
        <patternFill patternType="solid">
          <fgColor rgb="FFA1C7F5"/>
          <bgColor rgb="FF000000"/>
        </patternFill>
      </fill>
    </dxf>
    <dxf>
      <fill>
        <patternFill patternType="solid">
          <fgColor rgb="FFA3C8F5"/>
          <bgColor rgb="FF000000"/>
        </patternFill>
      </fill>
    </dxf>
    <dxf>
      <fill>
        <patternFill patternType="solid">
          <fgColor rgb="FFA5C9F5"/>
          <bgColor rgb="FF000000"/>
        </patternFill>
      </fill>
    </dxf>
    <dxf>
      <fill>
        <patternFill patternType="solid">
          <fgColor rgb="FFA5CAF5"/>
          <bgColor rgb="FF000000"/>
        </patternFill>
      </fill>
    </dxf>
    <dxf>
      <fill>
        <patternFill patternType="solid">
          <fgColor rgb="FFA7CBF5"/>
          <bgColor rgb="FF000000"/>
        </patternFill>
      </fill>
    </dxf>
    <dxf>
      <fill>
        <patternFill patternType="solid">
          <fgColor rgb="FFA7CBF6"/>
          <bgColor rgb="FF000000"/>
        </patternFill>
      </fill>
    </dxf>
    <dxf>
      <fill>
        <patternFill patternType="solid">
          <fgColor rgb="FFA8CBF6"/>
          <bgColor rgb="FF000000"/>
        </patternFill>
      </fill>
    </dxf>
    <dxf>
      <fill>
        <patternFill patternType="solid">
          <fgColor rgb="FFAACCF6"/>
          <bgColor rgb="FF000000"/>
        </patternFill>
      </fill>
    </dxf>
    <dxf>
      <fill>
        <patternFill patternType="solid">
          <fgColor rgb="FFBDD7F8"/>
          <bgColor rgb="FF000000"/>
        </patternFill>
      </fill>
    </dxf>
    <dxf>
      <fill>
        <patternFill patternType="solid">
          <fgColor rgb="FFBED8F8"/>
          <bgColor rgb="FF000000"/>
        </patternFill>
      </fill>
    </dxf>
    <dxf>
      <fill>
        <patternFill patternType="solid">
          <fgColor rgb="FFBED9F8"/>
          <bgColor rgb="FF000000"/>
        </patternFill>
      </fill>
    </dxf>
    <dxf>
      <fill>
        <patternFill patternType="solid">
          <fgColor rgb="FFC1DAF8"/>
          <bgColor rgb="FF000000"/>
        </patternFill>
      </fill>
    </dxf>
    <dxf>
      <fill>
        <patternFill patternType="solid">
          <fgColor rgb="FFDCEBFC"/>
          <bgColor rgb="FF000000"/>
        </patternFill>
      </fill>
    </dxf>
    <dxf>
      <fill>
        <patternFill patternType="solid">
          <fgColor rgb="FFE1EEFC"/>
          <bgColor rgb="FF000000"/>
        </patternFill>
      </fill>
    </dxf>
    <dxf>
      <fill>
        <patternFill patternType="solid">
          <fgColor rgb="FFFCFDFF"/>
          <bgColor rgb="FF000000"/>
        </patternFill>
      </fill>
    </dxf>
    <dxf>
      <fill>
        <patternFill patternType="solid">
          <fgColor rgb="FFFEFEFF"/>
          <bgColor rgb="FF000000"/>
        </patternFill>
      </fill>
    </dxf>
    <dxf>
      <fill>
        <patternFill patternType="solid">
          <fgColor rgb="FFFEFF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BBD6F8"/>
          <bgColor rgb="FF000000"/>
        </patternFill>
      </fill>
    </dxf>
    <dxf>
      <fill>
        <patternFill patternType="solid">
          <fgColor rgb="FFBBD7F8"/>
          <bgColor rgb="FF000000"/>
        </patternFill>
      </fill>
    </dxf>
    <dxf>
      <font>
        <name val="Arial"/>
        <charset val="1"/>
        <family val="0"/>
        <b val="1"/>
        <color rgb="FFB45309"/>
        <sz val="9"/>
      </font>
    </dxf>
    <dxf>
      <fill>
        <patternFill patternType="solid">
          <fgColor rgb="FFB4D3F7"/>
          <bgColor rgb="FF000000"/>
        </patternFill>
      </fill>
    </dxf>
    <dxf>
      <fill>
        <patternFill patternType="solid">
          <fgColor rgb="FFB6D3F7"/>
          <bgColor rgb="FF000000"/>
        </patternFill>
      </fill>
    </dxf>
    <dxf>
      <fill>
        <patternFill patternType="solid">
          <fgColor rgb="FFB6D4F7"/>
          <bgColor rgb="FF000000"/>
        </patternFill>
      </fill>
    </dxf>
    <dxf>
      <fill>
        <patternFill patternType="solid">
          <fgColor rgb="FFB7D4F7"/>
          <bgColor rgb="FF000000"/>
        </patternFill>
      </fill>
    </dxf>
    <dxf>
      <fill>
        <patternFill patternType="solid">
          <fgColor rgb="FFB8D5F7"/>
          <bgColor rgb="FF000000"/>
        </patternFill>
      </fill>
    </dxf>
    <dxf>
      <fill>
        <patternFill patternType="solid">
          <fgColor rgb="FFB9D5F7"/>
          <bgColor rgb="FF000000"/>
        </patternFill>
      </fill>
    </dxf>
    <dxf>
      <fill>
        <patternFill patternType="solid">
          <fgColor rgb="FFB9D5F8"/>
          <bgColor rgb="FF000000"/>
        </patternFill>
      </fill>
    </dxf>
    <dxf>
      <fill>
        <patternFill patternType="solid">
          <fgColor rgb="FFBCD7F8"/>
          <bgColor rgb="FF000000"/>
        </patternFill>
      </fill>
    </dxf>
    <dxf>
      <fill>
        <patternFill patternType="solid">
          <fgColor rgb="FFC2DBF8"/>
          <bgColor rgb="FF000000"/>
        </patternFill>
      </fill>
    </dxf>
    <dxf>
      <fill>
        <patternFill patternType="solid">
          <fgColor rgb="FFC4DCF9"/>
          <bgColor rgb="FF000000"/>
        </patternFill>
      </fill>
    </dxf>
    <dxf>
      <fill>
        <patternFill patternType="solid">
          <fgColor rgb="FFC7DDF9"/>
          <bgColor rgb="FF000000"/>
        </patternFill>
      </fill>
    </dxf>
    <dxf>
      <fill>
        <patternFill patternType="solid">
          <fgColor rgb="FFB8D4F7"/>
          <bgColor rgb="FF000000"/>
        </patternFill>
      </fill>
    </dxf>
    <dxf>
      <fill>
        <patternFill patternType="solid">
          <fgColor rgb="FFB9D6F8"/>
          <bgColor rgb="FF000000"/>
        </patternFill>
      </fill>
    </dxf>
    <dxf>
      <fill>
        <patternFill patternType="solid">
          <fgColor rgb="FFC3DCF9"/>
          <bgColor rgb="FF000000"/>
        </patternFill>
      </fill>
    </dxf>
    <dxf>
      <fill>
        <patternFill patternType="solid">
          <fgColor rgb="FFF7FAFE"/>
          <bgColor rgb="FF000000"/>
        </patternFill>
      </fill>
    </dxf>
    <dxf>
      <fill>
        <patternFill patternType="solid">
          <fgColor rgb="FFF7FAFF"/>
          <bgColor rgb="FF000000"/>
        </patternFill>
      </fill>
    </dxf>
    <dxf>
      <fill>
        <patternFill patternType="solid">
          <fgColor rgb="FFF9FBFF"/>
          <bgColor rgb="FF000000"/>
        </patternFill>
      </fill>
    </dxf>
    <dxf>
      <fill>
        <patternFill patternType="solid">
          <fgColor rgb="FFF9FCFF"/>
          <bgColor rgb="FF000000"/>
        </patternFill>
      </fill>
    </dxf>
    <dxf>
      <fill>
        <patternFill patternType="solid">
          <fgColor rgb="FFD3E5FB"/>
          <bgColor rgb="FF000000"/>
        </patternFill>
      </fill>
    </dxf>
    <dxf>
      <fill>
        <patternFill patternType="solid">
          <fgColor rgb="FFACCDF6"/>
          <bgColor rgb="FF000000"/>
        </patternFill>
      </fill>
    </dxf>
    <dxf>
      <fill>
        <patternFill patternType="solid">
          <fgColor rgb="FFAECEF6"/>
          <bgColor rgb="FF000000"/>
        </patternFill>
      </fill>
    </dxf>
    <dxf>
      <fill>
        <patternFill patternType="solid">
          <fgColor rgb="FFA9CBF6"/>
          <bgColor rgb="FF000000"/>
        </patternFill>
      </fill>
    </dxf>
    <dxf>
      <fill>
        <patternFill patternType="solid">
          <fgColor rgb="FFAACDF6"/>
          <bgColor rgb="FF000000"/>
        </patternFill>
      </fill>
    </dxf>
    <dxf>
      <font>
        <name val="Arial"/>
        <charset val="1"/>
        <family val="0"/>
        <b val="1"/>
        <color rgb="FF12805C"/>
        <sz val="11"/>
      </font>
      <fill>
        <patternFill>
          <bgColor rgb="FFD6F0E0"/>
        </patternFill>
      </fill>
    </dxf>
    <dxf>
      <font>
        <name val="Arial"/>
        <charset val="1"/>
        <family val="0"/>
        <b val="1"/>
        <color rgb="FFB3261E"/>
        <sz val="11"/>
      </font>
      <fill>
        <patternFill>
          <bgColor rgb="FFFBE0E0"/>
        </patternFill>
      </fill>
    </dxf>
    <dxf>
      <font>
        <name val="Arial"/>
        <charset val="1"/>
        <family val="0"/>
        <b val="1"/>
        <color rgb="FF12805C"/>
        <sz val="10"/>
      </font>
    </dxf>
    <dxf>
      <font>
        <name val="Arial"/>
        <charset val="1"/>
        <family val="0"/>
        <b val="1"/>
        <color rgb="FFB3261E"/>
        <sz val="10"/>
      </font>
    </dxf>
    <dxf>
      <font>
        <name val="Arial"/>
        <charset val="1"/>
        <family val="0"/>
        <color rgb="FF12805C"/>
        <sz val="10"/>
      </font>
      <fill>
        <patternFill>
          <bgColor rgb="FFD6F0E0"/>
        </patternFill>
      </fill>
    </dxf>
    <dxf>
      <font>
        <name val="Arial"/>
        <charset val="1"/>
        <family val="0"/>
        <color rgb="FFB3261E"/>
        <sz val="10"/>
      </font>
      <fill>
        <patternFill>
          <bgColor rgb="FFFBE0E0"/>
        </patternFill>
      </fill>
    </dxf>
    <dxf>
      <fill>
        <patternFill patternType="solid">
          <fgColor rgb="FFFBE0E0"/>
          <bgColor rgb="FF000000"/>
        </patternFill>
      </fill>
    </dxf>
    <dxf>
      <fill>
        <patternFill patternType="solid">
          <fgColor rgb="FF12805C"/>
          <bgColor rgb="FF000000"/>
        </patternFill>
      </fill>
    </dxf>
    <dxf>
      <font>
        <name val="Arial"/>
        <charset val="1"/>
        <family val="0"/>
        <b val="1"/>
        <color rgb="FFB3261E"/>
        <sz val="10"/>
      </font>
      <fill>
        <patternFill>
          <bgColor rgb="FFFBE0E0"/>
        </patternFill>
      </fill>
    </dxf>
    <dxf>
      <font>
        <name val="Arial"/>
        <charset val="1"/>
        <family val="0"/>
        <b val="1"/>
        <color rgb="FFB45309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C4007"/>
      <rgbColor rgb="FF0E6347"/>
      <rgbColor rgb="FF000080"/>
      <rgbColor rgb="FFB45309"/>
      <rgbColor rgb="FF800080"/>
      <rgbColor rgb="FF0E7490"/>
      <rgbColor rgb="FFC0C0C0"/>
      <rgbColor rgb="FF42566E"/>
      <rgbColor rgb="FF9999FF"/>
      <rgbColor rgb="FF7A1F6B"/>
      <rgbColor rgb="FFFFF8E6"/>
      <rgbColor rgb="FFEEF4FC"/>
      <rgbColor rgb="FF660066"/>
      <rgbColor rgb="FFFF8080"/>
      <rgbColor rgb="FF0A5A70"/>
      <rgbColor rgb="FFD5DEE9"/>
      <rgbColor rgb="FF000080"/>
      <rgbColor rgb="FFFF00FF"/>
      <rgbColor rgb="FFFFFF00"/>
      <rgbColor rgb="FF00FFFF"/>
      <rgbColor rgb="FF800080"/>
      <rgbColor rgb="FF800000"/>
      <rgbColor rgb="FF12805C"/>
      <rgbColor rgb="FF0000FF"/>
      <rgbColor rgb="FF00CCFF"/>
      <rgbColor rgb="FFF5F8FC"/>
      <rgbColor rgb="FFD6F0E0"/>
      <rgbColor rgb="FFFFF3B0"/>
      <rgbColor rgb="FF99CCFF"/>
      <rgbColor rgb="FFFF99CC"/>
      <rgbColor rgb="FFCC99FF"/>
      <rgbColor rgb="FFFBE0E0"/>
      <rgbColor rgb="FF1E4E8C"/>
      <rgbColor rgb="FF33CCCC"/>
      <rgbColor rgb="FF99CC00"/>
      <rgbColor rgb="FFFFCC00"/>
      <rgbColor rgb="FFD9A400"/>
      <rgbColor rgb="FFC2501F"/>
      <rgbColor rgb="FF6B7280"/>
      <rgbColor rgb="FF9CA3AF"/>
      <rgbColor rgb="FF173C6D"/>
      <rgbColor rgb="FF339966"/>
      <rgbColor rgb="FF0F2942"/>
      <rgbColor rgb="FF1A3E7A"/>
      <rgbColor rgb="FF973E18"/>
      <rgbColor rgb="FFB3261E"/>
      <rgbColor rgb="FF4A3AA7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4E8C"/>
    <pageSetUpPr fitToPage="true"/>
  </sheetPr>
  <dimension ref="A2:G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7" min="2" style="0" width="24"/>
    <col collapsed="false" customWidth="true" hidden="false" outlineLevel="0" max="8" min="8" style="0" width="4"/>
  </cols>
  <sheetData>
    <row r="2" customFormat="false" ht="33.75" hidden="false" customHeight="tru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  <c r="C3" s="2"/>
      <c r="D3" s="2"/>
      <c r="E3" s="2"/>
      <c r="F3" s="2"/>
      <c r="G3" s="2"/>
    </row>
    <row r="5" customFormat="false" ht="13.5" hidden="false" customHeight="true" outlineLevel="0" collapsed="false">
      <c r="B5" s="3" t="s">
        <v>2</v>
      </c>
      <c r="C5" s="3" t="s">
        <v>3</v>
      </c>
      <c r="D5" s="3" t="s">
        <v>4</v>
      </c>
      <c r="E5" s="3" t="s">
        <v>5</v>
      </c>
    </row>
    <row r="6" customFormat="false" ht="24" hidden="false" customHeight="true" outlineLevel="0" collapsed="false">
      <c r="B6" s="4" t="s">
        <v>6</v>
      </c>
      <c r="C6" s="4" t="s">
        <v>7</v>
      </c>
      <c r="D6" s="4" t="s">
        <v>8</v>
      </c>
      <c r="E6" s="4" t="s">
        <v>9</v>
      </c>
    </row>
    <row r="7" customFormat="false" ht="15.75" hidden="false" customHeight="true" outlineLevel="0" collapsed="false">
      <c r="B7" s="5" t="s">
        <v>10</v>
      </c>
      <c r="C7" s="5" t="s">
        <v>11</v>
      </c>
      <c r="D7" s="5" t="s">
        <v>12</v>
      </c>
      <c r="E7" s="5" t="s">
        <v>13</v>
      </c>
    </row>
    <row r="10" customFormat="false" ht="15" hidden="false" customHeight="false" outlineLevel="0" collapsed="false">
      <c r="B10" s="6" t="s">
        <v>14</v>
      </c>
    </row>
    <row r="11" customFormat="false" ht="18" hidden="false" customHeight="true" outlineLevel="0" collapsed="false">
      <c r="B11" s="7" t="s">
        <v>15</v>
      </c>
      <c r="C11" s="8" t="s">
        <v>16</v>
      </c>
      <c r="D11" s="8"/>
      <c r="E11" s="8"/>
      <c r="F11" s="8"/>
      <c r="G11" s="8"/>
    </row>
    <row r="12" customFormat="false" ht="18" hidden="false" customHeight="true" outlineLevel="0" collapsed="false">
      <c r="B12" s="9" t="s">
        <v>17</v>
      </c>
      <c r="C12" s="8" t="s">
        <v>18</v>
      </c>
      <c r="D12" s="8"/>
      <c r="E12" s="8"/>
      <c r="F12" s="8"/>
      <c r="G12" s="8"/>
    </row>
    <row r="13" customFormat="false" ht="18" hidden="false" customHeight="true" outlineLevel="0" collapsed="false">
      <c r="B13" s="10" t="s">
        <v>19</v>
      </c>
      <c r="C13" s="8" t="s">
        <v>20</v>
      </c>
      <c r="D13" s="8"/>
      <c r="E13" s="8"/>
      <c r="F13" s="8"/>
      <c r="G13" s="8"/>
    </row>
    <row r="14" customFormat="false" ht="18" hidden="false" customHeight="true" outlineLevel="0" collapsed="false">
      <c r="B14" s="11" t="s">
        <v>21</v>
      </c>
      <c r="C14" s="8" t="s">
        <v>22</v>
      </c>
      <c r="D14" s="8"/>
      <c r="E14" s="8"/>
      <c r="F14" s="8"/>
      <c r="G14" s="8"/>
    </row>
    <row r="15" customFormat="false" ht="18" hidden="false" customHeight="true" outlineLevel="0" collapsed="false">
      <c r="B15" s="10" t="s">
        <v>23</v>
      </c>
      <c r="C15" s="8" t="s">
        <v>24</v>
      </c>
      <c r="D15" s="8"/>
      <c r="E15" s="8"/>
      <c r="F15" s="8"/>
      <c r="G15" s="8"/>
    </row>
    <row r="16" customFormat="false" ht="18" hidden="false" customHeight="true" outlineLevel="0" collapsed="false">
      <c r="B16" s="7" t="s">
        <v>25</v>
      </c>
      <c r="C16" s="8" t="s">
        <v>26</v>
      </c>
      <c r="D16" s="8"/>
      <c r="E16" s="8"/>
      <c r="F16" s="8"/>
      <c r="G16" s="8"/>
    </row>
    <row r="17" customFormat="false" ht="18" hidden="false" customHeight="true" outlineLevel="0" collapsed="false">
      <c r="B17" s="12" t="s">
        <v>27</v>
      </c>
      <c r="C17" s="8" t="s">
        <v>28</v>
      </c>
      <c r="D17" s="8"/>
      <c r="E17" s="8"/>
      <c r="F17" s="8"/>
      <c r="G17" s="8"/>
    </row>
    <row r="18" customFormat="false" ht="18" hidden="false" customHeight="true" outlineLevel="0" collapsed="false">
      <c r="B18" s="12" t="s">
        <v>29</v>
      </c>
      <c r="C18" s="8" t="s">
        <v>30</v>
      </c>
      <c r="D18" s="8"/>
      <c r="E18" s="8"/>
      <c r="F18" s="8"/>
      <c r="G18" s="8"/>
    </row>
    <row r="19" customFormat="false" ht="18" hidden="false" customHeight="true" outlineLevel="0" collapsed="false">
      <c r="B19" s="11" t="s">
        <v>31</v>
      </c>
      <c r="C19" s="8" t="s">
        <v>32</v>
      </c>
      <c r="D19" s="8"/>
      <c r="E19" s="8"/>
      <c r="F19" s="8"/>
      <c r="G19" s="8"/>
    </row>
    <row r="20" customFormat="false" ht="18" hidden="false" customHeight="true" outlineLevel="0" collapsed="false">
      <c r="B20" s="13" t="s">
        <v>33</v>
      </c>
      <c r="C20" s="8" t="s">
        <v>34</v>
      </c>
      <c r="D20" s="8"/>
      <c r="E20" s="8"/>
      <c r="F20" s="8"/>
      <c r="G20" s="8"/>
    </row>
    <row r="21" customFormat="false" ht="18" hidden="false" customHeight="true" outlineLevel="0" collapsed="false">
      <c r="B21" s="14" t="s">
        <v>35</v>
      </c>
      <c r="C21" s="8" t="s">
        <v>36</v>
      </c>
      <c r="D21" s="8"/>
      <c r="E21" s="8"/>
      <c r="F21" s="8"/>
      <c r="G21" s="8"/>
    </row>
    <row r="22" customFormat="false" ht="18" hidden="false" customHeight="true" outlineLevel="0" collapsed="false">
      <c r="B22" s="9" t="s">
        <v>37</v>
      </c>
      <c r="C22" s="8" t="s">
        <v>38</v>
      </c>
      <c r="D22" s="8"/>
      <c r="E22" s="8"/>
      <c r="F22" s="8"/>
      <c r="G22" s="8"/>
    </row>
    <row r="23" customFormat="false" ht="18" hidden="false" customHeight="true" outlineLevel="0" collapsed="false">
      <c r="B23" s="9" t="s">
        <v>39</v>
      </c>
      <c r="C23" s="8" t="s">
        <v>40</v>
      </c>
      <c r="D23" s="8"/>
      <c r="E23" s="8"/>
      <c r="F23" s="8"/>
      <c r="G23" s="8"/>
    </row>
    <row r="25" customFormat="false" ht="15" hidden="false" customHeight="false" outlineLevel="0" collapsed="false">
      <c r="B25" s="6" t="s">
        <v>41</v>
      </c>
    </row>
    <row r="26" customFormat="false" ht="15.75" hidden="false" customHeight="true" outlineLevel="0" collapsed="false">
      <c r="B26" s="15" t="s">
        <v>42</v>
      </c>
      <c r="C26" s="15"/>
      <c r="D26" s="15"/>
      <c r="E26" s="15"/>
      <c r="F26" s="15"/>
      <c r="G26" s="15"/>
    </row>
    <row r="27" customFormat="false" ht="15.75" hidden="false" customHeight="true" outlineLevel="0" collapsed="false">
      <c r="B27" s="15" t="s">
        <v>43</v>
      </c>
      <c r="C27" s="15"/>
      <c r="D27" s="15"/>
      <c r="E27" s="15"/>
      <c r="F27" s="15"/>
      <c r="G27" s="15"/>
    </row>
    <row r="28" customFormat="false" ht="15.75" hidden="false" customHeight="true" outlineLevel="0" collapsed="false">
      <c r="B28" s="15" t="s">
        <v>44</v>
      </c>
      <c r="C28" s="15"/>
      <c r="D28" s="15"/>
      <c r="E28" s="15"/>
      <c r="F28" s="15"/>
      <c r="G28" s="15"/>
    </row>
    <row r="29" customFormat="false" ht="15.75" hidden="false" customHeight="true" outlineLevel="0" collapsed="false">
      <c r="B29" s="15" t="s">
        <v>45</v>
      </c>
      <c r="C29" s="15"/>
      <c r="D29" s="15"/>
      <c r="E29" s="15"/>
      <c r="F29" s="15"/>
      <c r="G29" s="15"/>
    </row>
    <row r="31" customFormat="false" ht="15" hidden="false" customHeight="false" outlineLevel="0" collapsed="false">
      <c r="B31" s="6" t="s">
        <v>46</v>
      </c>
    </row>
    <row r="32" customFormat="false" ht="21.75" hidden="false" customHeight="true" outlineLevel="0" collapsed="false">
      <c r="B32" s="16" t="s">
        <v>47</v>
      </c>
      <c r="C32" s="17" t="s">
        <v>48</v>
      </c>
      <c r="D32" s="18" t="s">
        <v>49</v>
      </c>
      <c r="E32" s="18"/>
      <c r="F32" s="18"/>
      <c r="G32" s="18"/>
    </row>
    <row r="33" customFormat="false" ht="21.75" hidden="false" customHeight="true" outlineLevel="0" collapsed="false">
      <c r="B33" s="19" t="s">
        <v>50</v>
      </c>
      <c r="C33" s="17" t="s">
        <v>51</v>
      </c>
      <c r="D33" s="18" t="s">
        <v>52</v>
      </c>
      <c r="E33" s="18"/>
      <c r="F33" s="18"/>
      <c r="G33" s="18"/>
    </row>
    <row r="34" customFormat="false" ht="21.75" hidden="false" customHeight="true" outlineLevel="0" collapsed="false">
      <c r="B34" s="19" t="s">
        <v>50</v>
      </c>
      <c r="C34" s="17" t="s">
        <v>53</v>
      </c>
      <c r="D34" s="18" t="s">
        <v>54</v>
      </c>
      <c r="E34" s="18"/>
      <c r="F34" s="18"/>
      <c r="G34" s="18"/>
    </row>
    <row r="36" customFormat="false" ht="13.5" hidden="false" customHeight="true" outlineLevel="0" collapsed="false">
      <c r="B36" s="20" t="s">
        <v>55</v>
      </c>
      <c r="C36" s="20"/>
      <c r="D36" s="20"/>
      <c r="E36" s="20"/>
      <c r="F36" s="20"/>
      <c r="G36" s="20"/>
    </row>
    <row r="37" customFormat="false" ht="45.75" hidden="false" customHeight="true" outlineLevel="0" collapsed="false">
      <c r="B37" s="21" t="s">
        <v>56</v>
      </c>
      <c r="C37" s="21"/>
      <c r="D37" s="21"/>
      <c r="E37" s="21"/>
      <c r="F37" s="21"/>
      <c r="G37" s="21"/>
    </row>
    <row r="39" customFormat="false" ht="15" hidden="false" customHeight="false" outlineLevel="0" collapsed="false">
      <c r="A39" s="22" t="s">
        <v>57</v>
      </c>
      <c r="B39" s="22"/>
      <c r="C39" s="22"/>
      <c r="D39" s="22"/>
      <c r="E39" s="22"/>
      <c r="F39" s="22"/>
      <c r="G39" s="22"/>
    </row>
  </sheetData>
  <mergeCells count="24">
    <mergeCell ref="B3:G3"/>
    <mergeCell ref="C11:G11"/>
    <mergeCell ref="C12:G12"/>
    <mergeCell ref="C13:G13"/>
    <mergeCell ref="C14:G14"/>
    <mergeCell ref="C15:G15"/>
    <mergeCell ref="C16:G16"/>
    <mergeCell ref="C17:G17"/>
    <mergeCell ref="C18:G18"/>
    <mergeCell ref="C19:G19"/>
    <mergeCell ref="C20:G20"/>
    <mergeCell ref="C21:G21"/>
    <mergeCell ref="C22:G22"/>
    <mergeCell ref="C23:G23"/>
    <mergeCell ref="B26:G26"/>
    <mergeCell ref="B27:G27"/>
    <mergeCell ref="B28:G28"/>
    <mergeCell ref="B29:G29"/>
    <mergeCell ref="D32:G32"/>
    <mergeCell ref="D33:G33"/>
    <mergeCell ref="D34:G34"/>
    <mergeCell ref="B36:G36"/>
    <mergeCell ref="B37:G37"/>
    <mergeCell ref="A39:G39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4E8C"/>
    <pageSetUpPr fitToPage="true"/>
  </sheetPr>
  <dimension ref="A1:W1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4" min="3" style="0" width="18"/>
    <col collapsed="false" customWidth="true" hidden="false" outlineLevel="0" max="5" min="5" style="0" width="9"/>
    <col collapsed="false" customWidth="true" hidden="false" outlineLevel="0" max="6" min="6" style="0" width="8"/>
    <col collapsed="false" customWidth="true" hidden="false" outlineLevel="0" max="7" min="7" style="0" width="9"/>
    <col collapsed="false" customWidth="true" hidden="false" outlineLevel="0" max="8" min="8" style="0" width="8"/>
    <col collapsed="false" customWidth="true" hidden="false" outlineLevel="0" max="9" min="9" style="0" width="7"/>
    <col collapsed="false" customWidth="true" hidden="false" outlineLevel="0" max="10" min="10" style="0" width="9"/>
    <col collapsed="false" customWidth="true" hidden="false" outlineLevel="0" max="11" min="11" style="0" width="7"/>
    <col collapsed="false" customWidth="true" hidden="false" outlineLevel="0" max="12" min="12" style="0" width="8"/>
    <col collapsed="false" customWidth="true" hidden="false" outlineLevel="0" max="13" min="13" style="0" width="7"/>
    <col collapsed="false" customWidth="true" hidden="false" outlineLevel="0" max="14" min="14" style="0" width="10"/>
    <col collapsed="false" customWidth="true" hidden="false" outlineLevel="0" max="15" min="15" style="0" width="8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9"/>
    <col collapsed="false" customWidth="true" hidden="false" outlineLevel="0" max="21" min="21" style="0" width="23"/>
    <col collapsed="false" customWidth="true" hidden="false" outlineLevel="0" max="22" min="22" style="0" width="9"/>
    <col collapsed="false" customWidth="true" hidden="false" outlineLevel="0" max="23" min="23" style="0" width="7"/>
  </cols>
  <sheetData>
    <row r="1" customFormat="false" ht="30" hidden="false" customHeight="true" outlineLevel="0" collapsed="false">
      <c r="A1" s="23" t="s">
        <v>58</v>
      </c>
    </row>
    <row r="2" customFormat="false" ht="15.75" hidden="false" customHeight="true" outlineLevel="0" collapsed="false">
      <c r="A2" s="24" t="s">
        <v>59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</row>
    <row r="4" customFormat="false" ht="19.5" hidden="false" customHeight="true" outlineLevel="0" collapsed="false">
      <c r="A4" s="25" t="s">
        <v>60</v>
      </c>
      <c r="B4" s="25"/>
      <c r="C4" s="25"/>
      <c r="D4" s="25"/>
      <c r="E4" s="26" t="s">
        <v>61</v>
      </c>
      <c r="F4" s="26"/>
      <c r="G4" s="26"/>
      <c r="H4" s="26"/>
      <c r="I4" s="26"/>
      <c r="J4" s="26"/>
      <c r="K4" s="26"/>
      <c r="L4" s="26"/>
      <c r="M4" s="26"/>
      <c r="N4" s="27" t="s">
        <v>62</v>
      </c>
      <c r="O4" s="27"/>
      <c r="P4" s="27"/>
      <c r="Q4" s="28" t="s">
        <v>63</v>
      </c>
      <c r="R4" s="28"/>
      <c r="S4" s="29" t="s">
        <v>64</v>
      </c>
      <c r="T4" s="19" t="s">
        <v>65</v>
      </c>
      <c r="U4" s="30" t="s">
        <v>66</v>
      </c>
      <c r="V4" s="30"/>
      <c r="W4" s="30"/>
    </row>
    <row r="5" customFormat="false" ht="27.75" hidden="false" customHeight="true" outlineLevel="0" collapsed="false">
      <c r="A5" s="31" t="s">
        <v>67</v>
      </c>
      <c r="B5" s="31" t="s">
        <v>68</v>
      </c>
      <c r="C5" s="31" t="s">
        <v>69</v>
      </c>
      <c r="D5" s="31" t="s">
        <v>70</v>
      </c>
      <c r="E5" s="31" t="s">
        <v>71</v>
      </c>
      <c r="F5" s="31" t="s">
        <v>72</v>
      </c>
      <c r="G5" s="31" t="s">
        <v>73</v>
      </c>
      <c r="H5" s="31" t="s">
        <v>74</v>
      </c>
      <c r="I5" s="31" t="s">
        <v>75</v>
      </c>
      <c r="J5" s="31" t="s">
        <v>76</v>
      </c>
      <c r="K5" s="31" t="s">
        <v>75</v>
      </c>
      <c r="L5" s="31" t="s">
        <v>77</v>
      </c>
      <c r="M5" s="31" t="s">
        <v>75</v>
      </c>
      <c r="N5" s="31" t="s">
        <v>78</v>
      </c>
      <c r="O5" s="31" t="s">
        <v>79</v>
      </c>
      <c r="P5" s="31" t="s">
        <v>75</v>
      </c>
      <c r="Q5" s="31" t="s">
        <v>80</v>
      </c>
      <c r="R5" s="31" t="s">
        <v>75</v>
      </c>
      <c r="S5" s="31" t="s">
        <v>33</v>
      </c>
      <c r="T5" s="31" t="s">
        <v>35</v>
      </c>
      <c r="U5" s="31" t="s">
        <v>81</v>
      </c>
      <c r="V5" s="31" t="s">
        <v>82</v>
      </c>
      <c r="W5" s="31" t="s">
        <v>75</v>
      </c>
    </row>
    <row r="6" customFormat="false" ht="18.75" hidden="false" customHeight="true" outlineLevel="0" collapsed="false">
      <c r="A6" s="32" t="n">
        <v>21</v>
      </c>
      <c r="B6" s="33" t="n">
        <v>46233</v>
      </c>
      <c r="C6" s="34" t="s">
        <v>83</v>
      </c>
      <c r="D6" s="34" t="s">
        <v>84</v>
      </c>
      <c r="E6" s="35" t="s">
        <v>77</v>
      </c>
      <c r="F6" s="32" t="s">
        <v>85</v>
      </c>
      <c r="G6" s="36" t="n">
        <v>0.116941042349487</v>
      </c>
      <c r="H6" s="36" t="n">
        <v>0.354223598922765</v>
      </c>
      <c r="I6" s="37" t="n">
        <f aca="false">IFERROR(1/H6,"")</f>
        <v>2.82307560264509</v>
      </c>
      <c r="J6" s="36" t="n">
        <v>0.248614935152616</v>
      </c>
      <c r="K6" s="37" t="n">
        <f aca="false">IFERROR(1/J6,"")</f>
        <v>4.02228449946555</v>
      </c>
      <c r="L6" s="36" t="n">
        <v>0.397161465924619</v>
      </c>
      <c r="M6" s="37" t="n">
        <f aca="false">IFERROR(1/L6,"")</f>
        <v>2.51786763268167</v>
      </c>
      <c r="N6" s="38" t="n">
        <v>2.82107809802343</v>
      </c>
      <c r="O6" s="36" t="n">
        <v>0.535556794079534</v>
      </c>
      <c r="P6" s="37" t="n">
        <f aca="false">IFERROR(1/O6,"")</f>
        <v>1.86721559889593</v>
      </c>
      <c r="Q6" s="36" t="n">
        <v>0.569578573025788</v>
      </c>
      <c r="R6" s="37" t="n">
        <f aca="false">IFERROR(1/Q6,"")</f>
        <v>1.75568402211423</v>
      </c>
      <c r="S6" s="38" t="n">
        <v>8.96696519457963</v>
      </c>
      <c r="T6" s="38" t="n">
        <v>3.54910339041569</v>
      </c>
      <c r="U6" s="34" t="s">
        <v>86</v>
      </c>
      <c r="V6" s="36" t="n">
        <v>0.786226646197878</v>
      </c>
      <c r="W6" s="37" t="n">
        <f aca="false">IFERROR(1/V6,"")</f>
        <v>1.27189787427825</v>
      </c>
    </row>
    <row r="7" customFormat="false" ht="18.75" hidden="false" customHeight="true" outlineLevel="0" collapsed="false">
      <c r="A7" s="39" t="n">
        <v>21</v>
      </c>
      <c r="B7" s="40" t="n">
        <v>46297</v>
      </c>
      <c r="C7" s="41" t="s">
        <v>87</v>
      </c>
      <c r="D7" s="41" t="s">
        <v>88</v>
      </c>
      <c r="E7" s="42" t="s">
        <v>74</v>
      </c>
      <c r="F7" s="39" t="s">
        <v>89</v>
      </c>
      <c r="G7" s="43" t="n">
        <v>0.132798750349266</v>
      </c>
      <c r="H7" s="43" t="n">
        <v>0.503638893384442</v>
      </c>
      <c r="I7" s="44" t="n">
        <f aca="false">IFERROR(1/H7,"")</f>
        <v>1.9855495934399</v>
      </c>
      <c r="J7" s="43" t="n">
        <v>0.258438234314728</v>
      </c>
      <c r="K7" s="44" t="n">
        <f aca="false">IFERROR(1/J7,"")</f>
        <v>3.8693965026173</v>
      </c>
      <c r="L7" s="43" t="n">
        <v>0.237922872300829</v>
      </c>
      <c r="M7" s="44" t="n">
        <f aca="false">IFERROR(1/L7,"")</f>
        <v>4.20304273536006</v>
      </c>
      <c r="N7" s="45" t="n">
        <v>2.43225779465202</v>
      </c>
      <c r="O7" s="43" t="n">
        <v>0.43869710859524</v>
      </c>
      <c r="P7" s="44" t="n">
        <f aca="false">IFERROR(1/O7,"")</f>
        <v>2.27947707064247</v>
      </c>
      <c r="Q7" s="43" t="n">
        <v>0.470377121587554</v>
      </c>
      <c r="R7" s="44" t="n">
        <f aca="false">IFERROR(1/Q7,"")</f>
        <v>2.12595373819401</v>
      </c>
      <c r="S7" s="45" t="n">
        <v>10.4588058147705</v>
      </c>
      <c r="T7" s="45" t="n">
        <v>5.43315107272989</v>
      </c>
      <c r="U7" s="41" t="s">
        <v>86</v>
      </c>
      <c r="V7" s="43" t="n">
        <v>0.813649995185065</v>
      </c>
      <c r="W7" s="44" t="n">
        <f aca="false">IFERROR(1/V7,"")</f>
        <v>1.22902968833982</v>
      </c>
    </row>
    <row r="8" customFormat="false" ht="18.75" hidden="false" customHeight="true" outlineLevel="0" collapsed="false">
      <c r="A8" s="32" t="n">
        <v>21</v>
      </c>
      <c r="B8" s="33" t="n">
        <v>46298</v>
      </c>
      <c r="C8" s="34" t="s">
        <v>90</v>
      </c>
      <c r="D8" s="34" t="s">
        <v>91</v>
      </c>
      <c r="E8" s="35" t="s">
        <v>74</v>
      </c>
      <c r="F8" s="32" t="s">
        <v>89</v>
      </c>
      <c r="G8" s="36" t="n">
        <v>0.128106495301332</v>
      </c>
      <c r="H8" s="36" t="n">
        <v>0.512882686211862</v>
      </c>
      <c r="I8" s="37" t="n">
        <f aca="false">IFERROR(1/H8,"")</f>
        <v>1.94976361433835</v>
      </c>
      <c r="J8" s="36" t="n">
        <v>0.252716665258713</v>
      </c>
      <c r="K8" s="37" t="n">
        <f aca="false">IFERROR(1/J8,"")</f>
        <v>3.95700061559562</v>
      </c>
      <c r="L8" s="36" t="n">
        <v>0.234400648529425</v>
      </c>
      <c r="M8" s="37" t="n">
        <f aca="false">IFERROR(1/L8,"")</f>
        <v>4.26619980052856</v>
      </c>
      <c r="N8" s="38" t="n">
        <v>2.50330536909114</v>
      </c>
      <c r="O8" s="36" t="n">
        <v>0.457035931275731</v>
      </c>
      <c r="P8" s="37" t="n">
        <f aca="false">IFERROR(1/O8,"")</f>
        <v>2.1880117766861</v>
      </c>
      <c r="Q8" s="36" t="n">
        <v>0.482947349799624</v>
      </c>
      <c r="R8" s="37" t="n">
        <f aca="false">IFERROR(1/Q8,"")</f>
        <v>2.07061908594157</v>
      </c>
      <c r="S8" s="38" t="n">
        <v>10.8895792467825</v>
      </c>
      <c r="T8" s="38" t="n">
        <v>5.43444448345054</v>
      </c>
      <c r="U8" s="34" t="s">
        <v>86</v>
      </c>
      <c r="V8" s="36" t="n">
        <v>0.810342857188946</v>
      </c>
      <c r="W8" s="37" t="n">
        <f aca="false">IFERROR(1/V8,"")</f>
        <v>1.23404555383997</v>
      </c>
    </row>
    <row r="9" customFormat="false" ht="18.75" hidden="false" customHeight="true" outlineLevel="0" collapsed="false">
      <c r="A9" s="39" t="n">
        <v>29</v>
      </c>
      <c r="B9" s="40" t="n">
        <v>46302</v>
      </c>
      <c r="C9" s="41" t="s">
        <v>92</v>
      </c>
      <c r="D9" s="41" t="s">
        <v>90</v>
      </c>
      <c r="E9" s="42" t="s">
        <v>74</v>
      </c>
      <c r="F9" s="39" t="s">
        <v>89</v>
      </c>
      <c r="G9" s="43" t="n">
        <v>0.128379448561359</v>
      </c>
      <c r="H9" s="43" t="n">
        <v>0.45587463984214</v>
      </c>
      <c r="I9" s="44" t="n">
        <f aca="false">IFERROR(1/H9,"")</f>
        <v>2.19358550049259</v>
      </c>
      <c r="J9" s="43" t="n">
        <v>0.268513430487424</v>
      </c>
      <c r="K9" s="44" t="n">
        <f aca="false">IFERROR(1/J9,"")</f>
        <v>3.72420849930945</v>
      </c>
      <c r="L9" s="43" t="n">
        <v>0.275611929670436</v>
      </c>
      <c r="M9" s="44" t="n">
        <f aca="false">IFERROR(1/L9,"")</f>
        <v>3.62828996987087</v>
      </c>
      <c r="N9" s="45" t="n">
        <v>2.38637580265828</v>
      </c>
      <c r="O9" s="43" t="n">
        <v>0.426728192318324</v>
      </c>
      <c r="P9" s="44" t="n">
        <f aca="false">IFERROR(1/O9,"")</f>
        <v>2.34341207822997</v>
      </c>
      <c r="Q9" s="43" t="n">
        <v>0.473378218688515</v>
      </c>
      <c r="R9" s="44" t="n">
        <f aca="false">IFERROR(1/Q9,"")</f>
        <v>2.11247573403457</v>
      </c>
      <c r="S9" s="45" t="n">
        <v>10.1284020610985</v>
      </c>
      <c r="T9" s="45" t="n">
        <v>4.97971812853437</v>
      </c>
      <c r="U9" s="41" t="s">
        <v>86</v>
      </c>
      <c r="V9" s="43" t="n">
        <v>0.815370185648016</v>
      </c>
      <c r="W9" s="44" t="n">
        <f aca="false">IFERROR(1/V9,"")</f>
        <v>1.22643679840372</v>
      </c>
    </row>
    <row r="10" customFormat="false" ht="18.75" hidden="false" customHeight="true" outlineLevel="0" collapsed="false">
      <c r="A10" s="32" t="n">
        <v>29</v>
      </c>
      <c r="B10" s="33" t="n">
        <v>46302</v>
      </c>
      <c r="C10" s="34" t="s">
        <v>93</v>
      </c>
      <c r="D10" s="34" t="s">
        <v>84</v>
      </c>
      <c r="E10" s="35" t="s">
        <v>74</v>
      </c>
      <c r="F10" s="32" t="s">
        <v>89</v>
      </c>
      <c r="G10" s="36" t="n">
        <v>0.108994931004705</v>
      </c>
      <c r="H10" s="36" t="n">
        <v>0.596488740691601</v>
      </c>
      <c r="I10" s="37" t="n">
        <f aca="false">IFERROR(1/H10,"")</f>
        <v>1.67647757917533</v>
      </c>
      <c r="J10" s="36" t="n">
        <v>0.216740464328827</v>
      </c>
      <c r="K10" s="37" t="n">
        <f aca="false">IFERROR(1/J10,"")</f>
        <v>4.61381312943418</v>
      </c>
      <c r="L10" s="36" t="n">
        <v>0.186770794979572</v>
      </c>
      <c r="M10" s="37" t="n">
        <f aca="false">IFERROR(1/L10,"")</f>
        <v>5.35415614689316</v>
      </c>
      <c r="N10" s="38" t="n">
        <v>2.87554924158609</v>
      </c>
      <c r="O10" s="36" t="n">
        <v>0.548367548110498</v>
      </c>
      <c r="P10" s="37" t="n">
        <f aca="false">IFERROR(1/O10,"")</f>
        <v>1.82359441846201</v>
      </c>
      <c r="Q10" s="36" t="n">
        <v>0.525980197558623</v>
      </c>
      <c r="R10" s="37" t="n">
        <f aca="false">IFERROR(1/Q10,"")</f>
        <v>1.90121225978008</v>
      </c>
      <c r="S10" s="38" t="n">
        <v>8.6546410912878</v>
      </c>
      <c r="T10" s="38" t="n">
        <v>4.78536048681559</v>
      </c>
      <c r="U10" s="34" t="s">
        <v>94</v>
      </c>
      <c r="V10" s="36" t="n">
        <v>0.813229205020428</v>
      </c>
      <c r="W10" s="37" t="n">
        <f aca="false">IFERROR(1/V10,"")</f>
        <v>1.22966562664812</v>
      </c>
    </row>
    <row r="11" customFormat="false" ht="18.75" hidden="false" customHeight="true" outlineLevel="0" collapsed="false">
      <c r="A11" s="39" t="n">
        <v>29</v>
      </c>
      <c r="B11" s="40" t="n">
        <v>46302</v>
      </c>
      <c r="C11" s="41" t="s">
        <v>91</v>
      </c>
      <c r="D11" s="41" t="s">
        <v>95</v>
      </c>
      <c r="E11" s="42" t="s">
        <v>74</v>
      </c>
      <c r="F11" s="39" t="s">
        <v>85</v>
      </c>
      <c r="G11" s="43" t="n">
        <v>0.121917241783777</v>
      </c>
      <c r="H11" s="43" t="n">
        <v>0.429158576156502</v>
      </c>
      <c r="I11" s="44" t="n">
        <f aca="false">IFERROR(1/H11,"")</f>
        <v>2.33014101443782</v>
      </c>
      <c r="J11" s="43" t="n">
        <v>0.256552259128917</v>
      </c>
      <c r="K11" s="44" t="n">
        <f aca="false">IFERROR(1/J11,"")</f>
        <v>3.89784133414121</v>
      </c>
      <c r="L11" s="43" t="n">
        <v>0.314289164714581</v>
      </c>
      <c r="M11" s="44" t="n">
        <f aca="false">IFERROR(1/L11,"")</f>
        <v>3.1817832501739</v>
      </c>
      <c r="N11" s="45" t="n">
        <v>2.63595859955331</v>
      </c>
      <c r="O11" s="43" t="n">
        <v>0.49056055220963</v>
      </c>
      <c r="P11" s="44" t="n">
        <f aca="false">IFERROR(1/O11,"")</f>
        <v>2.0384843328631</v>
      </c>
      <c r="Q11" s="43" t="n">
        <v>0.53075408371458</v>
      </c>
      <c r="R11" s="44" t="n">
        <f aca="false">IFERROR(1/Q11,"")</f>
        <v>1.88411173966165</v>
      </c>
      <c r="S11" s="45" t="n">
        <v>11.7740050779633</v>
      </c>
      <c r="T11" s="45" t="n">
        <v>4.85508897566538</v>
      </c>
      <c r="U11" s="41" t="s">
        <v>86</v>
      </c>
      <c r="V11" s="43" t="n">
        <v>0.802088020653686</v>
      </c>
      <c r="W11" s="44" t="n">
        <f aca="false">IFERROR(1/V11,"")</f>
        <v>1.2467459608548</v>
      </c>
    </row>
    <row r="12" customFormat="false" ht="18.75" hidden="false" customHeight="true" outlineLevel="0" collapsed="false">
      <c r="A12" s="32" t="n">
        <v>29</v>
      </c>
      <c r="B12" s="33" t="n">
        <v>46302</v>
      </c>
      <c r="C12" s="34" t="s">
        <v>96</v>
      </c>
      <c r="D12" s="34" t="s">
        <v>87</v>
      </c>
      <c r="E12" s="35" t="s">
        <v>74</v>
      </c>
      <c r="F12" s="32" t="s">
        <v>89</v>
      </c>
      <c r="G12" s="36" t="n">
        <v>0.152617287365882</v>
      </c>
      <c r="H12" s="36" t="n">
        <v>0.480814742760228</v>
      </c>
      <c r="I12" s="37" t="n">
        <f aca="false">IFERROR(1/H12,"")</f>
        <v>2.07980311556021</v>
      </c>
      <c r="J12" s="36" t="n">
        <v>0.27931563641294</v>
      </c>
      <c r="K12" s="37" t="n">
        <f aca="false">IFERROR(1/J12,"")</f>
        <v>3.5801790864354</v>
      </c>
      <c r="L12" s="36" t="n">
        <v>0.239869620826833</v>
      </c>
      <c r="M12" s="37" t="n">
        <f aca="false">IFERROR(1/L12,"")</f>
        <v>4.16893142430038</v>
      </c>
      <c r="N12" s="38" t="n">
        <v>2.17259520529156</v>
      </c>
      <c r="O12" s="36" t="n">
        <v>0.369929389925032</v>
      </c>
      <c r="P12" s="37" t="n">
        <f aca="false">IFERROR(1/O12,"")</f>
        <v>2.70321857963936</v>
      </c>
      <c r="Q12" s="36" t="n">
        <v>0.417813967122782</v>
      </c>
      <c r="R12" s="37" t="n">
        <f aca="false">IFERROR(1/Q12,"")</f>
        <v>2.3934096959141</v>
      </c>
      <c r="S12" s="38" t="n">
        <v>10.284274701906</v>
      </c>
      <c r="T12" s="38" t="n">
        <v>5.72264311342322</v>
      </c>
      <c r="U12" s="34" t="s">
        <v>97</v>
      </c>
      <c r="V12" s="36" t="n">
        <v>0.824713901131381</v>
      </c>
      <c r="W12" s="37" t="n">
        <f aca="false">IFERROR(1/V12,"")</f>
        <v>1.21254170522426</v>
      </c>
    </row>
    <row r="13" customFormat="false" ht="18.75" hidden="false" customHeight="true" outlineLevel="0" collapsed="false">
      <c r="A13" s="39" t="n">
        <v>29</v>
      </c>
      <c r="B13" s="40" t="n">
        <v>46302</v>
      </c>
      <c r="C13" s="41" t="s">
        <v>98</v>
      </c>
      <c r="D13" s="41" t="s">
        <v>99</v>
      </c>
      <c r="E13" s="42" t="s">
        <v>74</v>
      </c>
      <c r="F13" s="39" t="s">
        <v>89</v>
      </c>
      <c r="G13" s="43" t="n">
        <v>0.117283830197497</v>
      </c>
      <c r="H13" s="43" t="n">
        <v>0.627227752522016</v>
      </c>
      <c r="I13" s="44" t="n">
        <f aca="false">IFERROR(1/H13,"")</f>
        <v>1.59431720930572</v>
      </c>
      <c r="J13" s="43" t="n">
        <v>0.210393608813374</v>
      </c>
      <c r="K13" s="44" t="n">
        <f aca="false">IFERROR(1/J13,"")</f>
        <v>4.75299608975781</v>
      </c>
      <c r="L13" s="43" t="n">
        <v>0.16237863866461</v>
      </c>
      <c r="M13" s="44" t="n">
        <f aca="false">IFERROR(1/L13,"")</f>
        <v>6.15844552106068</v>
      </c>
      <c r="N13" s="45" t="n">
        <v>2.82064264752163</v>
      </c>
      <c r="O13" s="43" t="n">
        <v>0.535463747849238</v>
      </c>
      <c r="P13" s="44" t="n">
        <f aca="false">IFERROR(1/O13,"")</f>
        <v>1.8675400603993</v>
      </c>
      <c r="Q13" s="43" t="n">
        <v>0.497700426210343</v>
      </c>
      <c r="R13" s="44" t="n">
        <f aca="false">IFERROR(1/Q13,"")</f>
        <v>2.0092407949383</v>
      </c>
      <c r="S13" s="45" t="n">
        <v>10.0399093519217</v>
      </c>
      <c r="T13" s="45" t="n">
        <v>5.23023835475631</v>
      </c>
      <c r="U13" s="41" t="s">
        <v>94</v>
      </c>
      <c r="V13" s="43" t="n">
        <v>0.83762136133539</v>
      </c>
      <c r="W13" s="44" t="n">
        <f aca="false">IFERROR(1/V13,"")</f>
        <v>1.19385685007571</v>
      </c>
    </row>
    <row r="14" customFormat="false" ht="18.75" hidden="false" customHeight="true" outlineLevel="0" collapsed="false">
      <c r="A14" s="32" t="n">
        <v>29</v>
      </c>
      <c r="B14" s="33" t="n">
        <v>46302</v>
      </c>
      <c r="C14" s="34" t="s">
        <v>100</v>
      </c>
      <c r="D14" s="34" t="s">
        <v>101</v>
      </c>
      <c r="E14" s="35" t="s">
        <v>74</v>
      </c>
      <c r="F14" s="32" t="s">
        <v>89</v>
      </c>
      <c r="G14" s="36" t="n">
        <v>0.141391095149321</v>
      </c>
      <c r="H14" s="36" t="n">
        <v>0.461683183401895</v>
      </c>
      <c r="I14" s="37" t="n">
        <f aca="false">IFERROR(1/H14,"")</f>
        <v>2.16598749088398</v>
      </c>
      <c r="J14" s="36" t="n">
        <v>0.276778128596004</v>
      </c>
      <c r="K14" s="37" t="n">
        <f aca="false">IFERROR(1/J14,"")</f>
        <v>3.61300224505686</v>
      </c>
      <c r="L14" s="36" t="n">
        <v>0.2615386880021</v>
      </c>
      <c r="M14" s="37" t="n">
        <f aca="false">IFERROR(1/L14,"")</f>
        <v>3.82352610101023</v>
      </c>
      <c r="N14" s="38" t="n">
        <v>2.25013883106034</v>
      </c>
      <c r="O14" s="36" t="n">
        <v>0.390698117785273</v>
      </c>
      <c r="P14" s="37" t="n">
        <f aca="false">IFERROR(1/O14,"")</f>
        <v>2.55952090496018</v>
      </c>
      <c r="Q14" s="36" t="n">
        <v>0.44128954688148</v>
      </c>
      <c r="R14" s="37" t="n">
        <f aca="false">IFERROR(1/Q14,"")</f>
        <v>2.2660858546658</v>
      </c>
      <c r="S14" s="38" t="n">
        <v>9.77931714094829</v>
      </c>
      <c r="T14" s="38" t="n">
        <v>6.10414361767881</v>
      </c>
      <c r="U14" s="34" t="s">
        <v>86</v>
      </c>
      <c r="V14" s="36" t="n">
        <v>0.818101938553411</v>
      </c>
      <c r="W14" s="37" t="n">
        <f aca="false">IFERROR(1/V14,"")</f>
        <v>1.22234156023176</v>
      </c>
    </row>
    <row r="15" customFormat="false" ht="18.75" hidden="false" customHeight="true" outlineLevel="0" collapsed="false">
      <c r="A15" s="39" t="n">
        <v>29</v>
      </c>
      <c r="B15" s="40" t="n">
        <v>46302</v>
      </c>
      <c r="C15" s="41" t="s">
        <v>102</v>
      </c>
      <c r="D15" s="41" t="s">
        <v>103</v>
      </c>
      <c r="E15" s="42" t="s">
        <v>74</v>
      </c>
      <c r="F15" s="39" t="s">
        <v>89</v>
      </c>
      <c r="G15" s="43" t="n">
        <v>0.127248603140728</v>
      </c>
      <c r="H15" s="43" t="n">
        <v>0.656706758754522</v>
      </c>
      <c r="I15" s="44" t="n">
        <f aca="false">IFERROR(1/H15,"")</f>
        <v>1.52274966972557</v>
      </c>
      <c r="J15" s="43" t="n">
        <v>0.203863112994046</v>
      </c>
      <c r="K15" s="44" t="n">
        <f aca="false">IFERROR(1/J15,"")</f>
        <v>4.90525228087341</v>
      </c>
      <c r="L15" s="43" t="n">
        <v>0.139430128251431</v>
      </c>
      <c r="M15" s="44" t="n">
        <f aca="false">IFERROR(1/L15,"")</f>
        <v>7.17205106629985</v>
      </c>
      <c r="N15" s="45" t="n">
        <v>2.75170859087279</v>
      </c>
      <c r="O15" s="43" t="n">
        <v>0.518969190642772</v>
      </c>
      <c r="P15" s="44" t="n">
        <f aca="false">IFERROR(1/O15,"")</f>
        <v>1.92689665982184</v>
      </c>
      <c r="Q15" s="43" t="n">
        <v>0.463688511809297</v>
      </c>
      <c r="R15" s="44" t="n">
        <f aca="false">IFERROR(1/Q15,"")</f>
        <v>2.15662017611356</v>
      </c>
      <c r="S15" s="45" t="n">
        <v>10.8787237597712</v>
      </c>
      <c r="T15" s="45" t="n">
        <v>5.24379994482567</v>
      </c>
      <c r="U15" s="41" t="s">
        <v>94</v>
      </c>
      <c r="V15" s="43" t="n">
        <v>0.860569871748569</v>
      </c>
      <c r="W15" s="44" t="n">
        <f aca="false">IFERROR(1/V15,"")</f>
        <v>1.16202069445927</v>
      </c>
    </row>
    <row r="16" customFormat="false" ht="18.75" hidden="false" customHeight="true" outlineLevel="0" collapsed="false">
      <c r="A16" s="32" t="n">
        <v>29</v>
      </c>
      <c r="B16" s="33" t="n">
        <v>46302</v>
      </c>
      <c r="C16" s="34" t="s">
        <v>104</v>
      </c>
      <c r="D16" s="34" t="s">
        <v>105</v>
      </c>
      <c r="E16" s="35" t="s">
        <v>74</v>
      </c>
      <c r="F16" s="32" t="s">
        <v>85</v>
      </c>
      <c r="G16" s="36" t="n">
        <v>0.119033974463849</v>
      </c>
      <c r="H16" s="36" t="n">
        <v>0.38071817580899</v>
      </c>
      <c r="I16" s="37" t="n">
        <f aca="false">IFERROR(1/H16,"")</f>
        <v>2.62661481258439</v>
      </c>
      <c r="J16" s="36" t="n">
        <v>0.251940433053161</v>
      </c>
      <c r="K16" s="37" t="n">
        <f aca="false">IFERROR(1/J16,"")</f>
        <v>3.96919219309666</v>
      </c>
      <c r="L16" s="36" t="n">
        <v>0.367341391137849</v>
      </c>
      <c r="M16" s="37" t="n">
        <f aca="false">IFERROR(1/L16,"")</f>
        <v>2.72226333357773</v>
      </c>
      <c r="N16" s="38" t="n">
        <v>2.76212234300787</v>
      </c>
      <c r="O16" s="36" t="n">
        <v>0.521469668631917</v>
      </c>
      <c r="P16" s="37" t="n">
        <f aca="false">IFERROR(1/O16,"")</f>
        <v>1.9176570760549</v>
      </c>
      <c r="Q16" s="36" t="n">
        <v>0.55906624068683</v>
      </c>
      <c r="R16" s="37" t="n">
        <f aca="false">IFERROR(1/Q16,"")</f>
        <v>1.78869680768324</v>
      </c>
      <c r="S16" s="38" t="n">
        <v>10.227620453694</v>
      </c>
      <c r="T16" s="38" t="n">
        <v>4.45436102424196</v>
      </c>
      <c r="U16" s="34" t="s">
        <v>86</v>
      </c>
      <c r="V16" s="36" t="n">
        <v>0.791783810720465</v>
      </c>
      <c r="W16" s="37" t="n">
        <f aca="false">IFERROR(1/V16,"")</f>
        <v>1.26297101110223</v>
      </c>
    </row>
    <row r="17" customFormat="false" ht="18.75" hidden="false" customHeight="true" outlineLevel="0" collapsed="false">
      <c r="A17" s="39" t="n">
        <v>29</v>
      </c>
      <c r="B17" s="40" t="n">
        <v>46302</v>
      </c>
      <c r="C17" s="41" t="s">
        <v>88</v>
      </c>
      <c r="D17" s="41" t="s">
        <v>8</v>
      </c>
      <c r="E17" s="42" t="s">
        <v>77</v>
      </c>
      <c r="F17" s="39" t="s">
        <v>85</v>
      </c>
      <c r="G17" s="43" t="n">
        <v>0.117466990722253</v>
      </c>
      <c r="H17" s="43" t="n">
        <v>0.274557353862132</v>
      </c>
      <c r="I17" s="44" t="n">
        <f aca="false">IFERROR(1/H17,"")</f>
        <v>3.64222624502037</v>
      </c>
      <c r="J17" s="43" t="n">
        <v>0.247493001913276</v>
      </c>
      <c r="K17" s="44" t="n">
        <f aca="false">IFERROR(1/J17,"")</f>
        <v>4.04051828645406</v>
      </c>
      <c r="L17" s="43" t="n">
        <v>0.477949644224592</v>
      </c>
      <c r="M17" s="44" t="n">
        <f aca="false">IFERROR(1/L17,"")</f>
        <v>2.09227062324183</v>
      </c>
      <c r="N17" s="45" t="n">
        <v>2.70985893209878</v>
      </c>
      <c r="O17" s="43" t="n">
        <v>0.508789222653078</v>
      </c>
      <c r="P17" s="44" t="n">
        <f aca="false">IFERROR(1/O17,"")</f>
        <v>1.96545043699139</v>
      </c>
      <c r="Q17" s="43" t="n">
        <v>0.536357668838902</v>
      </c>
      <c r="R17" s="44" t="n">
        <f aca="false">IFERROR(1/Q17,"")</f>
        <v>1.86442752308321</v>
      </c>
      <c r="S17" s="45" t="n">
        <v>9.9300821861279</v>
      </c>
      <c r="T17" s="45" t="n">
        <v>5.24761972581536</v>
      </c>
      <c r="U17" s="41" t="s">
        <v>86</v>
      </c>
      <c r="V17" s="43" t="n">
        <v>0.796287111479944</v>
      </c>
      <c r="W17" s="44" t="n">
        <f aca="false">IFERROR(1/V17,"")</f>
        <v>1.25582843874171</v>
      </c>
    </row>
    <row r="18" customFormat="false" ht="18.75" hidden="false" customHeight="true" outlineLevel="0" collapsed="false">
      <c r="A18" s="32" t="n">
        <v>29</v>
      </c>
      <c r="B18" s="33" t="n">
        <v>46302</v>
      </c>
      <c r="C18" s="34" t="s">
        <v>106</v>
      </c>
      <c r="D18" s="34" t="s">
        <v>83</v>
      </c>
      <c r="E18" s="35" t="s">
        <v>74</v>
      </c>
      <c r="F18" s="32" t="s">
        <v>89</v>
      </c>
      <c r="G18" s="36" t="n">
        <v>0.124309042456479</v>
      </c>
      <c r="H18" s="36" t="n">
        <v>0.56202545739844</v>
      </c>
      <c r="I18" s="37" t="n">
        <f aca="false">IFERROR(1/H18,"")</f>
        <v>1.77927883307796</v>
      </c>
      <c r="J18" s="36" t="n">
        <v>0.23566021815145</v>
      </c>
      <c r="K18" s="37" t="n">
        <f aca="false">IFERROR(1/J18,"")</f>
        <v>4.24339758252001</v>
      </c>
      <c r="L18" s="36" t="n">
        <v>0.202314324450111</v>
      </c>
      <c r="M18" s="37" t="n">
        <f aca="false">IFERROR(1/L18,"")</f>
        <v>4.94280374223623</v>
      </c>
      <c r="N18" s="38" t="n">
        <v>2.63429225609773</v>
      </c>
      <c r="O18" s="36" t="n">
        <v>0.490148478058131</v>
      </c>
      <c r="P18" s="37" t="n">
        <f aca="false">IFERROR(1/O18,"")</f>
        <v>2.04019811295099</v>
      </c>
      <c r="Q18" s="36" t="n">
        <v>0.491997213832433</v>
      </c>
      <c r="R18" s="37" t="n">
        <f aca="false">IFERROR(1/Q18,"")</f>
        <v>2.03253183531357</v>
      </c>
      <c r="S18" s="38" t="n">
        <v>9.26881623737676</v>
      </c>
      <c r="T18" s="38" t="n">
        <v>4.3982488084192</v>
      </c>
      <c r="U18" s="34" t="s">
        <v>86</v>
      </c>
      <c r="V18" s="36" t="n">
        <v>0.802089784662631</v>
      </c>
      <c r="W18" s="37" t="n">
        <f aca="false">IFERROR(1/V18,"")</f>
        <v>1.24674321892856</v>
      </c>
    </row>
    <row r="19" customFormat="false" ht="18.75" hidden="false" customHeight="true" outlineLevel="0" collapsed="false">
      <c r="A19" s="39" t="n">
        <v>30</v>
      </c>
      <c r="B19" s="40" t="n">
        <v>46306</v>
      </c>
      <c r="C19" s="41" t="s">
        <v>90</v>
      </c>
      <c r="D19" s="41" t="s">
        <v>88</v>
      </c>
      <c r="E19" s="42" t="s">
        <v>74</v>
      </c>
      <c r="F19" s="39" t="s">
        <v>89</v>
      </c>
      <c r="G19" s="43" t="n">
        <v>0.122578676929154</v>
      </c>
      <c r="H19" s="43" t="n">
        <v>0.529167364969504</v>
      </c>
      <c r="I19" s="44" t="n">
        <f aca="false">IFERROR(1/H19,"")</f>
        <v>1.88976128574677</v>
      </c>
      <c r="J19" s="43" t="n">
        <v>0.244588057354094</v>
      </c>
      <c r="K19" s="44" t="n">
        <f aca="false">IFERROR(1/J19,"")</f>
        <v>4.08850706292779</v>
      </c>
      <c r="L19" s="43" t="n">
        <v>0.226244577676402</v>
      </c>
      <c r="M19" s="44" t="n">
        <f aca="false">IFERROR(1/L19,"")</f>
        <v>4.41999543268746</v>
      </c>
      <c r="N19" s="45" t="n">
        <v>2.59763322826835</v>
      </c>
      <c r="O19" s="43" t="n">
        <v>0.480978376203953</v>
      </c>
      <c r="P19" s="44" t="n">
        <f aca="false">IFERROR(1/O19,"")</f>
        <v>2.07909554664878</v>
      </c>
      <c r="Q19" s="43" t="n">
        <v>0.497539348904862</v>
      </c>
      <c r="R19" s="44" t="n">
        <f aca="false">IFERROR(1/Q19,"")</f>
        <v>2.00989128237015</v>
      </c>
      <c r="S19" s="45" t="n">
        <v>10.2125920549214</v>
      </c>
      <c r="T19" s="45" t="n">
        <v>5.32229968763781</v>
      </c>
      <c r="U19" s="41" t="s">
        <v>86</v>
      </c>
      <c r="V19" s="43" t="n">
        <v>0.804688998153705</v>
      </c>
      <c r="W19" s="44" t="n">
        <f aca="false">IFERROR(1/V19,"")</f>
        <v>1.24271613293387</v>
      </c>
    </row>
    <row r="20" customFormat="false" ht="18.75" hidden="false" customHeight="true" outlineLevel="0" collapsed="false">
      <c r="A20" s="32" t="n">
        <v>30</v>
      </c>
      <c r="B20" s="33" t="n">
        <v>46306</v>
      </c>
      <c r="C20" s="34" t="s">
        <v>103</v>
      </c>
      <c r="D20" s="34" t="s">
        <v>95</v>
      </c>
      <c r="E20" s="35" t="s">
        <v>74</v>
      </c>
      <c r="F20" s="32" t="s">
        <v>85</v>
      </c>
      <c r="G20" s="36" t="n">
        <v>0.117177627391292</v>
      </c>
      <c r="H20" s="36" t="n">
        <v>0.450704071466609</v>
      </c>
      <c r="I20" s="37" t="n">
        <f aca="false">IFERROR(1/H20,"")</f>
        <v>2.21875075755575</v>
      </c>
      <c r="J20" s="36" t="n">
        <v>0.247793005350548</v>
      </c>
      <c r="K20" s="37" t="n">
        <f aca="false">IFERROR(1/J20,"")</f>
        <v>4.03562642369715</v>
      </c>
      <c r="L20" s="36" t="n">
        <v>0.301502923182843</v>
      </c>
      <c r="M20" s="37" t="n">
        <f aca="false">IFERROR(1/L20,"")</f>
        <v>3.31671742828697</v>
      </c>
      <c r="N20" s="38" t="n">
        <v>2.76798991420285</v>
      </c>
      <c r="O20" s="36" t="n">
        <v>0.522882745164768</v>
      </c>
      <c r="P20" s="37" t="n">
        <f aca="false">IFERROR(1/O20,"")</f>
        <v>1.9124746594667</v>
      </c>
      <c r="Q20" s="36" t="n">
        <v>0.553460051456648</v>
      </c>
      <c r="R20" s="37" t="n">
        <f aca="false">IFERROR(1/Q20,"")</f>
        <v>1.80681513935488</v>
      </c>
      <c r="S20" s="38" t="n">
        <v>11.0631399952655</v>
      </c>
      <c r="T20" s="38" t="n">
        <v>4.89832132853144</v>
      </c>
      <c r="U20" s="34" t="s">
        <v>86</v>
      </c>
      <c r="V20" s="36" t="n">
        <v>0.791231278024327</v>
      </c>
      <c r="W20" s="37" t="n">
        <f aca="false">IFERROR(1/V20,"")</f>
        <v>1.26385296913054</v>
      </c>
    </row>
    <row r="21" customFormat="false" ht="18.75" hidden="false" customHeight="true" outlineLevel="0" collapsed="false">
      <c r="A21" s="39" t="n">
        <v>30</v>
      </c>
      <c r="B21" s="40" t="n">
        <v>46306</v>
      </c>
      <c r="C21" s="41" t="s">
        <v>91</v>
      </c>
      <c r="D21" s="41" t="s">
        <v>96</v>
      </c>
      <c r="E21" s="42" t="s">
        <v>74</v>
      </c>
      <c r="F21" s="39" t="s">
        <v>85</v>
      </c>
      <c r="G21" s="43" t="n">
        <v>0.130489791776596</v>
      </c>
      <c r="H21" s="43" t="n">
        <v>0.397247154704857</v>
      </c>
      <c r="I21" s="44" t="n">
        <f aca="false">IFERROR(1/H21,"")</f>
        <v>2.51732451235043</v>
      </c>
      <c r="J21" s="43" t="n">
        <v>0.279620246095401</v>
      </c>
      <c r="K21" s="44" t="n">
        <f aca="false">IFERROR(1/J21,"")</f>
        <v>3.5762789496252</v>
      </c>
      <c r="L21" s="43" t="n">
        <v>0.323132599199743</v>
      </c>
      <c r="M21" s="44" t="n">
        <f aca="false">IFERROR(1/L21,"")</f>
        <v>3.09470478211285</v>
      </c>
      <c r="N21" s="45" t="n">
        <v>2.29919416921965</v>
      </c>
      <c r="O21" s="43" t="n">
        <v>0.403747665802002</v>
      </c>
      <c r="P21" s="44" t="n">
        <f aca="false">IFERROR(1/O21,"")</f>
        <v>2.47679450483907</v>
      </c>
      <c r="Q21" s="43" t="n">
        <v>0.463473890042686</v>
      </c>
      <c r="R21" s="44" t="n">
        <f aca="false">IFERROR(1/Q21,"")</f>
        <v>2.15761884646382</v>
      </c>
      <c r="S21" s="45" t="n">
        <v>10.8628628235375</v>
      </c>
      <c r="T21" s="45" t="n">
        <v>5.98545363490173</v>
      </c>
      <c r="U21" s="41" t="s">
        <v>86</v>
      </c>
      <c r="V21" s="43" t="n">
        <v>0.817554706947522</v>
      </c>
      <c r="W21" s="44" t="n">
        <f aca="false">IFERROR(1/V21,"")</f>
        <v>1.22315973659263</v>
      </c>
    </row>
    <row r="22" customFormat="false" ht="18.75" hidden="false" customHeight="true" outlineLevel="0" collapsed="false">
      <c r="A22" s="32" t="n">
        <v>30</v>
      </c>
      <c r="B22" s="33" t="n">
        <v>46306</v>
      </c>
      <c r="C22" s="34" t="s">
        <v>83</v>
      </c>
      <c r="D22" s="34" t="s">
        <v>92</v>
      </c>
      <c r="E22" s="35" t="s">
        <v>77</v>
      </c>
      <c r="F22" s="32" t="s">
        <v>85</v>
      </c>
      <c r="G22" s="36" t="n">
        <v>0.121525136303602</v>
      </c>
      <c r="H22" s="36" t="n">
        <v>0.27393995755703</v>
      </c>
      <c r="I22" s="37" t="n">
        <f aca="false">IFERROR(1/H22,"")</f>
        <v>3.65043496727496</v>
      </c>
      <c r="J22" s="36" t="n">
        <v>0.255765047680959</v>
      </c>
      <c r="K22" s="37" t="n">
        <f aca="false">IFERROR(1/J22,"")</f>
        <v>3.90983838122948</v>
      </c>
      <c r="L22" s="36" t="n">
        <v>0.470294994762011</v>
      </c>
      <c r="M22" s="37" t="n">
        <f aca="false">IFERROR(1/L22,"")</f>
        <v>2.12632498992689</v>
      </c>
      <c r="N22" s="38" t="n">
        <v>2.57120185981326</v>
      </c>
      <c r="O22" s="36" t="n">
        <v>0.474318093757382</v>
      </c>
      <c r="P22" s="37" t="n">
        <f aca="false">IFERROR(1/O22,"")</f>
        <v>2.10828980205741</v>
      </c>
      <c r="Q22" s="36" t="n">
        <v>0.509782718557892</v>
      </c>
      <c r="R22" s="37" t="n">
        <f aca="false">IFERROR(1/Q22,"")</f>
        <v>1.96162004633831</v>
      </c>
      <c r="S22" s="38" t="n">
        <v>9.93076815413853</v>
      </c>
      <c r="T22" s="38" t="n">
        <v>3.9944218784448</v>
      </c>
      <c r="U22" s="34" t="s">
        <v>86</v>
      </c>
      <c r="V22" s="36" t="n">
        <v>0.806465236527464</v>
      </c>
      <c r="W22" s="37" t="n">
        <f aca="false">IFERROR(1/V22,"")</f>
        <v>1.23997905266924</v>
      </c>
    </row>
    <row r="23" customFormat="false" ht="18.75" hidden="false" customHeight="true" outlineLevel="0" collapsed="false">
      <c r="A23" s="39" t="n">
        <v>30</v>
      </c>
      <c r="B23" s="40" t="n">
        <v>46306</v>
      </c>
      <c r="C23" s="41" t="s">
        <v>99</v>
      </c>
      <c r="D23" s="41" t="s">
        <v>93</v>
      </c>
      <c r="E23" s="42" t="s">
        <v>77</v>
      </c>
      <c r="F23" s="39" t="s">
        <v>85</v>
      </c>
      <c r="G23" s="43" t="n">
        <v>0.118390052714224</v>
      </c>
      <c r="H23" s="43" t="n">
        <v>0.320231495630554</v>
      </c>
      <c r="I23" s="44" t="n">
        <f aca="false">IFERROR(1/H23,"")</f>
        <v>3.12274093474455</v>
      </c>
      <c r="J23" s="43" t="n">
        <v>0.250291422732277</v>
      </c>
      <c r="K23" s="44" t="n">
        <f aca="false">IFERROR(1/J23,"")</f>
        <v>3.99534266529639</v>
      </c>
      <c r="L23" s="43" t="n">
        <v>0.429477081637169</v>
      </c>
      <c r="M23" s="44" t="n">
        <f aca="false">IFERROR(1/L23,"")</f>
        <v>2.32841295323139</v>
      </c>
      <c r="N23" s="45" t="n">
        <v>2.75461348283449</v>
      </c>
      <c r="O23" s="43" t="n">
        <v>0.519658985938223</v>
      </c>
      <c r="P23" s="44" t="n">
        <f aca="false">IFERROR(1/O23,"")</f>
        <v>1.92433889735312</v>
      </c>
      <c r="Q23" s="43" t="n">
        <v>0.554085665548008</v>
      </c>
      <c r="R23" s="44" t="n">
        <f aca="false">IFERROR(1/Q23,"")</f>
        <v>1.80477507753421</v>
      </c>
      <c r="S23" s="45" t="n">
        <v>9.15348296874151</v>
      </c>
      <c r="T23" s="45" t="n">
        <v>5.25275179495553</v>
      </c>
      <c r="U23" s="41" t="s">
        <v>86</v>
      </c>
      <c r="V23" s="43" t="n">
        <v>0.792448355214792</v>
      </c>
      <c r="W23" s="44" t="n">
        <f aca="false">IFERROR(1/V23,"")</f>
        <v>1.26191188790966</v>
      </c>
    </row>
    <row r="24" customFormat="false" ht="18.75" hidden="false" customHeight="true" outlineLevel="0" collapsed="false">
      <c r="A24" s="32" t="n">
        <v>30</v>
      </c>
      <c r="B24" s="33" t="n">
        <v>46306</v>
      </c>
      <c r="C24" s="34" t="s">
        <v>8</v>
      </c>
      <c r="D24" s="34" t="s">
        <v>98</v>
      </c>
      <c r="E24" s="35" t="s">
        <v>74</v>
      </c>
      <c r="F24" s="32" t="s">
        <v>89</v>
      </c>
      <c r="G24" s="36" t="n">
        <v>0.126497345752003</v>
      </c>
      <c r="H24" s="36" t="n">
        <v>0.621240755764678</v>
      </c>
      <c r="I24" s="37" t="n">
        <f aca="false">IFERROR(1/H24,"")</f>
        <v>1.60968189984431</v>
      </c>
      <c r="J24" s="36" t="n">
        <v>0.216805911128329</v>
      </c>
      <c r="K24" s="37" t="n">
        <f aca="false">IFERROR(1/J24,"")</f>
        <v>4.61242036619607</v>
      </c>
      <c r="L24" s="36" t="n">
        <v>0.161953333106993</v>
      </c>
      <c r="M24" s="37" t="n">
        <f aca="false">IFERROR(1/L24,"")</f>
        <v>6.17461821140391</v>
      </c>
      <c r="N24" s="38" t="n">
        <v>2.70551332936896</v>
      </c>
      <c r="O24" s="36" t="n">
        <v>0.507733248501614</v>
      </c>
      <c r="P24" s="37" t="n">
        <f aca="false">IFERROR(1/O24,"")</f>
        <v>1.96953814419506</v>
      </c>
      <c r="Q24" s="36" t="n">
        <v>0.476609776803223</v>
      </c>
      <c r="R24" s="37" t="n">
        <f aca="false">IFERROR(1/Q24,"")</f>
        <v>2.09815251106959</v>
      </c>
      <c r="S24" s="38" t="n">
        <v>9.60679960840777</v>
      </c>
      <c r="T24" s="38" t="n">
        <v>5.35065574496114</v>
      </c>
      <c r="U24" s="34" t="s">
        <v>94</v>
      </c>
      <c r="V24" s="36" t="n">
        <v>0.838046666893007</v>
      </c>
      <c r="W24" s="37" t="n">
        <f aca="false">IFERROR(1/V24,"")</f>
        <v>1.19325097217727</v>
      </c>
    </row>
    <row r="25" customFormat="false" ht="18.75" hidden="false" customHeight="true" outlineLevel="0" collapsed="false">
      <c r="A25" s="39" t="n">
        <v>30</v>
      </c>
      <c r="B25" s="40" t="n">
        <v>46306</v>
      </c>
      <c r="C25" s="41" t="s">
        <v>105</v>
      </c>
      <c r="D25" s="41" t="s">
        <v>100</v>
      </c>
      <c r="E25" s="42" t="s">
        <v>74</v>
      </c>
      <c r="F25" s="39" t="s">
        <v>85</v>
      </c>
      <c r="G25" s="43" t="n">
        <v>0.125101008991162</v>
      </c>
      <c r="H25" s="43" t="n">
        <v>0.445596013823509</v>
      </c>
      <c r="I25" s="44" t="n">
        <f aca="false">IFERROR(1/H25,"")</f>
        <v>2.24418524622637</v>
      </c>
      <c r="J25" s="43" t="n">
        <v>0.264075608958079</v>
      </c>
      <c r="K25" s="44" t="n">
        <f aca="false">IFERROR(1/J25,"")</f>
        <v>3.78679425921061</v>
      </c>
      <c r="L25" s="43" t="n">
        <v>0.290328377218412</v>
      </c>
      <c r="M25" s="44" t="n">
        <f aca="false">IFERROR(1/L25,"")</f>
        <v>3.44437567412746</v>
      </c>
      <c r="N25" s="45" t="n">
        <v>2.47781523740472</v>
      </c>
      <c r="O25" s="43" t="n">
        <v>0.450484256514805</v>
      </c>
      <c r="P25" s="44" t="n">
        <f aca="false">IFERROR(1/O25,"")</f>
        <v>2.21983340269547</v>
      </c>
      <c r="Q25" s="43" t="n">
        <v>0.495324138928437</v>
      </c>
      <c r="R25" s="44" t="n">
        <f aca="false">IFERROR(1/Q25,"")</f>
        <v>2.01888000484563</v>
      </c>
      <c r="S25" s="45" t="n">
        <v>9.17584430829907</v>
      </c>
      <c r="T25" s="45" t="n">
        <v>5.5762795486758</v>
      </c>
      <c r="U25" s="41" t="s">
        <v>86</v>
      </c>
      <c r="V25" s="43" t="n">
        <v>0.811682682900119</v>
      </c>
      <c r="W25" s="44" t="n">
        <f aca="false">IFERROR(1/V25,"")</f>
        <v>1.23200854356906</v>
      </c>
    </row>
    <row r="26" customFormat="false" ht="18.75" hidden="false" customHeight="true" outlineLevel="0" collapsed="false">
      <c r="A26" s="32" t="n">
        <v>30</v>
      </c>
      <c r="B26" s="33" t="n">
        <v>46306</v>
      </c>
      <c r="C26" s="34" t="s">
        <v>102</v>
      </c>
      <c r="D26" s="34" t="s">
        <v>101</v>
      </c>
      <c r="E26" s="35" t="s">
        <v>74</v>
      </c>
      <c r="F26" s="32" t="s">
        <v>89</v>
      </c>
      <c r="G26" s="36" t="n">
        <v>0.155480647680839</v>
      </c>
      <c r="H26" s="36" t="n">
        <v>0.63159117064212</v>
      </c>
      <c r="I26" s="37" t="n">
        <f aca="false">IFERROR(1/H26,"")</f>
        <v>1.58330269085828</v>
      </c>
      <c r="J26" s="36" t="n">
        <v>0.22640729277741</v>
      </c>
      <c r="K26" s="37" t="n">
        <f aca="false">IFERROR(1/J26,"")</f>
        <v>4.41681885655132</v>
      </c>
      <c r="L26" s="36" t="n">
        <v>0.14200153658047</v>
      </c>
      <c r="M26" s="37" t="n">
        <f aca="false">IFERROR(1/L26,"")</f>
        <v>7.0421773178019</v>
      </c>
      <c r="N26" s="38" t="n">
        <v>2.42673954317875</v>
      </c>
      <c r="O26" s="36" t="n">
        <v>0.437266039805861</v>
      </c>
      <c r="P26" s="37" t="n">
        <f aca="false">IFERROR(1/O26,"")</f>
        <v>2.28693726236775</v>
      </c>
      <c r="Q26" s="36" t="n">
        <v>0.406249530445393</v>
      </c>
      <c r="R26" s="37" t="n">
        <f aca="false">IFERROR(1/Q26,"")</f>
        <v>2.46154130665369</v>
      </c>
      <c r="S26" s="38" t="n">
        <v>10.6947187885902</v>
      </c>
      <c r="T26" s="38" t="n">
        <v>6.00625852322752</v>
      </c>
      <c r="U26" s="34" t="s">
        <v>94</v>
      </c>
      <c r="V26" s="36" t="n">
        <v>0.85799846341953</v>
      </c>
      <c r="W26" s="37" t="n">
        <f aca="false">IFERROR(1/V26,"")</f>
        <v>1.16550325278501</v>
      </c>
    </row>
    <row r="27" customFormat="false" ht="18.75" hidden="false" customHeight="true" outlineLevel="0" collapsed="false">
      <c r="A27" s="39" t="n">
        <v>30</v>
      </c>
      <c r="B27" s="40" t="n">
        <v>46306</v>
      </c>
      <c r="C27" s="41" t="s">
        <v>87</v>
      </c>
      <c r="D27" s="41" t="s">
        <v>106</v>
      </c>
      <c r="E27" s="42" t="s">
        <v>74</v>
      </c>
      <c r="F27" s="39" t="s">
        <v>89</v>
      </c>
      <c r="G27" s="43" t="n">
        <v>0.152337179255199</v>
      </c>
      <c r="H27" s="43" t="n">
        <v>0.560354063671756</v>
      </c>
      <c r="I27" s="44" t="n">
        <f aca="false">IFERROR(1/H27,"")</f>
        <v>1.78458596953404</v>
      </c>
      <c r="J27" s="43" t="n">
        <v>0.252012206393277</v>
      </c>
      <c r="K27" s="44" t="n">
        <f aca="false">IFERROR(1/J27,"")</f>
        <v>3.96806176300624</v>
      </c>
      <c r="L27" s="43" t="n">
        <v>0.187633729934967</v>
      </c>
      <c r="M27" s="44" t="n">
        <f aca="false">IFERROR(1/L27,"")</f>
        <v>5.32953217071682</v>
      </c>
      <c r="N27" s="45" t="n">
        <v>2.3333808062897</v>
      </c>
      <c r="O27" s="43" t="n">
        <v>0.412794928246641</v>
      </c>
      <c r="P27" s="44" t="n">
        <f aca="false">IFERROR(1/O27,"")</f>
        <v>2.42251038366079</v>
      </c>
      <c r="Q27" s="43" t="n">
        <v>0.424801018335001</v>
      </c>
      <c r="R27" s="44" t="n">
        <f aca="false">IFERROR(1/Q27,"")</f>
        <v>2.3540433210812</v>
      </c>
      <c r="S27" s="45" t="n">
        <v>9.67790540549142</v>
      </c>
      <c r="T27" s="45" t="n">
        <v>5.64659962889452</v>
      </c>
      <c r="U27" s="41" t="s">
        <v>86</v>
      </c>
      <c r="V27" s="43" t="n">
        <v>0.816709013712443</v>
      </c>
      <c r="W27" s="44" t="n">
        <f aca="false">IFERROR(1/V27,"")</f>
        <v>1.22442630509781</v>
      </c>
    </row>
    <row r="28" customFormat="false" ht="18.75" hidden="false" customHeight="true" outlineLevel="0" collapsed="false">
      <c r="A28" s="32" t="n">
        <v>30</v>
      </c>
      <c r="B28" s="33" t="n">
        <v>46306</v>
      </c>
      <c r="C28" s="34" t="s">
        <v>84</v>
      </c>
      <c r="D28" s="34" t="s">
        <v>104</v>
      </c>
      <c r="E28" s="35" t="s">
        <v>74</v>
      </c>
      <c r="F28" s="32" t="s">
        <v>85</v>
      </c>
      <c r="G28" s="36" t="n">
        <v>0.103290817336629</v>
      </c>
      <c r="H28" s="36" t="n">
        <v>0.55353873460418</v>
      </c>
      <c r="I28" s="37" t="n">
        <f aca="false">IFERROR(1/H28,"")</f>
        <v>1.80655830836314</v>
      </c>
      <c r="J28" s="36" t="n">
        <v>0.221590122629108</v>
      </c>
      <c r="K28" s="37" t="n">
        <f aca="false">IFERROR(1/J28,"")</f>
        <v>4.5128365296037</v>
      </c>
      <c r="L28" s="36" t="n">
        <v>0.224871142766712</v>
      </c>
      <c r="M28" s="37" t="n">
        <f aca="false">IFERROR(1/L28,"")</f>
        <v>4.44699123105106</v>
      </c>
      <c r="N28" s="38" t="n">
        <v>3.00706457823106</v>
      </c>
      <c r="O28" s="36" t="n">
        <v>0.57839887539768</v>
      </c>
      <c r="P28" s="37" t="n">
        <f aca="false">IFERROR(1/O28,"")</f>
        <v>1.72891069214553</v>
      </c>
      <c r="Q28" s="36" t="n">
        <v>0.570580072753365</v>
      </c>
      <c r="R28" s="37" t="n">
        <f aca="false">IFERROR(1/Q28,"")</f>
        <v>1.75260239141274</v>
      </c>
      <c r="S28" s="38" t="n">
        <v>10.4981565422564</v>
      </c>
      <c r="T28" s="38" t="n">
        <v>3.59726943969148</v>
      </c>
      <c r="U28" s="34" t="s">
        <v>107</v>
      </c>
      <c r="V28" s="36" t="n">
        <v>0.800682581123056</v>
      </c>
      <c r="W28" s="37" t="n">
        <f aca="false">IFERROR(1/V28,"")</f>
        <v>1.24893437621358</v>
      </c>
    </row>
    <row r="29" customFormat="false" ht="18.75" hidden="false" customHeight="true" outlineLevel="0" collapsed="false">
      <c r="A29" s="39" t="n">
        <v>31</v>
      </c>
      <c r="B29" s="40" t="n">
        <v>46313</v>
      </c>
      <c r="C29" s="41" t="s">
        <v>92</v>
      </c>
      <c r="D29" s="41" t="s">
        <v>102</v>
      </c>
      <c r="E29" s="42" t="s">
        <v>77</v>
      </c>
      <c r="F29" s="39" t="s">
        <v>85</v>
      </c>
      <c r="G29" s="43" t="n">
        <v>0.12986984511848</v>
      </c>
      <c r="H29" s="43" t="n">
        <v>0.307972686723041</v>
      </c>
      <c r="I29" s="44" t="n">
        <f aca="false">IFERROR(1/H29,"")</f>
        <v>3.24704119264738</v>
      </c>
      <c r="J29" s="43" t="n">
        <v>0.278389639274704</v>
      </c>
      <c r="K29" s="44" t="n">
        <f aca="false">IFERROR(1/J29,"")</f>
        <v>3.59208770342649</v>
      </c>
      <c r="L29" s="43" t="n">
        <v>0.413637674002255</v>
      </c>
      <c r="M29" s="44" t="n">
        <f aca="false">IFERROR(1/L29,"")</f>
        <v>2.41757475890494</v>
      </c>
      <c r="N29" s="45" t="n">
        <v>2.30165466235664</v>
      </c>
      <c r="O29" s="43" t="n">
        <v>0.404400149911206</v>
      </c>
      <c r="P29" s="44" t="n">
        <f aca="false">IFERROR(1/O29,"")</f>
        <v>2.47279829203716</v>
      </c>
      <c r="Q29" s="43" t="n">
        <v>0.462160628033405</v>
      </c>
      <c r="R29" s="44" t="n">
        <f aca="false">IFERROR(1/Q29,"")</f>
        <v>2.16374987253938</v>
      </c>
      <c r="S29" s="45" t="n">
        <v>10.6872040063917</v>
      </c>
      <c r="T29" s="45" t="n">
        <v>4.90351222596992</v>
      </c>
      <c r="U29" s="41" t="s">
        <v>86</v>
      </c>
      <c r="V29" s="43" t="n">
        <v>0.817506204392828</v>
      </c>
      <c r="W29" s="44" t="n">
        <f aca="false">IFERROR(1/V29,"")</f>
        <v>1.22323230652752</v>
      </c>
    </row>
    <row r="30" customFormat="false" ht="18.75" hidden="false" customHeight="true" outlineLevel="0" collapsed="false">
      <c r="A30" s="32" t="n">
        <v>31</v>
      </c>
      <c r="B30" s="33" t="n">
        <v>46313</v>
      </c>
      <c r="C30" s="34" t="s">
        <v>90</v>
      </c>
      <c r="D30" s="34" t="s">
        <v>99</v>
      </c>
      <c r="E30" s="35" t="s">
        <v>74</v>
      </c>
      <c r="F30" s="32" t="s">
        <v>89</v>
      </c>
      <c r="G30" s="36" t="n">
        <v>0.114046689243923</v>
      </c>
      <c r="H30" s="36" t="n">
        <v>0.625594703486607</v>
      </c>
      <c r="I30" s="37" t="n">
        <f aca="false">IFERROR(1/H30,"")</f>
        <v>1.59847900633866</v>
      </c>
      <c r="J30" s="36" t="n">
        <v>0.209473972762562</v>
      </c>
      <c r="K30" s="37" t="n">
        <f aca="false">IFERROR(1/J30,"")</f>
        <v>4.77386277069131</v>
      </c>
      <c r="L30" s="36" t="n">
        <v>0.164931323750832</v>
      </c>
      <c r="M30" s="37" t="n">
        <f aca="false">IFERROR(1/L30,"")</f>
        <v>6.06312965456301</v>
      </c>
      <c r="N30" s="38" t="n">
        <v>2.85703667505715</v>
      </c>
      <c r="O30" s="36" t="n">
        <v>0.54404249712721</v>
      </c>
      <c r="P30" s="37" t="n">
        <f aca="false">IFERROR(1/O30,"")</f>
        <v>1.83809170291007</v>
      </c>
      <c r="Q30" s="36" t="n">
        <v>0.506285283107282</v>
      </c>
      <c r="R30" s="37" t="n">
        <f aca="false">IFERROR(1/Q30,"")</f>
        <v>1.9751709823809</v>
      </c>
      <c r="S30" s="38" t="n">
        <v>10.4853894957292</v>
      </c>
      <c r="T30" s="38" t="n">
        <v>4.85974728020066</v>
      </c>
      <c r="U30" s="34" t="s">
        <v>94</v>
      </c>
      <c r="V30" s="36" t="n">
        <v>0.835068676249169</v>
      </c>
      <c r="W30" s="37" t="n">
        <f aca="false">IFERROR(1/V30,"")</f>
        <v>1.1975062991126</v>
      </c>
    </row>
    <row r="31" customFormat="false" ht="18.75" hidden="false" customHeight="true" outlineLevel="0" collapsed="false">
      <c r="A31" s="39" t="n">
        <v>31</v>
      </c>
      <c r="B31" s="40" t="n">
        <v>46313</v>
      </c>
      <c r="C31" s="41" t="s">
        <v>103</v>
      </c>
      <c r="D31" s="41" t="s">
        <v>8</v>
      </c>
      <c r="E31" s="42" t="s">
        <v>77</v>
      </c>
      <c r="F31" s="39" t="s">
        <v>85</v>
      </c>
      <c r="G31" s="43" t="n">
        <v>0.118286300646693</v>
      </c>
      <c r="H31" s="43" t="n">
        <v>0.298687171929437</v>
      </c>
      <c r="I31" s="44" t="n">
        <f aca="false">IFERROR(1/H31,"")</f>
        <v>3.3479844264495</v>
      </c>
      <c r="J31" s="43" t="n">
        <v>0.24959390007113</v>
      </c>
      <c r="K31" s="44" t="n">
        <f aca="false">IFERROR(1/J31,"")</f>
        <v>4.00650817073261</v>
      </c>
      <c r="L31" s="43" t="n">
        <v>0.451718927999434</v>
      </c>
      <c r="M31" s="44" t="n">
        <f aca="false">IFERROR(1/L31,"")</f>
        <v>2.21376599034445</v>
      </c>
      <c r="N31" s="45" t="n">
        <v>2.72980127051212</v>
      </c>
      <c r="O31" s="43" t="n">
        <v>0.513648699095637</v>
      </c>
      <c r="P31" s="44" t="n">
        <f aca="false">IFERROR(1/O31,"")</f>
        <v>1.94685589929589</v>
      </c>
      <c r="Q31" s="43" t="n">
        <v>0.545824247784222</v>
      </c>
      <c r="R31" s="44" t="n">
        <f aca="false">IFERROR(1/Q31,"")</f>
        <v>1.83209156438086</v>
      </c>
      <c r="S31" s="45" t="n">
        <v>9.90899976971014</v>
      </c>
      <c r="T31" s="45" t="n">
        <v>5.28895874252242</v>
      </c>
      <c r="U31" s="41" t="s">
        <v>86</v>
      </c>
      <c r="V31" s="43" t="n">
        <v>0.794614900463626</v>
      </c>
      <c r="W31" s="44" t="n">
        <f aca="false">IFERROR(1/V31,"")</f>
        <v>1.25847124112138</v>
      </c>
    </row>
    <row r="32" customFormat="false" ht="18.75" hidden="false" customHeight="true" outlineLevel="0" collapsed="false">
      <c r="A32" s="32" t="n">
        <v>31</v>
      </c>
      <c r="B32" s="33" t="n">
        <v>46313</v>
      </c>
      <c r="C32" s="34" t="s">
        <v>93</v>
      </c>
      <c r="D32" s="34" t="s">
        <v>83</v>
      </c>
      <c r="E32" s="35" t="s">
        <v>74</v>
      </c>
      <c r="F32" s="32" t="s">
        <v>108</v>
      </c>
      <c r="G32" s="36" t="n">
        <v>0.122804380425537</v>
      </c>
      <c r="H32" s="36" t="n">
        <v>0.717744160077261</v>
      </c>
      <c r="I32" s="37" t="n">
        <f aca="false">IFERROR(1/H32,"")</f>
        <v>1.39325410866785</v>
      </c>
      <c r="J32" s="36" t="n">
        <v>0.171872064016699</v>
      </c>
      <c r="K32" s="37" t="n">
        <f aca="false">IFERROR(1/J32,"")</f>
        <v>5.81828120655397</v>
      </c>
      <c r="L32" s="36" t="n">
        <v>0.11038377590604</v>
      </c>
      <c r="M32" s="37" t="n">
        <f aca="false">IFERROR(1/L32,"")</f>
        <v>9.05930234576513</v>
      </c>
      <c r="N32" s="38" t="n">
        <v>3.06309088692094</v>
      </c>
      <c r="O32" s="36" t="n">
        <v>0.590839684053257</v>
      </c>
      <c r="P32" s="37" t="n">
        <f aca="false">IFERROR(1/O32,"")</f>
        <v>1.69250649032211</v>
      </c>
      <c r="Q32" s="36" t="n">
        <v>0.482117753830597</v>
      </c>
      <c r="R32" s="37" t="n">
        <f aca="false">IFERROR(1/Q32,"")</f>
        <v>2.07418206870551</v>
      </c>
      <c r="S32" s="38" t="n">
        <v>9.59322502541779</v>
      </c>
      <c r="T32" s="38" t="n">
        <v>4.36745118386712</v>
      </c>
      <c r="U32" s="34" t="s">
        <v>94</v>
      </c>
      <c r="V32" s="36" t="n">
        <v>0.88961622409396</v>
      </c>
      <c r="W32" s="37" t="n">
        <f aca="false">IFERROR(1/V32,"")</f>
        <v>1.12408021899383</v>
      </c>
    </row>
    <row r="33" customFormat="false" ht="18.75" hidden="false" customHeight="true" outlineLevel="0" collapsed="false">
      <c r="A33" s="39" t="n">
        <v>31</v>
      </c>
      <c r="B33" s="40" t="n">
        <v>46313</v>
      </c>
      <c r="C33" s="41" t="s">
        <v>101</v>
      </c>
      <c r="D33" s="41" t="s">
        <v>106</v>
      </c>
      <c r="E33" s="42" t="s">
        <v>74</v>
      </c>
      <c r="F33" s="39" t="s">
        <v>89</v>
      </c>
      <c r="G33" s="43" t="n">
        <v>0.151684987826354</v>
      </c>
      <c r="H33" s="43" t="n">
        <v>0.544433707233567</v>
      </c>
      <c r="I33" s="44" t="n">
        <f aca="false">IFERROR(1/H33,"")</f>
        <v>1.83677091758573</v>
      </c>
      <c r="J33" s="43" t="n">
        <v>0.257265112714017</v>
      </c>
      <c r="K33" s="44" t="n">
        <f aca="false">IFERROR(1/J33,"")</f>
        <v>3.88704084067406</v>
      </c>
      <c r="L33" s="43" t="n">
        <v>0.198301180052416</v>
      </c>
      <c r="M33" s="44" t="n">
        <f aca="false">IFERROR(1/L33,"")</f>
        <v>5.04283433782732</v>
      </c>
      <c r="N33" s="45" t="n">
        <v>2.31032330860285</v>
      </c>
      <c r="O33" s="43" t="n">
        <v>0.406698082366596</v>
      </c>
      <c r="P33" s="44" t="n">
        <f aca="false">IFERROR(1/O33,"")</f>
        <v>2.45882644486778</v>
      </c>
      <c r="Q33" s="43" t="n">
        <v>0.426702263682028</v>
      </c>
      <c r="R33" s="44" t="n">
        <f aca="false">IFERROR(1/Q33,"")</f>
        <v>2.34355447606714</v>
      </c>
      <c r="S33" s="45" t="n">
        <v>9.16783308584303</v>
      </c>
      <c r="T33" s="45" t="n">
        <v>6.74637113331316</v>
      </c>
      <c r="U33" s="41" t="s">
        <v>86</v>
      </c>
      <c r="V33" s="43" t="n">
        <v>0.81721381816444</v>
      </c>
      <c r="W33" s="44" t="n">
        <f aca="false">IFERROR(1/V33,"")</f>
        <v>1.22366995977395</v>
      </c>
    </row>
    <row r="34" customFormat="false" ht="18.75" hidden="false" customHeight="true" outlineLevel="0" collapsed="false">
      <c r="A34" s="32" t="n">
        <v>31</v>
      </c>
      <c r="B34" s="33" t="n">
        <v>46313</v>
      </c>
      <c r="C34" s="34" t="s">
        <v>98</v>
      </c>
      <c r="D34" s="34" t="s">
        <v>88</v>
      </c>
      <c r="E34" s="35" t="s">
        <v>74</v>
      </c>
      <c r="F34" s="32" t="s">
        <v>89</v>
      </c>
      <c r="G34" s="36" t="n">
        <v>0.125933620969294</v>
      </c>
      <c r="H34" s="36" t="n">
        <v>0.531355529264127</v>
      </c>
      <c r="I34" s="37" t="n">
        <f aca="false">IFERROR(1/H34,"")</f>
        <v>1.88197909859882</v>
      </c>
      <c r="J34" s="36" t="n">
        <v>0.245965059707496</v>
      </c>
      <c r="K34" s="37" t="n">
        <f aca="false">IFERROR(1/J34,"")</f>
        <v>4.06561810522685</v>
      </c>
      <c r="L34" s="36" t="n">
        <v>0.222679411028377</v>
      </c>
      <c r="M34" s="37" t="n">
        <f aca="false">IFERROR(1/L34,"")</f>
        <v>4.49076093466301</v>
      </c>
      <c r="N34" s="38" t="n">
        <v>2.56220252720489</v>
      </c>
      <c r="O34" s="36" t="n">
        <v>0.472042864755615</v>
      </c>
      <c r="P34" s="37" t="n">
        <f aca="false">IFERROR(1/O34,"")</f>
        <v>2.11845168026789</v>
      </c>
      <c r="Q34" s="36" t="n">
        <v>0.489094793156981</v>
      </c>
      <c r="R34" s="37" t="n">
        <f aca="false">IFERROR(1/Q34,"")</f>
        <v>2.04459342849524</v>
      </c>
      <c r="S34" s="38" t="n">
        <v>9.8018986059923</v>
      </c>
      <c r="T34" s="38" t="n">
        <v>5.76139433214632</v>
      </c>
      <c r="U34" s="34" t="s">
        <v>86</v>
      </c>
      <c r="V34" s="36" t="n">
        <v>0.806965764910911</v>
      </c>
      <c r="W34" s="37" t="n">
        <f aca="false">IFERROR(1/V34,"")</f>
        <v>1.23920994357227</v>
      </c>
    </row>
    <row r="35" customFormat="false" ht="18.75" hidden="false" customHeight="true" outlineLevel="0" collapsed="false">
      <c r="A35" s="39" t="n">
        <v>31</v>
      </c>
      <c r="B35" s="40" t="n">
        <v>46313</v>
      </c>
      <c r="C35" s="41" t="s">
        <v>105</v>
      </c>
      <c r="D35" s="41" t="s">
        <v>96</v>
      </c>
      <c r="E35" s="42" t="s">
        <v>74</v>
      </c>
      <c r="F35" s="39" t="s">
        <v>85</v>
      </c>
      <c r="G35" s="43" t="n">
        <v>0.129572968015826</v>
      </c>
      <c r="H35" s="43" t="n">
        <v>0.398057052040988</v>
      </c>
      <c r="I35" s="44" t="n">
        <f aca="false">IFERROR(1/H35,"")</f>
        <v>2.5122026977606</v>
      </c>
      <c r="J35" s="43" t="n">
        <v>0.275904826469972</v>
      </c>
      <c r="K35" s="44" t="n">
        <f aca="false">IFERROR(1/J35,"")</f>
        <v>3.62443822674061</v>
      </c>
      <c r="L35" s="43" t="n">
        <v>0.32603812148904</v>
      </c>
      <c r="M35" s="44" t="n">
        <f aca="false">IFERROR(1/L35,"")</f>
        <v>3.06712600180901</v>
      </c>
      <c r="N35" s="45" t="n">
        <v>2.35201825261864</v>
      </c>
      <c r="O35" s="43" t="n">
        <v>0.417706852250393</v>
      </c>
      <c r="P35" s="44" t="n">
        <f aca="false">IFERROR(1/O35,"")</f>
        <v>2.39402345116559</v>
      </c>
      <c r="Q35" s="43" t="n">
        <v>0.474947378010008</v>
      </c>
      <c r="R35" s="44" t="n">
        <f aca="false">IFERROR(1/Q35,"")</f>
        <v>2.10549641139177</v>
      </c>
      <c r="S35" s="45" t="n">
        <v>9.4834497733598</v>
      </c>
      <c r="T35" s="45" t="n">
        <v>6.19306262601546</v>
      </c>
      <c r="U35" s="41" t="s">
        <v>86</v>
      </c>
      <c r="V35" s="43" t="n">
        <v>0.816415073797958</v>
      </c>
      <c r="W35" s="44" t="n">
        <f aca="false">IFERROR(1/V35,"")</f>
        <v>1.22486714429219</v>
      </c>
    </row>
    <row r="36" customFormat="false" ht="18.75" hidden="false" customHeight="true" outlineLevel="0" collapsed="false">
      <c r="A36" s="32" t="n">
        <v>31</v>
      </c>
      <c r="B36" s="33" t="n">
        <v>46313</v>
      </c>
      <c r="C36" s="34" t="s">
        <v>95</v>
      </c>
      <c r="D36" s="34" t="s">
        <v>100</v>
      </c>
      <c r="E36" s="35" t="s">
        <v>74</v>
      </c>
      <c r="F36" s="32" t="s">
        <v>85</v>
      </c>
      <c r="G36" s="36" t="n">
        <v>0.118853674951945</v>
      </c>
      <c r="H36" s="36" t="n">
        <v>0.499352864426719</v>
      </c>
      <c r="I36" s="37" t="n">
        <f aca="false">IFERROR(1/H36,"")</f>
        <v>2.00259189691051</v>
      </c>
      <c r="J36" s="36" t="n">
        <v>0.25012926221857</v>
      </c>
      <c r="K36" s="37" t="n">
        <f aca="false">IFERROR(1/J36,"")</f>
        <v>3.99793287330841</v>
      </c>
      <c r="L36" s="36" t="n">
        <v>0.250517873354711</v>
      </c>
      <c r="M36" s="37" t="n">
        <f aca="false">IFERROR(1/L36,"")</f>
        <v>3.99173115518224</v>
      </c>
      <c r="N36" s="38" t="n">
        <v>2.59562425812747</v>
      </c>
      <c r="O36" s="36" t="n">
        <v>0.480472970183316</v>
      </c>
      <c r="P36" s="37" t="n">
        <f aca="false">IFERROR(1/O36,"")</f>
        <v>2.08128253212344</v>
      </c>
      <c r="Q36" s="36" t="n">
        <v>0.507105364735342</v>
      </c>
      <c r="R36" s="37" t="n">
        <f aca="false">IFERROR(1/Q36,"")</f>
        <v>1.97197677157665</v>
      </c>
      <c r="S36" s="38" t="n">
        <v>10.6369449016658</v>
      </c>
      <c r="T36" s="38" t="n">
        <v>4.59111012700891</v>
      </c>
      <c r="U36" s="34" t="s">
        <v>86</v>
      </c>
      <c r="V36" s="36" t="n">
        <v>0.804854995294494</v>
      </c>
      <c r="W36" s="37" t="n">
        <f aca="false">IFERROR(1/V36,"")</f>
        <v>1.24245982921943</v>
      </c>
    </row>
    <row r="37" customFormat="false" ht="18.75" hidden="false" customHeight="true" outlineLevel="0" collapsed="false">
      <c r="A37" s="39" t="n">
        <v>31</v>
      </c>
      <c r="B37" s="40" t="n">
        <v>46313</v>
      </c>
      <c r="C37" s="41" t="s">
        <v>104</v>
      </c>
      <c r="D37" s="41" t="s">
        <v>91</v>
      </c>
      <c r="E37" s="42" t="s">
        <v>74</v>
      </c>
      <c r="F37" s="39" t="s">
        <v>85</v>
      </c>
      <c r="G37" s="43" t="n">
        <v>0.121049635532781</v>
      </c>
      <c r="H37" s="43" t="n">
        <v>0.377280149274393</v>
      </c>
      <c r="I37" s="44" t="n">
        <f aca="false">IFERROR(1/H37,"")</f>
        <v>2.65055026595823</v>
      </c>
      <c r="J37" s="43" t="n">
        <v>0.255309996658155</v>
      </c>
      <c r="K37" s="44" t="n">
        <f aca="false">IFERROR(1/J37,"")</f>
        <v>3.91680707018668</v>
      </c>
      <c r="L37" s="43" t="n">
        <v>0.367409854067452</v>
      </c>
      <c r="M37" s="44" t="n">
        <f aca="false">IFERROR(1/L37,"")</f>
        <v>2.72175606867749</v>
      </c>
      <c r="N37" s="45" t="n">
        <v>2.69955802385597</v>
      </c>
      <c r="O37" s="43" t="n">
        <v>0.50626798943668</v>
      </c>
      <c r="P37" s="44" t="n">
        <f aca="false">IFERROR(1/O37,"")</f>
        <v>1.97523845248974</v>
      </c>
      <c r="Q37" s="43" t="n">
        <v>0.547172390182232</v>
      </c>
      <c r="R37" s="44" t="n">
        <f aca="false">IFERROR(1/Q37,"")</f>
        <v>1.82757759335583</v>
      </c>
      <c r="S37" s="45" t="n">
        <v>11.7467495513048</v>
      </c>
      <c r="T37" s="45" t="n">
        <v>4.35078629660046</v>
      </c>
      <c r="U37" s="41" t="s">
        <v>86</v>
      </c>
      <c r="V37" s="43" t="n">
        <v>0.797177066122731</v>
      </c>
      <c r="W37" s="44" t="n">
        <f aca="false">IFERROR(1/V37,"")</f>
        <v>1.25442645366574</v>
      </c>
    </row>
    <row r="38" customFormat="false" ht="18.75" hidden="false" customHeight="true" outlineLevel="0" collapsed="false">
      <c r="A38" s="32" t="n">
        <v>31</v>
      </c>
      <c r="B38" s="33" t="n">
        <v>46313</v>
      </c>
      <c r="C38" s="34" t="s">
        <v>87</v>
      </c>
      <c r="D38" s="34" t="s">
        <v>84</v>
      </c>
      <c r="E38" s="35" t="s">
        <v>74</v>
      </c>
      <c r="F38" s="32" t="s">
        <v>89</v>
      </c>
      <c r="G38" s="36" t="n">
        <v>0.127143906825257</v>
      </c>
      <c r="H38" s="36" t="n">
        <v>0.543637274095709</v>
      </c>
      <c r="I38" s="37" t="n">
        <f aca="false">IFERROR(1/H38,"")</f>
        <v>1.83946180228979</v>
      </c>
      <c r="J38" s="36" t="n">
        <v>0.242975950374775</v>
      </c>
      <c r="K38" s="37" t="n">
        <f aca="false">IFERROR(1/J38,"")</f>
        <v>4.1156336602761</v>
      </c>
      <c r="L38" s="36" t="n">
        <v>0.213386775529516</v>
      </c>
      <c r="M38" s="37" t="n">
        <f aca="false">IFERROR(1/L38,"")</f>
        <v>4.68632602708634</v>
      </c>
      <c r="N38" s="38" t="n">
        <v>2.57003934336465</v>
      </c>
      <c r="O38" s="36" t="n">
        <v>0.474025729061622</v>
      </c>
      <c r="P38" s="37" t="n">
        <f aca="false">IFERROR(1/O38,"")</f>
        <v>2.10959013127746</v>
      </c>
      <c r="Q38" s="36" t="n">
        <v>0.485956331360988</v>
      </c>
      <c r="R38" s="37" t="n">
        <f aca="false">IFERROR(1/Q38,"")</f>
        <v>2.05779806839714</v>
      </c>
      <c r="S38" s="38" t="n">
        <v>9.51547885632095</v>
      </c>
      <c r="T38" s="38" t="n">
        <v>4.56993437703801</v>
      </c>
      <c r="U38" s="34" t="s">
        <v>86</v>
      </c>
      <c r="V38" s="36" t="n">
        <v>0.806462810671217</v>
      </c>
      <c r="W38" s="37" t="n">
        <f aca="false">IFERROR(1/V38,"")</f>
        <v>1.239982782551</v>
      </c>
    </row>
    <row r="39" customFormat="false" ht="18.75" hidden="false" customHeight="true" outlineLevel="0" collapsed="false">
      <c r="A39" s="39" t="n">
        <v>32</v>
      </c>
      <c r="B39" s="40" t="n">
        <v>46320</v>
      </c>
      <c r="C39" s="41" t="s">
        <v>83</v>
      </c>
      <c r="D39" s="41" t="s">
        <v>98</v>
      </c>
      <c r="E39" s="42" t="s">
        <v>77</v>
      </c>
      <c r="F39" s="39" t="s">
        <v>85</v>
      </c>
      <c r="G39" s="43" t="n">
        <v>0.120807694867753</v>
      </c>
      <c r="H39" s="43" t="n">
        <v>0.263879551007815</v>
      </c>
      <c r="I39" s="44" t="n">
        <f aca="false">IFERROR(1/H39,"")</f>
        <v>3.78960778196255</v>
      </c>
      <c r="J39" s="43" t="n">
        <v>0.254317073785885</v>
      </c>
      <c r="K39" s="44" t="n">
        <f aca="false">IFERROR(1/J39,"")</f>
        <v>3.93209934792629</v>
      </c>
      <c r="L39" s="43" t="n">
        <v>0.4818033752063</v>
      </c>
      <c r="M39" s="44" t="n">
        <f aca="false">IFERROR(1/L39,"")</f>
        <v>2.07553548077951</v>
      </c>
      <c r="N39" s="45" t="n">
        <v>2.5683976057661</v>
      </c>
      <c r="O39" s="43" t="n">
        <v>0.473609417185516</v>
      </c>
      <c r="P39" s="44" t="n">
        <f aca="false">IFERROR(1/O39,"")</f>
        <v>2.11144450197512</v>
      </c>
      <c r="Q39" s="43" t="n">
        <v>0.506317715794563</v>
      </c>
      <c r="R39" s="44" t="n">
        <f aca="false">IFERROR(1/Q39,"")</f>
        <v>1.97504446082971</v>
      </c>
      <c r="S39" s="45" t="n">
        <v>9.35890246506531</v>
      </c>
      <c r="T39" s="45" t="n">
        <v>4.35322636755219</v>
      </c>
      <c r="U39" s="41" t="s">
        <v>86</v>
      </c>
      <c r="V39" s="43" t="n">
        <v>0.806632140245642</v>
      </c>
      <c r="W39" s="44" t="n">
        <f aca="false">IFERROR(1/V39,"")</f>
        <v>1.2397224832815</v>
      </c>
    </row>
    <row r="40" customFormat="false" ht="18.75" hidden="false" customHeight="true" outlineLevel="0" collapsed="false">
      <c r="A40" s="32" t="n">
        <v>32</v>
      </c>
      <c r="B40" s="33" t="n">
        <v>46320</v>
      </c>
      <c r="C40" s="34" t="s">
        <v>99</v>
      </c>
      <c r="D40" s="34" t="s">
        <v>105</v>
      </c>
      <c r="E40" s="35" t="s">
        <v>74</v>
      </c>
      <c r="F40" s="32" t="s">
        <v>85</v>
      </c>
      <c r="G40" s="36" t="n">
        <v>0.118931961591802</v>
      </c>
      <c r="H40" s="36" t="n">
        <v>0.38584176131359</v>
      </c>
      <c r="I40" s="37" t="n">
        <f aca="false">IFERROR(1/H40,"")</f>
        <v>2.59173604380076</v>
      </c>
      <c r="J40" s="36" t="n">
        <v>0.251757542803976</v>
      </c>
      <c r="K40" s="37" t="n">
        <f aca="false">IFERROR(1/J40,"")</f>
        <v>3.97207562825087</v>
      </c>
      <c r="L40" s="36" t="n">
        <v>0.362400695882433</v>
      </c>
      <c r="M40" s="37" t="n">
        <f aca="false">IFERROR(1/L40,"")</f>
        <v>2.75937659988493</v>
      </c>
      <c r="N40" s="38" t="n">
        <v>2.76438241000845</v>
      </c>
      <c r="O40" s="36" t="n">
        <v>0.52201402041122</v>
      </c>
      <c r="P40" s="37" t="n">
        <f aca="false">IFERROR(1/O40,"")</f>
        <v>1.915657359571</v>
      </c>
      <c r="Q40" s="36" t="n">
        <v>0.559380753123951</v>
      </c>
      <c r="R40" s="37" t="n">
        <f aca="false">IFERROR(1/Q40,"")</f>
        <v>1.78769111095679</v>
      </c>
      <c r="S40" s="38" t="n">
        <v>9.17905747386316</v>
      </c>
      <c r="T40" s="38" t="n">
        <v>5.3529542616011</v>
      </c>
      <c r="U40" s="34" t="s">
        <v>86</v>
      </c>
      <c r="V40" s="36" t="n">
        <v>0.791578815920128</v>
      </c>
      <c r="W40" s="37" t="n">
        <f aca="false">IFERROR(1/V40,"")</f>
        <v>1.26329808212162</v>
      </c>
    </row>
    <row r="41" customFormat="false" ht="18.75" hidden="false" customHeight="true" outlineLevel="0" collapsed="false">
      <c r="A41" s="39" t="n">
        <v>32</v>
      </c>
      <c r="B41" s="40" t="n">
        <v>46320</v>
      </c>
      <c r="C41" s="41" t="s">
        <v>96</v>
      </c>
      <c r="D41" s="41" t="s">
        <v>104</v>
      </c>
      <c r="E41" s="42" t="s">
        <v>74</v>
      </c>
      <c r="F41" s="39" t="s">
        <v>89</v>
      </c>
      <c r="G41" s="43" t="n">
        <v>0.126185190592038</v>
      </c>
      <c r="H41" s="43" t="n">
        <v>0.637996516603916</v>
      </c>
      <c r="I41" s="44" t="n">
        <f aca="false">IFERROR(1/H41,"")</f>
        <v>1.56740667695655</v>
      </c>
      <c r="J41" s="43" t="n">
        <v>0.210521677170073</v>
      </c>
      <c r="K41" s="44" t="n">
        <f aca="false">IFERROR(1/J41,"")</f>
        <v>4.75010466115629</v>
      </c>
      <c r="L41" s="43" t="n">
        <v>0.151481806226011</v>
      </c>
      <c r="M41" s="44" t="n">
        <f aca="false">IFERROR(1/L41,"")</f>
        <v>6.60145284053452</v>
      </c>
      <c r="N41" s="45" t="n">
        <v>2.73494789568359</v>
      </c>
      <c r="O41" s="43" t="n">
        <v>0.514907700207952</v>
      </c>
      <c r="P41" s="44" t="n">
        <f aca="false">IFERROR(1/O41,"")</f>
        <v>1.94209564082289</v>
      </c>
      <c r="Q41" s="43" t="n">
        <v>0.472621115082822</v>
      </c>
      <c r="R41" s="44" t="n">
        <f aca="false">IFERROR(1/Q41,"")</f>
        <v>2.11585976184064</v>
      </c>
      <c r="S41" s="45" t="n">
        <v>11.9421269263237</v>
      </c>
      <c r="T41" s="45" t="n">
        <v>4.55103469665805</v>
      </c>
      <c r="U41" s="41" t="s">
        <v>94</v>
      </c>
      <c r="V41" s="43" t="n">
        <v>0.848518193773989</v>
      </c>
      <c r="W41" s="44" t="n">
        <f aca="false">IFERROR(1/V41,"")</f>
        <v>1.17852511276424</v>
      </c>
    </row>
    <row r="42" customFormat="false" ht="18.75" hidden="false" customHeight="true" outlineLevel="0" collapsed="false">
      <c r="A42" s="32" t="n">
        <v>32</v>
      </c>
      <c r="B42" s="33" t="n">
        <v>46320</v>
      </c>
      <c r="C42" s="34" t="s">
        <v>8</v>
      </c>
      <c r="D42" s="34" t="s">
        <v>90</v>
      </c>
      <c r="E42" s="35" t="s">
        <v>74</v>
      </c>
      <c r="F42" s="32" t="s">
        <v>89</v>
      </c>
      <c r="G42" s="36" t="n">
        <v>0.123068491246703</v>
      </c>
      <c r="H42" s="36" t="n">
        <v>0.629029529027885</v>
      </c>
      <c r="I42" s="37" t="n">
        <f aca="false">IFERROR(1/H42,"")</f>
        <v>1.58975048682599</v>
      </c>
      <c r="J42" s="36" t="n">
        <v>0.212404248719823</v>
      </c>
      <c r="K42" s="37" t="n">
        <f aca="false">IFERROR(1/J42,"")</f>
        <v>4.70800375240644</v>
      </c>
      <c r="L42" s="36" t="n">
        <v>0.158566222252292</v>
      </c>
      <c r="M42" s="37" t="n">
        <f aca="false">IFERROR(1/L42,"")</f>
        <v>6.3065133658095</v>
      </c>
      <c r="N42" s="38" t="n">
        <v>2.75620511028053</v>
      </c>
      <c r="O42" s="36" t="n">
        <v>0.520051900177917</v>
      </c>
      <c r="P42" s="37" t="n">
        <f aca="false">IFERROR(1/O42,"")</f>
        <v>1.92288500370422</v>
      </c>
      <c r="Q42" s="36" t="n">
        <v>0.482877171661068</v>
      </c>
      <c r="R42" s="37" t="n">
        <f aca="false">IFERROR(1/Q42,"")</f>
        <v>2.07092001587083</v>
      </c>
      <c r="S42" s="38" t="n">
        <v>9.95916031959148</v>
      </c>
      <c r="T42" s="38" t="n">
        <v>5.00210112306001</v>
      </c>
      <c r="U42" s="34" t="s">
        <v>94</v>
      </c>
      <c r="V42" s="36" t="n">
        <v>0.841433777747708</v>
      </c>
      <c r="W42" s="37" t="n">
        <f aca="false">IFERROR(1/V42,"")</f>
        <v>1.18844765499756</v>
      </c>
    </row>
    <row r="43" customFormat="false" ht="18.75" hidden="false" customHeight="true" outlineLevel="0" collapsed="false">
      <c r="A43" s="39" t="n">
        <v>32</v>
      </c>
      <c r="B43" s="40" t="n">
        <v>46320</v>
      </c>
      <c r="C43" s="41" t="s">
        <v>100</v>
      </c>
      <c r="D43" s="41" t="s">
        <v>93</v>
      </c>
      <c r="E43" s="42" t="s">
        <v>74</v>
      </c>
      <c r="F43" s="39" t="s">
        <v>85</v>
      </c>
      <c r="G43" s="43" t="n">
        <v>0.126681879248606</v>
      </c>
      <c r="H43" s="43" t="n">
        <v>0.424688896181804</v>
      </c>
      <c r="I43" s="44" t="n">
        <f aca="false">IFERROR(1/H43,"")</f>
        <v>2.35466481226745</v>
      </c>
      <c r="J43" s="43" t="n">
        <v>0.267687943243933</v>
      </c>
      <c r="K43" s="44" t="n">
        <f aca="false">IFERROR(1/J43,"")</f>
        <v>3.73569309055037</v>
      </c>
      <c r="L43" s="43" t="n">
        <v>0.307623160574263</v>
      </c>
      <c r="M43" s="44" t="n">
        <f aca="false">IFERROR(1/L43,"")</f>
        <v>3.25073053060513</v>
      </c>
      <c r="N43" s="45" t="n">
        <v>2.45092372936798</v>
      </c>
      <c r="O43" s="43" t="n">
        <v>0.443538154956882</v>
      </c>
      <c r="P43" s="44" t="n">
        <f aca="false">IFERROR(1/O43,"")</f>
        <v>2.25459746545867</v>
      </c>
      <c r="Q43" s="43" t="n">
        <v>0.493083394256738</v>
      </c>
      <c r="R43" s="44" t="n">
        <f aca="false">IFERROR(1/Q43,"")</f>
        <v>2.02805450690015</v>
      </c>
      <c r="S43" s="45" t="n">
        <v>9.27490106578722</v>
      </c>
      <c r="T43" s="45" t="n">
        <v>5.44467804406142</v>
      </c>
      <c r="U43" s="41" t="s">
        <v>86</v>
      </c>
      <c r="V43" s="43" t="n">
        <v>0.81292921818265</v>
      </c>
      <c r="W43" s="44" t="n">
        <f aca="false">IFERROR(1/V43,"")</f>
        <v>1.23011939740038</v>
      </c>
    </row>
    <row r="44" customFormat="false" ht="18.75" hidden="false" customHeight="true" outlineLevel="0" collapsed="false">
      <c r="A44" s="32" t="n">
        <v>32</v>
      </c>
      <c r="B44" s="33" t="n">
        <v>46320</v>
      </c>
      <c r="C44" s="34" t="s">
        <v>95</v>
      </c>
      <c r="D44" s="34" t="s">
        <v>87</v>
      </c>
      <c r="E44" s="35" t="s">
        <v>74</v>
      </c>
      <c r="F44" s="32" t="s">
        <v>89</v>
      </c>
      <c r="G44" s="36" t="n">
        <v>0.126169347669145</v>
      </c>
      <c r="H44" s="36" t="n">
        <v>0.48396440421835</v>
      </c>
      <c r="I44" s="37" t="n">
        <f aca="false">IFERROR(1/H44,"")</f>
        <v>2.06626766614189</v>
      </c>
      <c r="J44" s="36" t="n">
        <v>0.259502081945547</v>
      </c>
      <c r="K44" s="37" t="n">
        <f aca="false">IFERROR(1/J44,"")</f>
        <v>3.8535336306467</v>
      </c>
      <c r="L44" s="36" t="n">
        <v>0.256533513836103</v>
      </c>
      <c r="M44" s="37" t="n">
        <f aca="false">IFERROR(1/L44,"")</f>
        <v>3.89812615531744</v>
      </c>
      <c r="N44" s="38" t="n">
        <v>2.47036904628869</v>
      </c>
      <c r="O44" s="36" t="n">
        <v>0.448564804931194</v>
      </c>
      <c r="P44" s="37" t="n">
        <f aca="false">IFERROR(1/O44,"")</f>
        <v>2.22933228154935</v>
      </c>
      <c r="Q44" s="36" t="n">
        <v>0.484739135333548</v>
      </c>
      <c r="R44" s="37" t="n">
        <f aca="false">IFERROR(1/Q44,"")</f>
        <v>2.06296526751838</v>
      </c>
      <c r="S44" s="38" t="n">
        <v>11.0145032035762</v>
      </c>
      <c r="T44" s="38" t="n">
        <v>4.64728192570394</v>
      </c>
      <c r="U44" s="34" t="s">
        <v>86</v>
      </c>
      <c r="V44" s="36" t="n">
        <v>0.812006019704946</v>
      </c>
      <c r="W44" s="37" t="n">
        <f aca="false">IFERROR(1/V44,"")</f>
        <v>1.23151796382417</v>
      </c>
    </row>
    <row r="45" customFormat="false" ht="18.75" hidden="false" customHeight="true" outlineLevel="0" collapsed="false">
      <c r="A45" s="39" t="n">
        <v>32</v>
      </c>
      <c r="B45" s="40" t="n">
        <v>46320</v>
      </c>
      <c r="C45" s="41" t="s">
        <v>102</v>
      </c>
      <c r="D45" s="41" t="s">
        <v>91</v>
      </c>
      <c r="E45" s="42" t="s">
        <v>74</v>
      </c>
      <c r="F45" s="39" t="s">
        <v>89</v>
      </c>
      <c r="G45" s="43" t="n">
        <v>0.136867746333922</v>
      </c>
      <c r="H45" s="43" t="n">
        <v>0.661764499713578</v>
      </c>
      <c r="I45" s="44" t="n">
        <f aca="false">IFERROR(1/H45,"")</f>
        <v>1.51111158188875</v>
      </c>
      <c r="J45" s="43" t="n">
        <v>0.205916025561594</v>
      </c>
      <c r="K45" s="44" t="n">
        <f aca="false">IFERROR(1/J45,"")</f>
        <v>4.8563485880844</v>
      </c>
      <c r="L45" s="43" t="n">
        <v>0.132319474724828</v>
      </c>
      <c r="M45" s="44" t="n">
        <f aca="false">IFERROR(1/L45,"")</f>
        <v>7.55746651866327</v>
      </c>
      <c r="N45" s="45" t="n">
        <v>2.65728379368933</v>
      </c>
      <c r="O45" s="43" t="n">
        <v>0.495865253059697</v>
      </c>
      <c r="P45" s="44" t="n">
        <f aca="false">IFERROR(1/O45,"")</f>
        <v>2.01667689726106</v>
      </c>
      <c r="Q45" s="43" t="n">
        <v>0.438918074144141</v>
      </c>
      <c r="R45" s="44" t="n">
        <f aca="false">IFERROR(1/Q45,"")</f>
        <v>2.27832950818881</v>
      </c>
      <c r="S45" s="45" t="n">
        <v>11.8213861873285</v>
      </c>
      <c r="T45" s="45" t="n">
        <v>5.47124794992913</v>
      </c>
      <c r="U45" s="41" t="s">
        <v>94</v>
      </c>
      <c r="V45" s="43" t="n">
        <v>0.867680525275172</v>
      </c>
      <c r="W45" s="44" t="n">
        <f aca="false">IFERROR(1/V45,"")</f>
        <v>1.15249791930373</v>
      </c>
    </row>
    <row r="46" customFormat="false" ht="18.75" hidden="false" customHeight="true" outlineLevel="0" collapsed="false">
      <c r="A46" s="32" t="n">
        <v>32</v>
      </c>
      <c r="B46" s="33" t="n">
        <v>46320</v>
      </c>
      <c r="C46" s="34" t="s">
        <v>88</v>
      </c>
      <c r="D46" s="34" t="s">
        <v>103</v>
      </c>
      <c r="E46" s="35" t="s">
        <v>74</v>
      </c>
      <c r="F46" s="32" t="s">
        <v>85</v>
      </c>
      <c r="G46" s="36" t="n">
        <v>0.118932975799116</v>
      </c>
      <c r="H46" s="36" t="n">
        <v>0.452673038785135</v>
      </c>
      <c r="I46" s="37" t="n">
        <f aca="false">IFERROR(1/H46,"")</f>
        <v>2.20909997795265</v>
      </c>
      <c r="J46" s="36" t="n">
        <v>0.250690833200746</v>
      </c>
      <c r="K46" s="37" t="n">
        <f aca="false">IFERROR(1/J46,"")</f>
        <v>3.98897712865004</v>
      </c>
      <c r="L46" s="36" t="n">
        <v>0.296636128014119</v>
      </c>
      <c r="M46" s="37" t="n">
        <f aca="false">IFERROR(1/L46,"")</f>
        <v>3.37113353890731</v>
      </c>
      <c r="N46" s="38" t="n">
        <v>2.70625491000414</v>
      </c>
      <c r="O46" s="36" t="n">
        <v>0.507907788698148</v>
      </c>
      <c r="P46" s="37" t="n">
        <f aca="false">IFERROR(1/O46,"")</f>
        <v>1.968861321389</v>
      </c>
      <c r="Q46" s="36" t="n">
        <v>0.541001846704999</v>
      </c>
      <c r="R46" s="37" t="n">
        <f aca="false">IFERROR(1/Q46,"")</f>
        <v>1.84842252589442</v>
      </c>
      <c r="S46" s="38" t="n">
        <v>10.1400401459026</v>
      </c>
      <c r="T46" s="38" t="n">
        <v>5.58553789536609</v>
      </c>
      <c r="U46" s="34" t="s">
        <v>86</v>
      </c>
      <c r="V46" s="36" t="n">
        <v>0.796602678188079</v>
      </c>
      <c r="W46" s="37" t="n">
        <f aca="false">IFERROR(1/V46,"")</f>
        <v>1.25533095403917</v>
      </c>
    </row>
    <row r="47" customFormat="false" ht="18.75" hidden="false" customHeight="true" outlineLevel="0" collapsed="false">
      <c r="A47" s="39" t="n">
        <v>32</v>
      </c>
      <c r="B47" s="40" t="n">
        <v>46320</v>
      </c>
      <c r="C47" s="41" t="s">
        <v>84</v>
      </c>
      <c r="D47" s="41" t="s">
        <v>101</v>
      </c>
      <c r="E47" s="42" t="s">
        <v>74</v>
      </c>
      <c r="F47" s="39" t="s">
        <v>85</v>
      </c>
      <c r="G47" s="43" t="n">
        <v>0.126687554548458</v>
      </c>
      <c r="H47" s="43" t="n">
        <v>0.412156902484691</v>
      </c>
      <c r="I47" s="44" t="n">
        <f aca="false">IFERROR(1/H47,"")</f>
        <v>2.42626047015467</v>
      </c>
      <c r="J47" s="43" t="n">
        <v>0.267311110721739</v>
      </c>
      <c r="K47" s="44" t="n">
        <f aca="false">IFERROR(1/J47,"")</f>
        <v>3.74095935369092</v>
      </c>
      <c r="L47" s="43" t="n">
        <v>0.32053198679357</v>
      </c>
      <c r="M47" s="44" t="n">
        <f aca="false">IFERROR(1/L47,"")</f>
        <v>3.1198134389128</v>
      </c>
      <c r="N47" s="45" t="n">
        <v>2.47173979572159</v>
      </c>
      <c r="O47" s="43" t="n">
        <v>0.448917905296588</v>
      </c>
      <c r="P47" s="44" t="n">
        <f aca="false">IFERROR(1/O47,"")</f>
        <v>2.22757878044389</v>
      </c>
      <c r="Q47" s="43" t="n">
        <v>0.499099930854435</v>
      </c>
      <c r="R47" s="44" t="n">
        <f aca="false">IFERROR(1/Q47,"")</f>
        <v>2.00360676926572</v>
      </c>
      <c r="S47" s="45" t="n">
        <v>9.06329880699849</v>
      </c>
      <c r="T47" s="45" t="n">
        <v>5.38112808540543</v>
      </c>
      <c r="U47" s="41" t="s">
        <v>86</v>
      </c>
      <c r="V47" s="43" t="n">
        <v>0.811989400170914</v>
      </c>
      <c r="W47" s="44" t="n">
        <f aca="false">IFERROR(1/V47,"")</f>
        <v>1.23154317013192</v>
      </c>
    </row>
    <row r="48" customFormat="false" ht="18.75" hidden="false" customHeight="true" outlineLevel="0" collapsed="false">
      <c r="A48" s="32" t="n">
        <v>32</v>
      </c>
      <c r="B48" s="33" t="n">
        <v>46320</v>
      </c>
      <c r="C48" s="34" t="s">
        <v>106</v>
      </c>
      <c r="D48" s="34" t="s">
        <v>92</v>
      </c>
      <c r="E48" s="35" t="s">
        <v>77</v>
      </c>
      <c r="F48" s="32" t="s">
        <v>85</v>
      </c>
      <c r="G48" s="36" t="n">
        <v>0.130812192813284</v>
      </c>
      <c r="H48" s="36" t="n">
        <v>0.34677540710245</v>
      </c>
      <c r="I48" s="37" t="n">
        <f aca="false">IFERROR(1/H48,"")</f>
        <v>2.88371083853869</v>
      </c>
      <c r="J48" s="36" t="n">
        <v>0.279811780739644</v>
      </c>
      <c r="K48" s="37" t="n">
        <f aca="false">IFERROR(1/J48,"")</f>
        <v>3.57383094220206</v>
      </c>
      <c r="L48" s="36" t="n">
        <v>0.373412812157906</v>
      </c>
      <c r="M48" s="37" t="n">
        <f aca="false">IFERROR(1/L48,"")</f>
        <v>2.67800130965278</v>
      </c>
      <c r="N48" s="38" t="n">
        <v>2.30873821965801</v>
      </c>
      <c r="O48" s="36" t="n">
        <v>0.406277261539216</v>
      </c>
      <c r="P48" s="37" t="n">
        <f aca="false">IFERROR(1/O48,"")</f>
        <v>2.46137329027821</v>
      </c>
      <c r="Q48" s="36" t="n">
        <v>0.467089364929079</v>
      </c>
      <c r="R48" s="37" t="n">
        <f aca="false">IFERROR(1/Q48,"")</f>
        <v>2.14091793794499</v>
      </c>
      <c r="S48" s="38" t="n">
        <v>9.34669158746421</v>
      </c>
      <c r="T48" s="38" t="n">
        <v>5.42147649767468</v>
      </c>
      <c r="U48" s="34" t="s">
        <v>86</v>
      </c>
      <c r="V48" s="36" t="n">
        <v>0.817392633118308</v>
      </c>
      <c r="W48" s="37" t="n">
        <f aca="false">IFERROR(1/V48,"")</f>
        <v>1.22340226652772</v>
      </c>
    </row>
    <row r="49" customFormat="false" ht="18.75" hidden="false" customHeight="true" outlineLevel="0" collapsed="false">
      <c r="A49" s="39" t="n">
        <v>33</v>
      </c>
      <c r="B49" s="40" t="n">
        <v>46323</v>
      </c>
      <c r="C49" s="41" t="s">
        <v>90</v>
      </c>
      <c r="D49" s="41" t="s">
        <v>96</v>
      </c>
      <c r="E49" s="42" t="s">
        <v>74</v>
      </c>
      <c r="F49" s="39" t="s">
        <v>89</v>
      </c>
      <c r="G49" s="43" t="n">
        <v>0.134852486940575</v>
      </c>
      <c r="H49" s="43" t="n">
        <v>0.437855750545641</v>
      </c>
      <c r="I49" s="44" t="n">
        <f aca="false">IFERROR(1/H49,"")</f>
        <v>2.28385718071268</v>
      </c>
      <c r="J49" s="43" t="n">
        <v>0.278339610453099</v>
      </c>
      <c r="K49" s="44" t="n">
        <f aca="false">IFERROR(1/J49,"")</f>
        <v>3.59273334604491</v>
      </c>
      <c r="L49" s="43" t="n">
        <v>0.28380463900126</v>
      </c>
      <c r="M49" s="44" t="n">
        <f aca="false">IFERROR(1/L49,"")</f>
        <v>3.52355057873301</v>
      </c>
      <c r="N49" s="45" t="n">
        <v>2.2703873953297</v>
      </c>
      <c r="O49" s="43" t="n">
        <v>0.396093893217481</v>
      </c>
      <c r="P49" s="44" t="n">
        <f aca="false">IFERROR(1/O49,"")</f>
        <v>2.52465391949614</v>
      </c>
      <c r="Q49" s="43" t="n">
        <v>0.451207343807505</v>
      </c>
      <c r="R49" s="44" t="n">
        <f aca="false">IFERROR(1/Q49,"")</f>
        <v>2.21627598425486</v>
      </c>
      <c r="S49" s="45" t="n">
        <v>10.0435886298779</v>
      </c>
      <c r="T49" s="45" t="n">
        <v>5.6241155138033</v>
      </c>
      <c r="U49" s="41" t="s">
        <v>86</v>
      </c>
      <c r="V49" s="43" t="n">
        <v>0.817934677836534</v>
      </c>
      <c r="W49" s="44" t="n">
        <f aca="false">IFERROR(1/V49,"")</f>
        <v>1.22259151873232</v>
      </c>
    </row>
    <row r="50" customFormat="false" ht="18.75" hidden="false" customHeight="true" outlineLevel="0" collapsed="false">
      <c r="A50" s="32" t="n">
        <v>33</v>
      </c>
      <c r="B50" s="33" t="n">
        <v>46323</v>
      </c>
      <c r="C50" s="34" t="s">
        <v>103</v>
      </c>
      <c r="D50" s="34" t="s">
        <v>87</v>
      </c>
      <c r="E50" s="35" t="s">
        <v>74</v>
      </c>
      <c r="F50" s="32" t="s">
        <v>85</v>
      </c>
      <c r="G50" s="36" t="n">
        <v>0.125810374267626</v>
      </c>
      <c r="H50" s="36" t="n">
        <v>0.451622690447422</v>
      </c>
      <c r="I50" s="37" t="n">
        <f aca="false">IFERROR(1/H50,"")</f>
        <v>2.21423772797886</v>
      </c>
      <c r="J50" s="36" t="n">
        <v>0.266599119882747</v>
      </c>
      <c r="K50" s="37" t="n">
        <f aca="false">IFERROR(1/J50,"")</f>
        <v>3.750950117314</v>
      </c>
      <c r="L50" s="36" t="n">
        <v>0.281778189669831</v>
      </c>
      <c r="M50" s="37" t="n">
        <f aca="false">IFERROR(1/L50,"")</f>
        <v>3.54889071141998</v>
      </c>
      <c r="N50" s="38" t="n">
        <v>2.4252262528599</v>
      </c>
      <c r="O50" s="36" t="n">
        <v>0.436868529260041</v>
      </c>
      <c r="P50" s="37" t="n">
        <f aca="false">IFERROR(1/O50,"")</f>
        <v>2.28901816684708</v>
      </c>
      <c r="Q50" s="36" t="n">
        <v>0.482801438085528</v>
      </c>
      <c r="R50" s="37" t="n">
        <f aca="false">IFERROR(1/Q50,"")</f>
        <v>2.07124486614071</v>
      </c>
      <c r="S50" s="38" t="n">
        <v>10.1824614888365</v>
      </c>
      <c r="T50" s="38" t="n">
        <v>5.43151143677134</v>
      </c>
      <c r="U50" s="34" t="s">
        <v>86</v>
      </c>
      <c r="V50" s="36" t="n">
        <v>0.813978564329431</v>
      </c>
      <c r="W50" s="37" t="n">
        <f aca="false">IFERROR(1/V50,"")</f>
        <v>1.22853358039449</v>
      </c>
    </row>
    <row r="51" customFormat="false" ht="18.75" hidden="false" customHeight="true" outlineLevel="0" collapsed="false">
      <c r="A51" s="39" t="n">
        <v>33</v>
      </c>
      <c r="B51" s="40" t="n">
        <v>46323</v>
      </c>
      <c r="C51" s="41" t="s">
        <v>91</v>
      </c>
      <c r="D51" s="41" t="s">
        <v>83</v>
      </c>
      <c r="E51" s="42" t="s">
        <v>74</v>
      </c>
      <c r="F51" s="39" t="s">
        <v>108</v>
      </c>
      <c r="G51" s="43" t="n">
        <v>0.116669080976543</v>
      </c>
      <c r="H51" s="43" t="n">
        <v>0.652621885693369</v>
      </c>
      <c r="I51" s="44" t="n">
        <f aca="false">IFERROR(1/H51,"")</f>
        <v>1.53228082281912</v>
      </c>
      <c r="J51" s="43" t="n">
        <v>0.200522086107634</v>
      </c>
      <c r="K51" s="44" t="n">
        <f aca="false">IFERROR(1/J51,"")</f>
        <v>4.98698183033679</v>
      </c>
      <c r="L51" s="43" t="n">
        <v>0.146856028198997</v>
      </c>
      <c r="M51" s="44" t="n">
        <f aca="false">IFERROR(1/L51,"")</f>
        <v>6.80939020524888</v>
      </c>
      <c r="N51" s="45" t="n">
        <v>2.87674431948416</v>
      </c>
      <c r="O51" s="43" t="n">
        <v>0.548653173872806</v>
      </c>
      <c r="P51" s="44" t="n">
        <f aca="false">IFERROR(1/O51,"")</f>
        <v>1.82264506544499</v>
      </c>
      <c r="Q51" s="43" t="n">
        <v>0.49340637223671</v>
      </c>
      <c r="R51" s="44" t="n">
        <f aca="false">IFERROR(1/Q51,"")</f>
        <v>2.02672696638837</v>
      </c>
      <c r="S51" s="45" t="n">
        <v>10.9932636862388</v>
      </c>
      <c r="T51" s="45" t="n">
        <v>4.28153450948214</v>
      </c>
      <c r="U51" s="41" t="s">
        <v>94</v>
      </c>
      <c r="V51" s="43" t="n">
        <v>0.853143971801003</v>
      </c>
      <c r="W51" s="44" t="n">
        <f aca="false">IFERROR(1/V51,"")</f>
        <v>1.17213510621071</v>
      </c>
    </row>
    <row r="52" customFormat="false" ht="18.75" hidden="false" customHeight="true" outlineLevel="0" collapsed="false">
      <c r="A52" s="32" t="n">
        <v>33</v>
      </c>
      <c r="B52" s="33" t="n">
        <v>46323</v>
      </c>
      <c r="C52" s="34" t="s">
        <v>101</v>
      </c>
      <c r="D52" s="34" t="s">
        <v>95</v>
      </c>
      <c r="E52" s="35" t="s">
        <v>74</v>
      </c>
      <c r="F52" s="32" t="s">
        <v>85</v>
      </c>
      <c r="G52" s="36" t="n">
        <v>0.126606343141552</v>
      </c>
      <c r="H52" s="36" t="n">
        <v>0.433323322665609</v>
      </c>
      <c r="I52" s="37" t="n">
        <f aca="false">IFERROR(1/H52,"")</f>
        <v>2.30774562017215</v>
      </c>
      <c r="J52" s="36" t="n">
        <v>0.26786967721078</v>
      </c>
      <c r="K52" s="37" t="n">
        <f aca="false">IFERROR(1/J52,"")</f>
        <v>3.73315864047249</v>
      </c>
      <c r="L52" s="36" t="n">
        <v>0.298807000123611</v>
      </c>
      <c r="M52" s="37" t="n">
        <f aca="false">IFERROR(1/L52,"")</f>
        <v>3.34664181088903</v>
      </c>
      <c r="N52" s="38" t="n">
        <v>2.43584834219288</v>
      </c>
      <c r="O52" s="36" t="n">
        <v>0.439629113862875</v>
      </c>
      <c r="P52" s="37" t="n">
        <f aca="false">IFERROR(1/O52,"")</f>
        <v>2.27464462308543</v>
      </c>
      <c r="Q52" s="36" t="n">
        <v>0.488522288223722</v>
      </c>
      <c r="R52" s="37" t="n">
        <f aca="false">IFERROR(1/Q52,"")</f>
        <v>2.04698951123811</v>
      </c>
      <c r="S52" s="38" t="n">
        <v>10.6936482644563</v>
      </c>
      <c r="T52" s="38" t="n">
        <v>5.59714506205062</v>
      </c>
      <c r="U52" s="34" t="s">
        <v>86</v>
      </c>
      <c r="V52" s="36" t="n">
        <v>0.81356357802561</v>
      </c>
      <c r="W52" s="37" t="n">
        <f aca="false">IFERROR(1/V52,"")</f>
        <v>1.22916023653227</v>
      </c>
    </row>
    <row r="53" customFormat="false" ht="18.75" hidden="false" customHeight="true" outlineLevel="0" collapsed="false">
      <c r="A53" s="39" t="n">
        <v>33</v>
      </c>
      <c r="B53" s="40" t="n">
        <v>46323</v>
      </c>
      <c r="C53" s="41" t="s">
        <v>99</v>
      </c>
      <c r="D53" s="41" t="s">
        <v>106</v>
      </c>
      <c r="E53" s="42" t="s">
        <v>74</v>
      </c>
      <c r="F53" s="39" t="s">
        <v>85</v>
      </c>
      <c r="G53" s="43" t="n">
        <v>0.120802043314174</v>
      </c>
      <c r="H53" s="43" t="n">
        <v>0.461792939476874</v>
      </c>
      <c r="I53" s="44" t="n">
        <f aca="false">IFERROR(1/H53,"")</f>
        <v>2.16547269244267</v>
      </c>
      <c r="J53" s="43" t="n">
        <v>0.254127917591347</v>
      </c>
      <c r="K53" s="44" t="n">
        <f aca="false">IFERROR(1/J53,"")</f>
        <v>3.93502614540784</v>
      </c>
      <c r="L53" s="43" t="n">
        <v>0.284079142931779</v>
      </c>
      <c r="M53" s="44" t="n">
        <f aca="false">IFERROR(1/L53,"")</f>
        <v>3.5201457934564</v>
      </c>
      <c r="N53" s="45" t="n">
        <v>2.62109663493381</v>
      </c>
      <c r="O53" s="43" t="n">
        <v>0.486854756348318</v>
      </c>
      <c r="P53" s="44" t="n">
        <f aca="false">IFERROR(1/O53,"")</f>
        <v>2.05400067876621</v>
      </c>
      <c r="Q53" s="43" t="n">
        <v>0.522025142088135</v>
      </c>
      <c r="R53" s="44" t="n">
        <f aca="false">IFERROR(1/Q53,"")</f>
        <v>1.9156165467432</v>
      </c>
      <c r="S53" s="45" t="n">
        <v>9.01349632264351</v>
      </c>
      <c r="T53" s="45" t="n">
        <v>5.37865592895108</v>
      </c>
      <c r="U53" s="41" t="s">
        <v>86</v>
      </c>
      <c r="V53" s="43" t="n">
        <v>0.803135807045643</v>
      </c>
      <c r="W53" s="44" t="n">
        <f aca="false">IFERROR(1/V53,"")</f>
        <v>1.24511943214004</v>
      </c>
    </row>
    <row r="54" customFormat="false" ht="18.75" hidden="false" customHeight="true" outlineLevel="0" collapsed="false">
      <c r="A54" s="32" t="n">
        <v>33</v>
      </c>
      <c r="B54" s="33" t="n">
        <v>46323</v>
      </c>
      <c r="C54" s="34" t="s">
        <v>98</v>
      </c>
      <c r="D54" s="34" t="s">
        <v>100</v>
      </c>
      <c r="E54" s="35" t="s">
        <v>74</v>
      </c>
      <c r="F54" s="32" t="s">
        <v>89</v>
      </c>
      <c r="G54" s="36" t="n">
        <v>0.135682980587335</v>
      </c>
      <c r="H54" s="36" t="n">
        <v>0.488756030674576</v>
      </c>
      <c r="I54" s="37" t="n">
        <f aca="false">IFERROR(1/H54,"")</f>
        <v>2.04601055995117</v>
      </c>
      <c r="J54" s="36" t="n">
        <v>0.264725942875028</v>
      </c>
      <c r="K54" s="37" t="n">
        <f aca="false">IFERROR(1/J54,"")</f>
        <v>3.77749150362675</v>
      </c>
      <c r="L54" s="36" t="n">
        <v>0.246518026450396</v>
      </c>
      <c r="M54" s="37" t="n">
        <f aca="false">IFERROR(1/L54,"")</f>
        <v>4.05649848166872</v>
      </c>
      <c r="N54" s="38" t="n">
        <v>2.37050716654742</v>
      </c>
      <c r="O54" s="36" t="n">
        <v>0.422567875865997</v>
      </c>
      <c r="P54" s="37" t="n">
        <f aca="false">IFERROR(1/O54,"")</f>
        <v>2.36648372276438</v>
      </c>
      <c r="Q54" s="36" t="n">
        <v>0.461237576053878</v>
      </c>
      <c r="R54" s="37" t="n">
        <f aca="false">IFERROR(1/Q54,"")</f>
        <v>2.16808007828744</v>
      </c>
      <c r="S54" s="38" t="n">
        <v>9.34662017383915</v>
      </c>
      <c r="T54" s="38" t="n">
        <v>5.4611173279539</v>
      </c>
      <c r="U54" s="34" t="s">
        <v>86</v>
      </c>
      <c r="V54" s="36" t="n">
        <v>0.815832856021549</v>
      </c>
      <c r="W54" s="37" t="n">
        <f aca="false">IFERROR(1/V54,"")</f>
        <v>1.22574126871594</v>
      </c>
    </row>
    <row r="55" customFormat="false" ht="18.75" hidden="false" customHeight="true" outlineLevel="0" collapsed="false">
      <c r="A55" s="39" t="n">
        <v>33</v>
      </c>
      <c r="B55" s="40" t="n">
        <v>46323</v>
      </c>
      <c r="C55" s="41" t="s">
        <v>105</v>
      </c>
      <c r="D55" s="41" t="s">
        <v>92</v>
      </c>
      <c r="E55" s="42" t="s">
        <v>74</v>
      </c>
      <c r="F55" s="39" t="s">
        <v>85</v>
      </c>
      <c r="G55" s="43" t="n">
        <v>0.126002213347753</v>
      </c>
      <c r="H55" s="43" t="n">
        <v>0.428918087517414</v>
      </c>
      <c r="I55" s="44" t="n">
        <f aca="false">IFERROR(1/H55,"")</f>
        <v>2.33144749336177</v>
      </c>
      <c r="J55" s="43" t="n">
        <v>0.265920880638504</v>
      </c>
      <c r="K55" s="44" t="n">
        <f aca="false">IFERROR(1/J55,"")</f>
        <v>3.76051702897078</v>
      </c>
      <c r="L55" s="43" t="n">
        <v>0.305161031844082</v>
      </c>
      <c r="M55" s="44" t="n">
        <f aca="false">IFERROR(1/L55,"")</f>
        <v>3.27695837819468</v>
      </c>
      <c r="N55" s="45" t="n">
        <v>2.47388343938105</v>
      </c>
      <c r="O55" s="43" t="n">
        <v>0.449470793477639</v>
      </c>
      <c r="P55" s="44" t="n">
        <f aca="false">IFERROR(1/O55,"")</f>
        <v>2.22483866473907</v>
      </c>
      <c r="Q55" s="43" t="n">
        <v>0.497335239804342</v>
      </c>
      <c r="R55" s="44" t="n">
        <f aca="false">IFERROR(1/Q55,"")</f>
        <v>2.01071615273716</v>
      </c>
      <c r="S55" s="45" t="n">
        <v>9.51495231900231</v>
      </c>
      <c r="T55" s="45" t="n">
        <v>5.46727650937947</v>
      </c>
      <c r="U55" s="41" t="s">
        <v>86</v>
      </c>
      <c r="V55" s="43" t="n">
        <v>0.81188038578858</v>
      </c>
      <c r="W55" s="44" t="n">
        <f aca="false">IFERROR(1/V55,"")</f>
        <v>1.23170853429191</v>
      </c>
    </row>
    <row r="56" customFormat="false" ht="18.75" hidden="false" customHeight="true" outlineLevel="0" collapsed="false">
      <c r="A56" s="32" t="n">
        <v>33</v>
      </c>
      <c r="B56" s="33" t="n">
        <v>46323</v>
      </c>
      <c r="C56" s="34" t="s">
        <v>104</v>
      </c>
      <c r="D56" s="34" t="s">
        <v>93</v>
      </c>
      <c r="E56" s="35" t="s">
        <v>77</v>
      </c>
      <c r="F56" s="32" t="s">
        <v>85</v>
      </c>
      <c r="G56" s="36" t="n">
        <v>0.118216068789862</v>
      </c>
      <c r="H56" s="36" t="n">
        <v>0.315487972235046</v>
      </c>
      <c r="I56" s="37" t="n">
        <f aca="false">IFERROR(1/H56,"")</f>
        <v>3.16969294555222</v>
      </c>
      <c r="J56" s="36" t="n">
        <v>0.249894435047321</v>
      </c>
      <c r="K56" s="37" t="n">
        <f aca="false">IFERROR(1/J56,"")</f>
        <v>4.00168975275755</v>
      </c>
      <c r="L56" s="36" t="n">
        <v>0.434617592717633</v>
      </c>
      <c r="M56" s="37" t="n">
        <f aca="false">IFERROR(1/L56,"")</f>
        <v>2.30087326596025</v>
      </c>
      <c r="N56" s="38" t="n">
        <v>2.75468111347333</v>
      </c>
      <c r="O56" s="36" t="n">
        <v>0.519675369504936</v>
      </c>
      <c r="P56" s="37" t="n">
        <f aca="false">IFERROR(1/O56,"")</f>
        <v>1.92427822960446</v>
      </c>
      <c r="Q56" s="36" t="n">
        <v>0.553409569229142</v>
      </c>
      <c r="R56" s="37" t="n">
        <f aca="false">IFERROR(1/Q56,"")</f>
        <v>1.80697995770642</v>
      </c>
      <c r="S56" s="38" t="n">
        <v>10.171936206916</v>
      </c>
      <c r="T56" s="38" t="n">
        <v>4.35001254319889</v>
      </c>
      <c r="U56" s="34" t="s">
        <v>86</v>
      </c>
      <c r="V56" s="36" t="n">
        <v>0.792440264810426</v>
      </c>
      <c r="W56" s="37" t="n">
        <f aca="false">IFERROR(1/V56,"")</f>
        <v>1.26192477137596</v>
      </c>
    </row>
    <row r="57" customFormat="false" ht="18.75" hidden="false" customHeight="true" outlineLevel="0" collapsed="false">
      <c r="A57" s="39" t="n">
        <v>33</v>
      </c>
      <c r="B57" s="40" t="n">
        <v>46323</v>
      </c>
      <c r="C57" s="41" t="s">
        <v>88</v>
      </c>
      <c r="D57" s="41" t="s">
        <v>102</v>
      </c>
      <c r="E57" s="42" t="s">
        <v>77</v>
      </c>
      <c r="F57" s="39" t="s">
        <v>85</v>
      </c>
      <c r="G57" s="43" t="n">
        <v>0.123578205834074</v>
      </c>
      <c r="H57" s="43" t="n">
        <v>0.269291234031585</v>
      </c>
      <c r="I57" s="44" t="n">
        <f aca="false">IFERROR(1/H57,"")</f>
        <v>3.71345173412779</v>
      </c>
      <c r="J57" s="43" t="n">
        <v>0.261058765675232</v>
      </c>
      <c r="K57" s="44" t="n">
        <f aca="false">IFERROR(1/J57,"")</f>
        <v>3.83055515264345</v>
      </c>
      <c r="L57" s="43" t="n">
        <v>0.469650000293183</v>
      </c>
      <c r="M57" s="44" t="n">
        <f aca="false">IFERROR(1/L57,"")</f>
        <v>2.12924518125357</v>
      </c>
      <c r="N57" s="45" t="n">
        <v>2.4793369072593</v>
      </c>
      <c r="O57" s="43" t="n">
        <v>0.450876436744286</v>
      </c>
      <c r="P57" s="44" t="n">
        <f aca="false">IFERROR(1/O57,"")</f>
        <v>2.21790255268352</v>
      </c>
      <c r="Q57" s="43" t="n">
        <v>0.490426497242812</v>
      </c>
      <c r="R57" s="44" t="n">
        <f aca="false">IFERROR(1/Q57,"")</f>
        <v>2.03904153960282</v>
      </c>
      <c r="S57" s="45" t="n">
        <v>10.6453010649116</v>
      </c>
      <c r="T57" s="45" t="n">
        <v>5.23855710434931</v>
      </c>
      <c r="U57" s="41" t="s">
        <v>86</v>
      </c>
      <c r="V57" s="43" t="n">
        <v>0.811591560087066</v>
      </c>
      <c r="W57" s="44" t="n">
        <f aca="false">IFERROR(1/V57,"")</f>
        <v>1.23214686940895</v>
      </c>
    </row>
    <row r="58" customFormat="false" ht="18.75" hidden="false" customHeight="true" outlineLevel="0" collapsed="false">
      <c r="A58" s="32" t="n">
        <v>33</v>
      </c>
      <c r="B58" s="33" t="n">
        <v>46323</v>
      </c>
      <c r="C58" s="34" t="s">
        <v>84</v>
      </c>
      <c r="D58" s="34" t="s">
        <v>8</v>
      </c>
      <c r="E58" s="35" t="s">
        <v>77</v>
      </c>
      <c r="F58" s="32" t="s">
        <v>85</v>
      </c>
      <c r="G58" s="36" t="n">
        <v>0.110581190343787</v>
      </c>
      <c r="H58" s="36" t="n">
        <v>0.246718409100986</v>
      </c>
      <c r="I58" s="37" t="n">
        <f aca="false">IFERROR(1/H58,"")</f>
        <v>4.05320382716428</v>
      </c>
      <c r="J58" s="36" t="n">
        <v>0.234466675867208</v>
      </c>
      <c r="K58" s="37" t="n">
        <f aca="false">IFERROR(1/J58,"")</f>
        <v>4.26499841097401</v>
      </c>
      <c r="L58" s="36" t="n">
        <v>0.518814915031806</v>
      </c>
      <c r="M58" s="37" t="n">
        <f aca="false">IFERROR(1/L58,"")</f>
        <v>1.92746964481292</v>
      </c>
      <c r="N58" s="38" t="n">
        <v>2.85365494616413</v>
      </c>
      <c r="O58" s="36" t="n">
        <v>0.543241188635287</v>
      </c>
      <c r="P58" s="37" t="n">
        <f aca="false">IFERROR(1/O58,"")</f>
        <v>1.8408029820275</v>
      </c>
      <c r="Q58" s="36" t="n">
        <v>0.553361531307425</v>
      </c>
      <c r="R58" s="37" t="n">
        <f aca="false">IFERROR(1/Q58,"")</f>
        <v>1.80713682361928</v>
      </c>
      <c r="S58" s="38" t="n">
        <v>9.07464781713678</v>
      </c>
      <c r="T58" s="38" t="n">
        <v>4.42360386461224</v>
      </c>
      <c r="U58" s="34" t="s">
        <v>86</v>
      </c>
      <c r="V58" s="36" t="n">
        <v>0.782905714894701</v>
      </c>
      <c r="W58" s="37" t="n">
        <f aca="false">IFERROR(1/V58,"")</f>
        <v>1.27729301367343</v>
      </c>
    </row>
    <row r="59" customFormat="false" ht="18.75" hidden="false" customHeight="true" outlineLevel="0" collapsed="false">
      <c r="A59" s="39" t="n">
        <v>34</v>
      </c>
      <c r="B59" s="40" t="n">
        <v>46330</v>
      </c>
      <c r="C59" s="41" t="s">
        <v>92</v>
      </c>
      <c r="D59" s="41" t="s">
        <v>84</v>
      </c>
      <c r="E59" s="42" t="s">
        <v>74</v>
      </c>
      <c r="F59" s="39" t="s">
        <v>89</v>
      </c>
      <c r="G59" s="43" t="n">
        <v>0.117896888222831</v>
      </c>
      <c r="H59" s="43" t="n">
        <v>0.560829226403294</v>
      </c>
      <c r="I59" s="44" t="n">
        <f aca="false">IFERROR(1/H59,"")</f>
        <v>1.7830739785321</v>
      </c>
      <c r="J59" s="43" t="n">
        <v>0.23249850589652</v>
      </c>
      <c r="K59" s="44" t="n">
        <f aca="false">IFERROR(1/J59,"")</f>
        <v>4.30110290878635</v>
      </c>
      <c r="L59" s="43" t="n">
        <v>0.206672267700187</v>
      </c>
      <c r="M59" s="44" t="n">
        <f aca="false">IFERROR(1/L59,"")</f>
        <v>4.83857854335188</v>
      </c>
      <c r="N59" s="45" t="n">
        <v>2.70807606961655</v>
      </c>
      <c r="O59" s="43" t="n">
        <v>0.508356106741066</v>
      </c>
      <c r="P59" s="44" t="n">
        <f aca="false">IFERROR(1/O59,"")</f>
        <v>1.96712498726676</v>
      </c>
      <c r="Q59" s="43" t="n">
        <v>0.508199065873314</v>
      </c>
      <c r="R59" s="44" t="n">
        <f aca="false">IFERROR(1/Q59,"")</f>
        <v>1.9677328573628</v>
      </c>
      <c r="S59" s="45" t="n">
        <v>9.47344198257393</v>
      </c>
      <c r="T59" s="45" t="n">
        <v>4.44354036086511</v>
      </c>
      <c r="U59" s="41" t="s">
        <v>86</v>
      </c>
      <c r="V59" s="43" t="n">
        <v>0.796352310445417</v>
      </c>
      <c r="W59" s="44" t="n">
        <f aca="false">IFERROR(1/V59,"")</f>
        <v>1.2557256215414</v>
      </c>
    </row>
    <row r="60" customFormat="false" ht="18.75" hidden="false" customHeight="true" outlineLevel="0" collapsed="false">
      <c r="A60" s="32" t="n">
        <v>34</v>
      </c>
      <c r="B60" s="33" t="n">
        <v>46330</v>
      </c>
      <c r="C60" s="34" t="s">
        <v>93</v>
      </c>
      <c r="D60" s="34" t="s">
        <v>90</v>
      </c>
      <c r="E60" s="35" t="s">
        <v>74</v>
      </c>
      <c r="F60" s="32" t="s">
        <v>89</v>
      </c>
      <c r="G60" s="36" t="n">
        <v>0.122802152594426</v>
      </c>
      <c r="H60" s="36" t="n">
        <v>0.488625056631443</v>
      </c>
      <c r="I60" s="37" t="n">
        <f aca="false">IFERROR(1/H60,"")</f>
        <v>2.04655898511213</v>
      </c>
      <c r="J60" s="36" t="n">
        <v>0.25596404955589</v>
      </c>
      <c r="K60" s="37" t="n">
        <f aca="false">IFERROR(1/J60,"")</f>
        <v>3.9067986372893</v>
      </c>
      <c r="L60" s="36" t="n">
        <v>0.255410893812668</v>
      </c>
      <c r="M60" s="37" t="n">
        <f aca="false">IFERROR(1/L60,"")</f>
        <v>3.91525978031874</v>
      </c>
      <c r="N60" s="38" t="n">
        <v>2.51978078877051</v>
      </c>
      <c r="O60" s="36" t="n">
        <v>0.461251976009507</v>
      </c>
      <c r="P60" s="37" t="n">
        <f aca="false">IFERROR(1/O60,"")</f>
        <v>2.16801239238352</v>
      </c>
      <c r="Q60" s="36" t="n">
        <v>0.494111806149052</v>
      </c>
      <c r="R60" s="37" t="n">
        <f aca="false">IFERROR(1/Q60,"")</f>
        <v>2.0238334473197</v>
      </c>
      <c r="S60" s="38" t="n">
        <v>9.27214757509669</v>
      </c>
      <c r="T60" s="38" t="n">
        <v>5.38231465701601</v>
      </c>
      <c r="U60" s="34" t="s">
        <v>86</v>
      </c>
      <c r="V60" s="36" t="n">
        <v>0.809484746602207</v>
      </c>
      <c r="W60" s="37" t="n">
        <f aca="false">IFERROR(1/V60,"")</f>
        <v>1.23535372864958</v>
      </c>
    </row>
    <row r="61" customFormat="false" ht="18.75" hidden="false" customHeight="true" outlineLevel="0" collapsed="false">
      <c r="A61" s="39" t="n">
        <v>34</v>
      </c>
      <c r="B61" s="40" t="n">
        <v>46330</v>
      </c>
      <c r="C61" s="41" t="s">
        <v>91</v>
      </c>
      <c r="D61" s="41" t="s">
        <v>88</v>
      </c>
      <c r="E61" s="42" t="s">
        <v>74</v>
      </c>
      <c r="F61" s="39" t="s">
        <v>85</v>
      </c>
      <c r="G61" s="43" t="n">
        <v>0.119609534847529</v>
      </c>
      <c r="H61" s="43" t="n">
        <v>0.485510779136609</v>
      </c>
      <c r="I61" s="44" t="n">
        <f aca="false">IFERROR(1/H61,"")</f>
        <v>2.05968650537134</v>
      </c>
      <c r="J61" s="43" t="n">
        <v>0.251637820008903</v>
      </c>
      <c r="K61" s="44" t="n">
        <f aca="false">IFERROR(1/J61,"")</f>
        <v>3.97396543955364</v>
      </c>
      <c r="L61" s="43" t="n">
        <v>0.262851400854488</v>
      </c>
      <c r="M61" s="44" t="n">
        <f aca="false">IFERROR(1/L61,"")</f>
        <v>3.804430932265</v>
      </c>
      <c r="N61" s="45" t="n">
        <v>2.60819890439792</v>
      </c>
      <c r="O61" s="43" t="n">
        <v>0.483628179778975</v>
      </c>
      <c r="P61" s="44" t="n">
        <f aca="false">IFERROR(1/O61,"")</f>
        <v>2.06770416160823</v>
      </c>
      <c r="Q61" s="43" t="n">
        <v>0.513669327911794</v>
      </c>
      <c r="R61" s="44" t="n">
        <f aca="false">IFERROR(1/Q61,"")</f>
        <v>1.94677771410894</v>
      </c>
      <c r="S61" s="45" t="n">
        <v>10.9437434750104</v>
      </c>
      <c r="T61" s="45" t="n">
        <v>5.61849519842743</v>
      </c>
      <c r="U61" s="41" t="s">
        <v>86</v>
      </c>
      <c r="V61" s="43" t="n">
        <v>0.804015977316446</v>
      </c>
      <c r="W61" s="44" t="n">
        <f aca="false">IFERROR(1/V61,"")</f>
        <v>1.24375637824722</v>
      </c>
    </row>
    <row r="62" customFormat="false" ht="18.75" hidden="false" customHeight="true" outlineLevel="0" collapsed="false">
      <c r="A62" s="32" t="n">
        <v>34</v>
      </c>
      <c r="B62" s="33" t="n">
        <v>46330</v>
      </c>
      <c r="C62" s="34" t="s">
        <v>83</v>
      </c>
      <c r="D62" s="34" t="s">
        <v>95</v>
      </c>
      <c r="E62" s="35" t="s">
        <v>77</v>
      </c>
      <c r="F62" s="32" t="s">
        <v>85</v>
      </c>
      <c r="G62" s="36" t="n">
        <v>0.113688787673075</v>
      </c>
      <c r="H62" s="36" t="n">
        <v>0.268212555734817</v>
      </c>
      <c r="I62" s="37" t="n">
        <f aca="false">IFERROR(1/H62,"")</f>
        <v>3.72838623180902</v>
      </c>
      <c r="J62" s="36" t="n">
        <v>0.240733916109163</v>
      </c>
      <c r="K62" s="37" t="n">
        <f aca="false">IFERROR(1/J62,"")</f>
        <v>4.15396391236596</v>
      </c>
      <c r="L62" s="36" t="n">
        <v>0.49105352815602</v>
      </c>
      <c r="M62" s="37" t="n">
        <f aca="false">IFERROR(1/L62,"")</f>
        <v>2.0364378680979</v>
      </c>
      <c r="N62" s="38" t="n">
        <v>2.81274382608719</v>
      </c>
      <c r="O62" s="36" t="n">
        <v>0.533581201490536</v>
      </c>
      <c r="P62" s="37" t="n">
        <f aca="false">IFERROR(1/O62,"")</f>
        <v>1.87412899331263</v>
      </c>
      <c r="Q62" s="36" t="n">
        <v>0.553403221302399</v>
      </c>
      <c r="R62" s="37" t="n">
        <f aca="false">IFERROR(1/Q62,"")</f>
        <v>1.80700068504582</v>
      </c>
      <c r="S62" s="38" t="n">
        <v>10.6266699824491</v>
      </c>
      <c r="T62" s="38" t="n">
        <v>3.63274744734093</v>
      </c>
      <c r="U62" s="34" t="s">
        <v>86</v>
      </c>
      <c r="V62" s="36" t="n">
        <v>0.78699690589814</v>
      </c>
      <c r="W62" s="37" t="n">
        <f aca="false">IFERROR(1/V62,"")</f>
        <v>1.27065302608627</v>
      </c>
    </row>
    <row r="63" customFormat="false" ht="18.75" hidden="false" customHeight="true" outlineLevel="0" collapsed="false">
      <c r="A63" s="39" t="n">
        <v>34</v>
      </c>
      <c r="B63" s="40" t="n">
        <v>46330</v>
      </c>
      <c r="C63" s="41" t="s">
        <v>96</v>
      </c>
      <c r="D63" s="41" t="s">
        <v>103</v>
      </c>
      <c r="E63" s="42" t="s">
        <v>74</v>
      </c>
      <c r="F63" s="39" t="s">
        <v>89</v>
      </c>
      <c r="G63" s="43" t="n">
        <v>0.130706069948952</v>
      </c>
      <c r="H63" s="43" t="n">
        <v>0.514548977154803</v>
      </c>
      <c r="I63" s="44" t="n">
        <f aca="false">IFERROR(1/H63,"")</f>
        <v>1.94344959255287</v>
      </c>
      <c r="J63" s="43" t="n">
        <v>0.253881503931163</v>
      </c>
      <c r="K63" s="44" t="n">
        <f aca="false">IFERROR(1/J63,"")</f>
        <v>3.93884542400985</v>
      </c>
      <c r="L63" s="43" t="n">
        <v>0.231569518914034</v>
      </c>
      <c r="M63" s="44" t="n">
        <f aca="false">IFERROR(1/L63,"")</f>
        <v>4.31835763484586</v>
      </c>
      <c r="N63" s="45" t="n">
        <v>2.47669390575004</v>
      </c>
      <c r="O63" s="43" t="n">
        <v>0.45019609475357</v>
      </c>
      <c r="P63" s="44" t="n">
        <f aca="false">IFERROR(1/O63,"")</f>
        <v>2.22125427486745</v>
      </c>
      <c r="Q63" s="43" t="n">
        <v>0.476525716331916</v>
      </c>
      <c r="R63" s="44" t="n">
        <f aca="false">IFERROR(1/Q63,"")</f>
        <v>2.09852263105034</v>
      </c>
      <c r="S63" s="45" t="n">
        <v>10.3085688953249</v>
      </c>
      <c r="T63" s="45" t="n">
        <v>5.9210852505259</v>
      </c>
      <c r="U63" s="41" t="s">
        <v>86</v>
      </c>
      <c r="V63" s="43" t="n">
        <v>0.81167391761352</v>
      </c>
      <c r="W63" s="44" t="n">
        <f aca="false">IFERROR(1/V63,"")</f>
        <v>1.23202184805962</v>
      </c>
    </row>
    <row r="64" customFormat="false" ht="18.75" hidden="false" customHeight="true" outlineLevel="0" collapsed="false">
      <c r="A64" s="32" t="n">
        <v>34</v>
      </c>
      <c r="B64" s="33" t="n">
        <v>46330</v>
      </c>
      <c r="C64" s="34" t="s">
        <v>8</v>
      </c>
      <c r="D64" s="34" t="s">
        <v>105</v>
      </c>
      <c r="E64" s="35" t="s">
        <v>74</v>
      </c>
      <c r="F64" s="32" t="s">
        <v>108</v>
      </c>
      <c r="G64" s="36" t="n">
        <v>0.119552505269883</v>
      </c>
      <c r="H64" s="36" t="n">
        <v>0.684039405587102</v>
      </c>
      <c r="I64" s="37" t="n">
        <f aca="false">IFERROR(1/H64,"")</f>
        <v>1.46190408305749</v>
      </c>
      <c r="J64" s="36" t="n">
        <v>0.186901425211006</v>
      </c>
      <c r="K64" s="37" t="n">
        <f aca="false">IFERROR(1/J64,"")</f>
        <v>5.35041398893041</v>
      </c>
      <c r="L64" s="36" t="n">
        <v>0.129059169201892</v>
      </c>
      <c r="M64" s="37" t="n">
        <f aca="false">IFERROR(1/L64,"")</f>
        <v>7.74838398684921</v>
      </c>
      <c r="N64" s="38" t="n">
        <v>2.97003562737953</v>
      </c>
      <c r="O64" s="36" t="n">
        <v>0.57009025941437</v>
      </c>
      <c r="P64" s="37" t="n">
        <f aca="false">IFERROR(1/O64,"")</f>
        <v>1.75410820214199</v>
      </c>
      <c r="Q64" s="36" t="n">
        <v>0.490456907670505</v>
      </c>
      <c r="R64" s="37" t="n">
        <f aca="false">IFERROR(1/Q64,"")</f>
        <v>2.03891511029918</v>
      </c>
      <c r="S64" s="38" t="n">
        <v>9.68180843361123</v>
      </c>
      <c r="T64" s="38" t="n">
        <v>5.49412372624122</v>
      </c>
      <c r="U64" s="34" t="s">
        <v>94</v>
      </c>
      <c r="V64" s="36" t="n">
        <v>0.870940830798108</v>
      </c>
      <c r="W64" s="37" t="n">
        <f aca="false">IFERROR(1/V64,"")</f>
        <v>1.14818362469426</v>
      </c>
    </row>
    <row r="65" customFormat="false" ht="18.75" hidden="false" customHeight="true" outlineLevel="0" collapsed="false">
      <c r="A65" s="39" t="n">
        <v>34</v>
      </c>
      <c r="B65" s="40" t="n">
        <v>46330</v>
      </c>
      <c r="C65" s="41" t="s">
        <v>100</v>
      </c>
      <c r="D65" s="41" t="s">
        <v>99</v>
      </c>
      <c r="E65" s="42" t="s">
        <v>74</v>
      </c>
      <c r="F65" s="39" t="s">
        <v>89</v>
      </c>
      <c r="G65" s="43" t="n">
        <v>0.116841743781545</v>
      </c>
      <c r="H65" s="43" t="n">
        <v>0.598493345102832</v>
      </c>
      <c r="I65" s="44" t="n">
        <f aca="false">IFERROR(1/H65,"")</f>
        <v>1.67086235491588</v>
      </c>
      <c r="J65" s="43" t="n">
        <v>0.220000443716259</v>
      </c>
      <c r="K65" s="44" t="n">
        <f aca="false">IFERROR(1/J65,"")</f>
        <v>4.54544537778174</v>
      </c>
      <c r="L65" s="43" t="n">
        <v>0.181506211180909</v>
      </c>
      <c r="M65" s="44" t="n">
        <f aca="false">IFERROR(1/L65,"")</f>
        <v>5.50945333216885</v>
      </c>
      <c r="N65" s="45" t="n">
        <v>2.78156440588364</v>
      </c>
      <c r="O65" s="43" t="n">
        <v>0.526147900307121</v>
      </c>
      <c r="P65" s="44" t="n">
        <f aca="false">IFERROR(1/O65,"")</f>
        <v>1.90060627328606</v>
      </c>
      <c r="Q65" s="43" t="n">
        <v>0.505599498703513</v>
      </c>
      <c r="R65" s="44" t="n">
        <f aca="false">IFERROR(1/Q65,"")</f>
        <v>1.97785006228103</v>
      </c>
      <c r="S65" s="45" t="n">
        <v>10.4952338129081</v>
      </c>
      <c r="T65" s="45" t="n">
        <v>4.89536078048706</v>
      </c>
      <c r="U65" s="41" t="s">
        <v>94</v>
      </c>
      <c r="V65" s="43" t="n">
        <v>0.818493788819091</v>
      </c>
      <c r="W65" s="44" t="n">
        <f aca="false">IFERROR(1/V65,"")</f>
        <v>1.22175636963939</v>
      </c>
    </row>
    <row r="66" customFormat="false" ht="18.75" hidden="false" customHeight="true" outlineLevel="0" collapsed="false">
      <c r="A66" s="32" t="n">
        <v>34</v>
      </c>
      <c r="B66" s="33" t="n">
        <v>46330</v>
      </c>
      <c r="C66" s="34" t="s">
        <v>102</v>
      </c>
      <c r="D66" s="34" t="s">
        <v>104</v>
      </c>
      <c r="E66" s="35" t="s">
        <v>74</v>
      </c>
      <c r="F66" s="32" t="s">
        <v>108</v>
      </c>
      <c r="G66" s="36" t="n">
        <v>0.13209026558958</v>
      </c>
      <c r="H66" s="36" t="n">
        <v>0.770290783786222</v>
      </c>
      <c r="I66" s="37" t="n">
        <f aca="false">IFERROR(1/H66,"")</f>
        <v>1.29821104062116</v>
      </c>
      <c r="J66" s="36" t="n">
        <v>0.14852375044515</v>
      </c>
      <c r="K66" s="37" t="n">
        <f aca="false">IFERROR(1/J66,"")</f>
        <v>6.73292989843603</v>
      </c>
      <c r="L66" s="36" t="n">
        <v>0.081185465768628</v>
      </c>
      <c r="M66" s="37" t="n">
        <f aca="false">IFERROR(1/L66,"")</f>
        <v>12.31747567785</v>
      </c>
      <c r="N66" s="38" t="n">
        <v>3.14205511113359</v>
      </c>
      <c r="O66" s="36" t="n">
        <v>0.607955069493217</v>
      </c>
      <c r="P66" s="37" t="n">
        <f aca="false">IFERROR(1/O66,"")</f>
        <v>1.64485839526527</v>
      </c>
      <c r="Q66" s="36" t="n">
        <v>0.445792544492652</v>
      </c>
      <c r="R66" s="37" t="n">
        <f aca="false">IFERROR(1/Q66,"")</f>
        <v>2.24319588192773</v>
      </c>
      <c r="S66" s="38" t="n">
        <v>12.7235437884781</v>
      </c>
      <c r="T66" s="38" t="n">
        <v>4.07959772364133</v>
      </c>
      <c r="U66" s="34" t="s">
        <v>94</v>
      </c>
      <c r="V66" s="36" t="n">
        <v>0.918814534231372</v>
      </c>
      <c r="W66" s="37" t="n">
        <f aca="false">IFERROR(1/V66,"")</f>
        <v>1.08835892635998</v>
      </c>
    </row>
    <row r="67" customFormat="false" ht="18.75" hidden="false" customHeight="true" outlineLevel="0" collapsed="false">
      <c r="A67" s="39" t="n">
        <v>34</v>
      </c>
      <c r="B67" s="40" t="n">
        <v>46330</v>
      </c>
      <c r="C67" s="41" t="s">
        <v>87</v>
      </c>
      <c r="D67" s="41" t="s">
        <v>101</v>
      </c>
      <c r="E67" s="42" t="s">
        <v>74</v>
      </c>
      <c r="F67" s="39" t="s">
        <v>89</v>
      </c>
      <c r="G67" s="43" t="n">
        <v>0.150654743079611</v>
      </c>
      <c r="H67" s="43" t="n">
        <v>0.462671613359736</v>
      </c>
      <c r="I67" s="44" t="n">
        <f aca="false">IFERROR(1/H67,"")</f>
        <v>2.1613601766886</v>
      </c>
      <c r="J67" s="43" t="n">
        <v>0.283663484857175</v>
      </c>
      <c r="K67" s="44" t="n">
        <f aca="false">IFERROR(1/J67,"")</f>
        <v>3.52530393717578</v>
      </c>
      <c r="L67" s="43" t="n">
        <v>0.253664901783089</v>
      </c>
      <c r="M67" s="44" t="n">
        <f aca="false">IFERROR(1/L67,"")</f>
        <v>3.9422087682241</v>
      </c>
      <c r="N67" s="45" t="n">
        <v>2.15268551101328</v>
      </c>
      <c r="O67" s="43" t="n">
        <v>0.364574078032196</v>
      </c>
      <c r="P67" s="44" t="n">
        <f aca="false">IFERROR(1/O67,"")</f>
        <v>2.74292677471076</v>
      </c>
      <c r="Q67" s="43" t="n">
        <v>0.418258926774453</v>
      </c>
      <c r="R67" s="44" t="n">
        <f aca="false">IFERROR(1/Q67,"")</f>
        <v>2.39086349623628</v>
      </c>
      <c r="S67" s="45" t="n">
        <v>10.0915819973945</v>
      </c>
      <c r="T67" s="45" t="n">
        <v>6.17744662837342</v>
      </c>
      <c r="U67" s="41" t="s">
        <v>97</v>
      </c>
      <c r="V67" s="43" t="n">
        <v>0.828574420119051</v>
      </c>
      <c r="W67" s="44" t="n">
        <f aca="false">IFERROR(1/V67,"")</f>
        <v>1.20689219425374</v>
      </c>
    </row>
    <row r="68" customFormat="false" ht="18.75" hidden="false" customHeight="true" outlineLevel="0" collapsed="false">
      <c r="A68" s="32" t="n">
        <v>34</v>
      </c>
      <c r="B68" s="33" t="n">
        <v>46330</v>
      </c>
      <c r="C68" s="34" t="s">
        <v>106</v>
      </c>
      <c r="D68" s="34" t="s">
        <v>98</v>
      </c>
      <c r="E68" s="35" t="s">
        <v>77</v>
      </c>
      <c r="F68" s="32" t="s">
        <v>85</v>
      </c>
      <c r="G68" s="36" t="n">
        <v>0.130798178083169</v>
      </c>
      <c r="H68" s="36" t="n">
        <v>0.335892621237886</v>
      </c>
      <c r="I68" s="37" t="n">
        <f aca="false">IFERROR(1/H68,"")</f>
        <v>2.97714191015759</v>
      </c>
      <c r="J68" s="36" t="n">
        <v>0.280141945003855</v>
      </c>
      <c r="K68" s="37" t="n">
        <f aca="false">IFERROR(1/J68,"")</f>
        <v>3.56961896579336</v>
      </c>
      <c r="L68" s="36" t="n">
        <v>0.383965433758259</v>
      </c>
      <c r="M68" s="37" t="n">
        <f aca="false">IFERROR(1/L68,"")</f>
        <v>2.60440110509945</v>
      </c>
      <c r="N68" s="38" t="n">
        <v>2.30012060329465</v>
      </c>
      <c r="O68" s="36" t="n">
        <v>0.403993335583998</v>
      </c>
      <c r="P68" s="37" t="n">
        <f aca="false">IFERROR(1/O68,"")</f>
        <v>2.47528835730529</v>
      </c>
      <c r="Q68" s="36" t="n">
        <v>0.464706683838156</v>
      </c>
      <c r="R68" s="37" t="n">
        <f aca="false">IFERROR(1/Q68,"")</f>
        <v>2.15189502277155</v>
      </c>
      <c r="S68" s="38" t="n">
        <v>8.81834543299445</v>
      </c>
      <c r="T68" s="38" t="n">
        <v>5.89072006745317</v>
      </c>
      <c r="U68" s="34" t="s">
        <v>86</v>
      </c>
      <c r="V68" s="36" t="n">
        <v>0.817543006461994</v>
      </c>
      <c r="W68" s="37" t="n">
        <f aca="false">IFERROR(1/V68,"")</f>
        <v>1.22317724217055</v>
      </c>
    </row>
    <row r="69" customFormat="false" ht="18.75" hidden="false" customHeight="true" outlineLevel="0" collapsed="false">
      <c r="A69" s="39" t="n">
        <v>35</v>
      </c>
      <c r="B69" s="40" t="n">
        <v>46344</v>
      </c>
      <c r="C69" s="41" t="s">
        <v>101</v>
      </c>
      <c r="D69" s="41" t="s">
        <v>93</v>
      </c>
      <c r="E69" s="42" t="s">
        <v>74</v>
      </c>
      <c r="F69" s="39" t="s">
        <v>85</v>
      </c>
      <c r="G69" s="43" t="n">
        <v>0.129463487952563</v>
      </c>
      <c r="H69" s="43" t="n">
        <v>0.411581103777085</v>
      </c>
      <c r="I69" s="44" t="n">
        <f aca="false">IFERROR(1/H69,"")</f>
        <v>2.42965478935497</v>
      </c>
      <c r="J69" s="43" t="n">
        <v>0.276400828648805</v>
      </c>
      <c r="K69" s="44" t="n">
        <f aca="false">IFERROR(1/J69,"")</f>
        <v>3.61793416064827</v>
      </c>
      <c r="L69" s="43" t="n">
        <v>0.312018067574111</v>
      </c>
      <c r="M69" s="44" t="n">
        <f aca="false">IFERROR(1/L69,"")</f>
        <v>3.2049426104547</v>
      </c>
      <c r="N69" s="45" t="n">
        <v>2.33261304057584</v>
      </c>
      <c r="O69" s="43" t="n">
        <v>0.412590963764319</v>
      </c>
      <c r="P69" s="44" t="n">
        <f aca="false">IFERROR(1/O69,"")</f>
        <v>2.42370795248735</v>
      </c>
      <c r="Q69" s="43" t="n">
        <v>0.46925641905771</v>
      </c>
      <c r="R69" s="44" t="n">
        <f aca="false">IFERROR(1/Q69,"")</f>
        <v>2.13103105122792</v>
      </c>
      <c r="S69" s="45" t="n">
        <v>9.1375667691395</v>
      </c>
      <c r="T69" s="45" t="n">
        <v>6.57846383259717</v>
      </c>
      <c r="U69" s="41" t="s">
        <v>86</v>
      </c>
      <c r="V69" s="43" t="n">
        <v>0.816887829063282</v>
      </c>
      <c r="W69" s="44" t="n">
        <f aca="false">IFERROR(1/V69,"")</f>
        <v>1.22415828027049</v>
      </c>
    </row>
    <row r="70" customFormat="false" ht="18.75" hidden="false" customHeight="true" outlineLevel="0" collapsed="false">
      <c r="A70" s="32" t="n">
        <v>35</v>
      </c>
      <c r="B70" s="33" t="n">
        <v>46344</v>
      </c>
      <c r="C70" s="34" t="s">
        <v>99</v>
      </c>
      <c r="D70" s="34" t="s">
        <v>88</v>
      </c>
      <c r="E70" s="35" t="s">
        <v>74</v>
      </c>
      <c r="F70" s="32" t="s">
        <v>85</v>
      </c>
      <c r="G70" s="36" t="n">
        <v>0.117898383775263</v>
      </c>
      <c r="H70" s="36" t="n">
        <v>0.396012732313812</v>
      </c>
      <c r="I70" s="37" t="n">
        <f aca="false">IFERROR(1/H70,"")</f>
        <v>2.525171335167</v>
      </c>
      <c r="J70" s="36" t="n">
        <v>0.250068041588119</v>
      </c>
      <c r="K70" s="37" t="n">
        <f aca="false">IFERROR(1/J70,"")</f>
        <v>3.99891163080757</v>
      </c>
      <c r="L70" s="36" t="n">
        <v>0.35391922609807</v>
      </c>
      <c r="M70" s="37" t="n">
        <f aca="false">IFERROR(1/L70,"")</f>
        <v>2.82550346593181</v>
      </c>
      <c r="N70" s="38" t="n">
        <v>2.79282859678933</v>
      </c>
      <c r="O70" s="36" t="n">
        <v>0.528836149655343</v>
      </c>
      <c r="P70" s="37" t="n">
        <f aca="false">IFERROR(1/O70,"")</f>
        <v>1.89094486194207</v>
      </c>
      <c r="Q70" s="36" t="n">
        <v>0.56434970264234</v>
      </c>
      <c r="R70" s="37" t="n">
        <f aca="false">IFERROR(1/Q70,"")</f>
        <v>1.77195096465525</v>
      </c>
      <c r="S70" s="38" t="n">
        <v>9.86732376758761</v>
      </c>
      <c r="T70" s="38" t="n">
        <v>5.17404969611861</v>
      </c>
      <c r="U70" s="34" t="s">
        <v>86</v>
      </c>
      <c r="V70" s="36" t="n">
        <v>0.788944613855901</v>
      </c>
      <c r="W70" s="37" t="n">
        <f aca="false">IFERROR(1/V70,"")</f>
        <v>1.26751609991047</v>
      </c>
    </row>
    <row r="71" customFormat="false" ht="18.75" hidden="false" customHeight="true" outlineLevel="0" collapsed="false">
      <c r="A71" s="39" t="n">
        <v>35</v>
      </c>
      <c r="B71" s="40" t="n">
        <v>46344</v>
      </c>
      <c r="C71" s="41" t="s">
        <v>96</v>
      </c>
      <c r="D71" s="41" t="s">
        <v>102</v>
      </c>
      <c r="E71" s="42" t="s">
        <v>77</v>
      </c>
      <c r="F71" s="39" t="s">
        <v>85</v>
      </c>
      <c r="G71" s="43" t="n">
        <v>0.132278310415411</v>
      </c>
      <c r="H71" s="43" t="n">
        <v>0.327687390070479</v>
      </c>
      <c r="I71" s="44" t="n">
        <f aca="false">IFERROR(1/H71,"")</f>
        <v>3.05168898865751</v>
      </c>
      <c r="J71" s="43" t="n">
        <v>0.288417548798244</v>
      </c>
      <c r="K71" s="44" t="n">
        <f aca="false">IFERROR(1/J71,"")</f>
        <v>3.46719540529598</v>
      </c>
      <c r="L71" s="43" t="n">
        <v>0.383895061131278</v>
      </c>
      <c r="M71" s="44" t="n">
        <f aca="false">IFERROR(1/L71,"")</f>
        <v>2.60487852345159</v>
      </c>
      <c r="N71" s="45" t="n">
        <v>2.18935820090862</v>
      </c>
      <c r="O71" s="43" t="n">
        <v>0.374431475150112</v>
      </c>
      <c r="P71" s="44" t="n">
        <f aca="false">IFERROR(1/O71,"")</f>
        <v>2.67071564856852</v>
      </c>
      <c r="Q71" s="43" t="n">
        <v>0.440082416626655</v>
      </c>
      <c r="R71" s="44" t="n">
        <f aca="false">IFERROR(1/Q71,"")</f>
        <v>2.2723016467353</v>
      </c>
      <c r="S71" s="45" t="n">
        <v>10.667032934305</v>
      </c>
      <c r="T71" s="45" t="n">
        <v>5.54546822322733</v>
      </c>
      <c r="U71" s="41" t="s">
        <v>97</v>
      </c>
      <c r="V71" s="43" t="n">
        <v>0.821440879668821</v>
      </c>
      <c r="W71" s="44" t="n">
        <f aca="false">IFERROR(1/V71,"")</f>
        <v>1.21737306329723</v>
      </c>
    </row>
    <row r="72" customFormat="false" ht="18.75" hidden="false" customHeight="true" outlineLevel="0" collapsed="false">
      <c r="A72" s="32" t="n">
        <v>35</v>
      </c>
      <c r="B72" s="33" t="n">
        <v>46344</v>
      </c>
      <c r="C72" s="34" t="s">
        <v>8</v>
      </c>
      <c r="D72" s="34" t="s">
        <v>92</v>
      </c>
      <c r="E72" s="35" t="s">
        <v>74</v>
      </c>
      <c r="F72" s="32" t="s">
        <v>89</v>
      </c>
      <c r="G72" s="36" t="n">
        <v>0.12536383657975</v>
      </c>
      <c r="H72" s="36" t="n">
        <v>0.633817361932326</v>
      </c>
      <c r="I72" s="37" t="n">
        <f aca="false">IFERROR(1/H72,"")</f>
        <v>1.57774157046012</v>
      </c>
      <c r="J72" s="36" t="n">
        <v>0.211700939793445</v>
      </c>
      <c r="K72" s="37" t="n">
        <f aca="false">IFERROR(1/J72,"")</f>
        <v>4.7236445949446</v>
      </c>
      <c r="L72" s="36" t="n">
        <v>0.154481698274229</v>
      </c>
      <c r="M72" s="37" t="n">
        <f aca="false">IFERROR(1/L72,"")</f>
        <v>6.4732587171902</v>
      </c>
      <c r="N72" s="38" t="n">
        <v>2.73767907722122</v>
      </c>
      <c r="O72" s="36" t="n">
        <v>0.515569988483493</v>
      </c>
      <c r="P72" s="37" t="n">
        <f aca="false">IFERROR(1/O72,"")</f>
        <v>1.93960087347485</v>
      </c>
      <c r="Q72" s="36" t="n">
        <v>0.475883683960431</v>
      </c>
      <c r="R72" s="37" t="n">
        <f aca="false">IFERROR(1/Q72,"")</f>
        <v>2.1013538259554</v>
      </c>
      <c r="S72" s="38" t="n">
        <v>10.1679718707939</v>
      </c>
      <c r="T72" s="38" t="n">
        <v>4.94449975350159</v>
      </c>
      <c r="U72" s="34" t="s">
        <v>94</v>
      </c>
      <c r="V72" s="36" t="n">
        <v>0.845518301725771</v>
      </c>
      <c r="W72" s="37" t="n">
        <f aca="false">IFERROR(1/V72,"")</f>
        <v>1.18270651026586</v>
      </c>
    </row>
    <row r="73" customFormat="false" ht="18.75" hidden="false" customHeight="true" outlineLevel="0" collapsed="false">
      <c r="A73" s="39" t="n">
        <v>35</v>
      </c>
      <c r="B73" s="40" t="n">
        <v>46344</v>
      </c>
      <c r="C73" s="41" t="s">
        <v>105</v>
      </c>
      <c r="D73" s="41" t="s">
        <v>103</v>
      </c>
      <c r="E73" s="42" t="s">
        <v>74</v>
      </c>
      <c r="F73" s="39" t="s">
        <v>85</v>
      </c>
      <c r="G73" s="43" t="n">
        <v>0.1191251516429</v>
      </c>
      <c r="H73" s="43" t="n">
        <v>0.461009677352878</v>
      </c>
      <c r="I73" s="44" t="n">
        <f aca="false">IFERROR(1/H73,"")</f>
        <v>2.1691518619349</v>
      </c>
      <c r="J73" s="43" t="n">
        <v>0.250869873803684</v>
      </c>
      <c r="K73" s="44" t="n">
        <f aca="false">IFERROR(1/J73,"")</f>
        <v>3.98613027876971</v>
      </c>
      <c r="L73" s="43" t="n">
        <v>0.288120448843439</v>
      </c>
      <c r="M73" s="44" t="n">
        <f aca="false">IFERROR(1/L73,"")</f>
        <v>3.47077065864002</v>
      </c>
      <c r="N73" s="45" t="n">
        <v>2.68492191663363</v>
      </c>
      <c r="O73" s="43" t="n">
        <v>0.502676063596337</v>
      </c>
      <c r="P73" s="44" t="n">
        <f aca="false">IFERROR(1/O73,"")</f>
        <v>1.98935273115178</v>
      </c>
      <c r="Q73" s="43" t="n">
        <v>0.535127577286278</v>
      </c>
      <c r="R73" s="44" t="n">
        <f aca="false">IFERROR(1/Q73,"")</f>
        <v>1.86871326099688</v>
      </c>
      <c r="S73" s="45" t="n">
        <v>9.44227643237272</v>
      </c>
      <c r="T73" s="45" t="n">
        <v>5.82072340832982</v>
      </c>
      <c r="U73" s="41" t="s">
        <v>86</v>
      </c>
      <c r="V73" s="43" t="n">
        <v>0.798332835461199</v>
      </c>
      <c r="W73" s="44" t="n">
        <f aca="false">IFERROR(1/V73,"")</f>
        <v>1.2526103845175</v>
      </c>
    </row>
    <row r="74" customFormat="false" ht="18.75" hidden="false" customHeight="true" outlineLevel="0" collapsed="false">
      <c r="A74" s="32" t="n">
        <v>35</v>
      </c>
      <c r="B74" s="33" t="n">
        <v>46344</v>
      </c>
      <c r="C74" s="34" t="s">
        <v>95</v>
      </c>
      <c r="D74" s="34" t="s">
        <v>90</v>
      </c>
      <c r="E74" s="35" t="s">
        <v>74</v>
      </c>
      <c r="F74" s="32" t="s">
        <v>85</v>
      </c>
      <c r="G74" s="36" t="n">
        <v>0.120187077546086</v>
      </c>
      <c r="H74" s="36" t="n">
        <v>0.47633065914055</v>
      </c>
      <c r="I74" s="37" t="n">
        <f aca="false">IFERROR(1/H74,"")</f>
        <v>2.09938197512693</v>
      </c>
      <c r="J74" s="36" t="n">
        <v>0.252837825049394</v>
      </c>
      <c r="K74" s="37" t="n">
        <f aca="false">IFERROR(1/J74,"")</f>
        <v>3.9551044223887</v>
      </c>
      <c r="L74" s="36" t="n">
        <v>0.270831515810055</v>
      </c>
      <c r="M74" s="37" t="n">
        <f aca="false">IFERROR(1/L74,"")</f>
        <v>3.69233247101618</v>
      </c>
      <c r="N74" s="38" t="n">
        <v>2.61030329598986</v>
      </c>
      <c r="O74" s="36" t="n">
        <v>0.484155207711208</v>
      </c>
      <c r="P74" s="37" t="n">
        <f aca="false">IFERROR(1/O74,"")</f>
        <v>2.06545335890818</v>
      </c>
      <c r="Q74" s="36" t="n">
        <v>0.516465291965736</v>
      </c>
      <c r="R74" s="37" t="n">
        <f aca="false">IFERROR(1/Q74,"")</f>
        <v>1.93623853443058</v>
      </c>
      <c r="S74" s="38" t="n">
        <v>10.8530209792781</v>
      </c>
      <c r="T74" s="38" t="n">
        <v>4.55701834737457</v>
      </c>
      <c r="U74" s="34" t="s">
        <v>86</v>
      </c>
      <c r="V74" s="36" t="n">
        <v>0.803878603641571</v>
      </c>
      <c r="W74" s="37" t="n">
        <f aca="false">IFERROR(1/V74,"")</f>
        <v>1.24396892201136</v>
      </c>
    </row>
    <row r="75" customFormat="false" ht="18.75" hidden="false" customHeight="true" outlineLevel="0" collapsed="false">
      <c r="A75" s="39" t="n">
        <v>35</v>
      </c>
      <c r="B75" s="40" t="n">
        <v>46344</v>
      </c>
      <c r="C75" s="41" t="s">
        <v>104</v>
      </c>
      <c r="D75" s="41" t="s">
        <v>83</v>
      </c>
      <c r="E75" s="42" t="s">
        <v>74</v>
      </c>
      <c r="F75" s="39" t="s">
        <v>85</v>
      </c>
      <c r="G75" s="43" t="n">
        <v>0.103757076590128</v>
      </c>
      <c r="H75" s="43" t="n">
        <v>0.564030517973121</v>
      </c>
      <c r="I75" s="44" t="n">
        <f aca="false">IFERROR(1/H75,"")</f>
        <v>1.772953711075</v>
      </c>
      <c r="J75" s="43" t="n">
        <v>0.221160150309844</v>
      </c>
      <c r="K75" s="44" t="n">
        <f aca="false">IFERROR(1/J75,"")</f>
        <v>4.52161023854888</v>
      </c>
      <c r="L75" s="43" t="n">
        <v>0.214809331717035</v>
      </c>
      <c r="M75" s="44" t="n">
        <f aca="false">IFERROR(1/L75,"")</f>
        <v>4.65529123901044</v>
      </c>
      <c r="N75" s="45" t="n">
        <v>2.96058587347899</v>
      </c>
      <c r="O75" s="43" t="n">
        <v>0.567929871254082</v>
      </c>
      <c r="P75" s="44" t="n">
        <f aca="false">IFERROR(1/O75,"")</f>
        <v>1.76078077702065</v>
      </c>
      <c r="Q75" s="43" t="n">
        <v>0.557594923433604</v>
      </c>
      <c r="R75" s="44" t="n">
        <f aca="false">IFERROR(1/Q75,"")</f>
        <v>1.79341661477497</v>
      </c>
      <c r="S75" s="45" t="n">
        <v>10.6688268284647</v>
      </c>
      <c r="T75" s="45" t="n">
        <v>3.27858850240711</v>
      </c>
      <c r="U75" s="41" t="s">
        <v>107</v>
      </c>
      <c r="V75" s="43" t="n">
        <v>0.793659691646755</v>
      </c>
      <c r="W75" s="44" t="n">
        <f aca="false">IFERROR(1/V75,"")</f>
        <v>1.25998587369999</v>
      </c>
    </row>
    <row r="76" customFormat="false" ht="18.75" hidden="false" customHeight="true" outlineLevel="0" collapsed="false">
      <c r="A76" s="32" t="n">
        <v>35</v>
      </c>
      <c r="B76" s="33" t="n">
        <v>46344</v>
      </c>
      <c r="C76" s="34" t="s">
        <v>87</v>
      </c>
      <c r="D76" s="34" t="s">
        <v>98</v>
      </c>
      <c r="E76" s="35" t="s">
        <v>74</v>
      </c>
      <c r="F76" s="32" t="s">
        <v>89</v>
      </c>
      <c r="G76" s="36" t="n">
        <v>0.137577861203524</v>
      </c>
      <c r="H76" s="36" t="n">
        <v>0.43460291668005</v>
      </c>
      <c r="I76" s="37" t="n">
        <f aca="false">IFERROR(1/H76,"")</f>
        <v>2.30095096378792</v>
      </c>
      <c r="J76" s="36" t="n">
        <v>0.281465074144889</v>
      </c>
      <c r="K76" s="37" t="n">
        <f aca="false">IFERROR(1/J76,"")</f>
        <v>3.55283867114978</v>
      </c>
      <c r="L76" s="36" t="n">
        <v>0.283932009175062</v>
      </c>
      <c r="M76" s="37" t="n">
        <f aca="false">IFERROR(1/L76,"")</f>
        <v>3.52196993535674</v>
      </c>
      <c r="N76" s="38" t="n">
        <v>2.23138948258918</v>
      </c>
      <c r="O76" s="36" t="n">
        <v>0.38569080586405</v>
      </c>
      <c r="P76" s="37" t="n">
        <f aca="false">IFERROR(1/O76,"")</f>
        <v>2.59275042286719</v>
      </c>
      <c r="Q76" s="36" t="n">
        <v>0.442958602803409</v>
      </c>
      <c r="R76" s="37" t="n">
        <f aca="false">IFERROR(1/Q76,"")</f>
        <v>2.25754730503296</v>
      </c>
      <c r="S76" s="38" t="n">
        <v>9.78664614747687</v>
      </c>
      <c r="T76" s="38" t="n">
        <v>5.48611006113152</v>
      </c>
      <c r="U76" s="34" t="s">
        <v>86</v>
      </c>
      <c r="V76" s="36" t="n">
        <v>0.818227419757298</v>
      </c>
      <c r="W76" s="37" t="n">
        <f aca="false">IFERROR(1/V76,"")</f>
        <v>1.22215410514673</v>
      </c>
    </row>
    <row r="77" customFormat="false" ht="18.75" hidden="false" customHeight="true" outlineLevel="0" collapsed="false">
      <c r="A77" s="39" t="n">
        <v>35</v>
      </c>
      <c r="B77" s="40" t="n">
        <v>46344</v>
      </c>
      <c r="C77" s="41" t="s">
        <v>84</v>
      </c>
      <c r="D77" s="41" t="s">
        <v>100</v>
      </c>
      <c r="E77" s="42" t="s">
        <v>74</v>
      </c>
      <c r="F77" s="39" t="s">
        <v>85</v>
      </c>
      <c r="G77" s="43" t="n">
        <v>0.123760268757063</v>
      </c>
      <c r="H77" s="43" t="n">
        <v>0.409262197705236</v>
      </c>
      <c r="I77" s="44" t="n">
        <f aca="false">IFERROR(1/H77,"")</f>
        <v>2.44342137047369</v>
      </c>
      <c r="J77" s="43" t="n">
        <v>0.260347362496456</v>
      </c>
      <c r="K77" s="44" t="n">
        <f aca="false">IFERROR(1/J77,"")</f>
        <v>3.84102220360927</v>
      </c>
      <c r="L77" s="43" t="n">
        <v>0.330390439798309</v>
      </c>
      <c r="M77" s="44" t="n">
        <f aca="false">IFERROR(1/L77,"")</f>
        <v>3.02672196147826</v>
      </c>
      <c r="N77" s="45" t="n">
        <v>2.59170805752595</v>
      </c>
      <c r="O77" s="43" t="n">
        <v>0.479487399801998</v>
      </c>
      <c r="P77" s="44" t="n">
        <f aca="false">IFERROR(1/O77,"")</f>
        <v>2.08556053905263</v>
      </c>
      <c r="Q77" s="43" t="n">
        <v>0.524154698500133</v>
      </c>
      <c r="R77" s="44" t="n">
        <f aca="false">IFERROR(1/Q77,"")</f>
        <v>1.90783370417454</v>
      </c>
      <c r="S77" s="45" t="n">
        <v>8.99234094496629</v>
      </c>
      <c r="T77" s="45" t="n">
        <v>4.48183376525556</v>
      </c>
      <c r="U77" s="41" t="s">
        <v>86</v>
      </c>
      <c r="V77" s="43" t="n">
        <v>0.805172443928332</v>
      </c>
      <c r="W77" s="44" t="n">
        <f aca="false">IFERROR(1/V77,"")</f>
        <v>1.24196997493</v>
      </c>
    </row>
    <row r="78" customFormat="false" ht="18.75" hidden="false" customHeight="true" outlineLevel="0" collapsed="false">
      <c r="A78" s="32" t="n">
        <v>35</v>
      </c>
      <c r="B78" s="33" t="n">
        <v>46344</v>
      </c>
      <c r="C78" s="34" t="s">
        <v>106</v>
      </c>
      <c r="D78" s="34" t="s">
        <v>91</v>
      </c>
      <c r="E78" s="35" t="s">
        <v>74</v>
      </c>
      <c r="F78" s="32" t="s">
        <v>85</v>
      </c>
      <c r="G78" s="36" t="n">
        <v>0.129272000418351</v>
      </c>
      <c r="H78" s="36" t="n">
        <v>0.384725446429843</v>
      </c>
      <c r="I78" s="37" t="n">
        <f aca="false">IFERROR(1/H78,"")</f>
        <v>2.59925619498204</v>
      </c>
      <c r="J78" s="36" t="n">
        <v>0.274351942929105</v>
      </c>
      <c r="K78" s="37" t="n">
        <f aca="false">IFERROR(1/J78,"")</f>
        <v>3.64495322804551</v>
      </c>
      <c r="L78" s="36" t="n">
        <v>0.340922610641052</v>
      </c>
      <c r="M78" s="37" t="n">
        <f aca="false">IFERROR(1/L78,"")</f>
        <v>2.93321700816398</v>
      </c>
      <c r="N78" s="38" t="n">
        <v>2.38311631570531</v>
      </c>
      <c r="O78" s="36" t="n">
        <v>0.425874202020864</v>
      </c>
      <c r="P78" s="37" t="n">
        <f aca="false">IFERROR(1/O78,"")</f>
        <v>2.34811123861175</v>
      </c>
      <c r="Q78" s="36" t="n">
        <v>0.482615294393247</v>
      </c>
      <c r="R78" s="37" t="n">
        <f aca="false">IFERROR(1/Q78,"")</f>
        <v>2.07204374087899</v>
      </c>
      <c r="S78" s="38" t="n">
        <v>9.95562469971074</v>
      </c>
      <c r="T78" s="38" t="n">
        <v>5.84890877412019</v>
      </c>
      <c r="U78" s="34" t="s">
        <v>86</v>
      </c>
      <c r="V78" s="36" t="n">
        <v>0.815510660319285</v>
      </c>
      <c r="W78" s="37" t="n">
        <f aca="false">IFERROR(1/V78,"")</f>
        <v>1.22622554021364</v>
      </c>
    </row>
    <row r="79" customFormat="false" ht="18.75" hidden="false" customHeight="true" outlineLevel="0" collapsed="false">
      <c r="A79" s="39" t="n">
        <v>36</v>
      </c>
      <c r="B79" s="40" t="n">
        <v>46348</v>
      </c>
      <c r="C79" s="41" t="s">
        <v>92</v>
      </c>
      <c r="D79" s="41" t="s">
        <v>104</v>
      </c>
      <c r="E79" s="42" t="s">
        <v>74</v>
      </c>
      <c r="F79" s="39" t="s">
        <v>89</v>
      </c>
      <c r="G79" s="43" t="n">
        <v>0.116604060559626</v>
      </c>
      <c r="H79" s="43" t="n">
        <v>0.621033556243381</v>
      </c>
      <c r="I79" s="44" t="n">
        <f aca="false">IFERROR(1/H79,"")</f>
        <v>1.61021894863295</v>
      </c>
      <c r="J79" s="43" t="n">
        <v>0.212247706539126</v>
      </c>
      <c r="K79" s="44" t="n">
        <f aca="false">IFERROR(1/J79,"")</f>
        <v>4.71147611583573</v>
      </c>
      <c r="L79" s="43" t="n">
        <v>0.166718737217494</v>
      </c>
      <c r="M79" s="44" t="n">
        <f aca="false">IFERROR(1/L79,"")</f>
        <v>5.99812604563725</v>
      </c>
      <c r="N79" s="45" t="n">
        <v>2.81929852135591</v>
      </c>
      <c r="O79" s="43" t="n">
        <v>0.535144464495277</v>
      </c>
      <c r="P79" s="44" t="n">
        <f aca="false">IFERROR(1/O79,"")</f>
        <v>1.86865429121677</v>
      </c>
      <c r="Q79" s="43" t="n">
        <v>0.501073756540422</v>
      </c>
      <c r="R79" s="44" t="n">
        <f aca="false">IFERROR(1/Q79,"")</f>
        <v>1.99571417769777</v>
      </c>
      <c r="S79" s="45" t="n">
        <v>11.7511706688223</v>
      </c>
      <c r="T79" s="45" t="n">
        <v>4.04491891836917</v>
      </c>
      <c r="U79" s="41" t="s">
        <v>94</v>
      </c>
      <c r="V79" s="43" t="n">
        <v>0.833281262782507</v>
      </c>
      <c r="W79" s="44" t="n">
        <f aca="false">IFERROR(1/V79,"")</f>
        <v>1.20007498627868</v>
      </c>
    </row>
    <row r="80" customFormat="false" ht="18.75" hidden="false" customHeight="true" outlineLevel="0" collapsed="false">
      <c r="A80" s="32" t="n">
        <v>36</v>
      </c>
      <c r="B80" s="33" t="n">
        <v>46348</v>
      </c>
      <c r="C80" s="34" t="s">
        <v>90</v>
      </c>
      <c r="D80" s="34" t="s">
        <v>101</v>
      </c>
      <c r="E80" s="35" t="s">
        <v>74</v>
      </c>
      <c r="F80" s="32" t="s">
        <v>89</v>
      </c>
      <c r="G80" s="36" t="n">
        <v>0.142027735111556</v>
      </c>
      <c r="H80" s="36" t="n">
        <v>0.4868461579774</v>
      </c>
      <c r="I80" s="37" t="n">
        <f aca="false">IFERROR(1/H80,"")</f>
        <v>2.0540369552355</v>
      </c>
      <c r="J80" s="36" t="n">
        <v>0.269734450064841</v>
      </c>
      <c r="K80" s="37" t="n">
        <f aca="false">IFERROR(1/J80,"")</f>
        <v>3.70734995014397</v>
      </c>
      <c r="L80" s="36" t="n">
        <v>0.243419391957759</v>
      </c>
      <c r="M80" s="37" t="n">
        <f aca="false">IFERROR(1/L80,"")</f>
        <v>4.10813613474777</v>
      </c>
      <c r="N80" s="38" t="n">
        <v>2.29692455771935</v>
      </c>
      <c r="O80" s="36" t="n">
        <v>0.403146009840653</v>
      </c>
      <c r="P80" s="37" t="n">
        <f aca="false">IFERROR(1/O80,"")</f>
        <v>2.48049087821869</v>
      </c>
      <c r="Q80" s="36" t="n">
        <v>0.445065720633014</v>
      </c>
      <c r="R80" s="37" t="n">
        <f aca="false">IFERROR(1/Q80,"")</f>
        <v>2.24685917975823</v>
      </c>
      <c r="S80" s="38" t="n">
        <v>9.8613069588725</v>
      </c>
      <c r="T80" s="38" t="n">
        <v>6.05810900353791</v>
      </c>
      <c r="U80" s="34" t="s">
        <v>86</v>
      </c>
      <c r="V80" s="36" t="n">
        <v>0.817525625138665</v>
      </c>
      <c r="W80" s="37" t="n">
        <f aca="false">IFERROR(1/V80,"")</f>
        <v>1.22320324800875</v>
      </c>
    </row>
    <row r="81" customFormat="false" ht="18.75" hidden="false" customHeight="true" outlineLevel="0" collapsed="false">
      <c r="A81" s="39" t="n">
        <v>36</v>
      </c>
      <c r="B81" s="40" t="n">
        <v>46348</v>
      </c>
      <c r="C81" s="41" t="s">
        <v>103</v>
      </c>
      <c r="D81" s="41" t="s">
        <v>99</v>
      </c>
      <c r="E81" s="42" t="s">
        <v>74</v>
      </c>
      <c r="F81" s="39" t="s">
        <v>89</v>
      </c>
      <c r="G81" s="43" t="n">
        <v>0.100697218846956</v>
      </c>
      <c r="H81" s="43" t="n">
        <v>0.607499625661995</v>
      </c>
      <c r="I81" s="44" t="n">
        <f aca="false">IFERROR(1/H81,"")</f>
        <v>1.64609154929157</v>
      </c>
      <c r="J81" s="43" t="n">
        <v>0.209152407511355</v>
      </c>
      <c r="K81" s="44" t="n">
        <f aca="false">IFERROR(1/J81,"")</f>
        <v>4.78120243462036</v>
      </c>
      <c r="L81" s="43" t="n">
        <v>0.18334796682665</v>
      </c>
      <c r="M81" s="44" t="n">
        <f aca="false">IFERROR(1/L81,"")</f>
        <v>5.45411011263338</v>
      </c>
      <c r="N81" s="45" t="n">
        <v>3.00150473973117</v>
      </c>
      <c r="O81" s="43" t="n">
        <v>0.577160704707041</v>
      </c>
      <c r="P81" s="44" t="n">
        <f aca="false">IFERROR(1/O81,"")</f>
        <v>1.7326196878001</v>
      </c>
      <c r="Q81" s="43" t="n">
        <v>0.545385015443542</v>
      </c>
      <c r="R81" s="44" t="n">
        <f aca="false">IFERROR(1/Q81,"")</f>
        <v>1.83356706121956</v>
      </c>
      <c r="S81" s="45" t="n">
        <v>10.557795882013</v>
      </c>
      <c r="T81" s="45" t="n">
        <v>5.14950532542976</v>
      </c>
      <c r="U81" s="41" t="s">
        <v>94</v>
      </c>
      <c r="V81" s="43" t="n">
        <v>0.81665203317335</v>
      </c>
      <c r="W81" s="44" t="n">
        <f aca="false">IFERROR(1/V81,"")</f>
        <v>1.22451173740938</v>
      </c>
    </row>
    <row r="82" customFormat="false" ht="18.75" hidden="false" customHeight="true" outlineLevel="0" collapsed="false">
      <c r="A82" s="32" t="n">
        <v>36</v>
      </c>
      <c r="B82" s="33" t="n">
        <v>46348</v>
      </c>
      <c r="C82" s="34" t="s">
        <v>93</v>
      </c>
      <c r="D82" s="34" t="s">
        <v>87</v>
      </c>
      <c r="E82" s="35" t="s">
        <v>74</v>
      </c>
      <c r="F82" s="32" t="s">
        <v>89</v>
      </c>
      <c r="G82" s="36" t="n">
        <v>0.135450996113479</v>
      </c>
      <c r="H82" s="36" t="n">
        <v>0.495364724417786</v>
      </c>
      <c r="I82" s="37" t="n">
        <f aca="false">IFERROR(1/H82,"")</f>
        <v>2.01871459695747</v>
      </c>
      <c r="J82" s="36" t="n">
        <v>0.262635362042403</v>
      </c>
      <c r="K82" s="37" t="n">
        <f aca="false">IFERROR(1/J82,"")</f>
        <v>3.8075603841898</v>
      </c>
      <c r="L82" s="36" t="n">
        <v>0.241999913539811</v>
      </c>
      <c r="M82" s="37" t="n">
        <f aca="false">IFERROR(1/L82,"")</f>
        <v>4.13223288129602</v>
      </c>
      <c r="N82" s="38" t="n">
        <v>2.3863296335817</v>
      </c>
      <c r="O82" s="36" t="n">
        <v>0.426716421581789</v>
      </c>
      <c r="P82" s="37" t="n">
        <f aca="false">IFERROR(1/O82,"")</f>
        <v>2.34347671995635</v>
      </c>
      <c r="Q82" s="36" t="n">
        <v>0.462764286656838</v>
      </c>
      <c r="R82" s="37" t="n">
        <f aca="false">IFERROR(1/Q82,"")</f>
        <v>2.16092734213422</v>
      </c>
      <c r="S82" s="38" t="n">
        <v>9.41040620372095</v>
      </c>
      <c r="T82" s="38" t="n">
        <v>5.48760555865297</v>
      </c>
      <c r="U82" s="34" t="s">
        <v>86</v>
      </c>
      <c r="V82" s="36" t="n">
        <v>0.815334192867596</v>
      </c>
      <c r="W82" s="37" t="n">
        <f aca="false">IFERROR(1/V82,"")</f>
        <v>1.22649093923428</v>
      </c>
    </row>
    <row r="83" customFormat="false" ht="18.75" hidden="false" customHeight="true" outlineLevel="0" collapsed="false">
      <c r="A83" s="39" t="n">
        <v>36</v>
      </c>
      <c r="B83" s="40" t="n">
        <v>46348</v>
      </c>
      <c r="C83" s="41" t="s">
        <v>91</v>
      </c>
      <c r="D83" s="41" t="s">
        <v>84</v>
      </c>
      <c r="E83" s="42" t="s">
        <v>74</v>
      </c>
      <c r="F83" s="39" t="s">
        <v>85</v>
      </c>
      <c r="G83" s="43" t="n">
        <v>0.112886791994471</v>
      </c>
      <c r="H83" s="43" t="n">
        <v>0.526040686642669</v>
      </c>
      <c r="I83" s="44" t="n">
        <f aca="false">IFERROR(1/H83,"")</f>
        <v>1.90099364059131</v>
      </c>
      <c r="J83" s="43" t="n">
        <v>0.237840850811097</v>
      </c>
      <c r="K83" s="44" t="n">
        <f aca="false">IFERROR(1/J83,"")</f>
        <v>4.20449219126887</v>
      </c>
      <c r="L83" s="43" t="n">
        <v>0.236118462546234</v>
      </c>
      <c r="M83" s="44" t="n">
        <f aca="false">IFERROR(1/L83,"")</f>
        <v>4.23516225379534</v>
      </c>
      <c r="N83" s="45" t="n">
        <v>2.74943656050994</v>
      </c>
      <c r="O83" s="43" t="n">
        <v>0.518410362731073</v>
      </c>
      <c r="P83" s="44" t="n">
        <f aca="false">IFERROR(1/O83,"")</f>
        <v>1.92897378580905</v>
      </c>
      <c r="Q83" s="43" t="n">
        <v>0.530267302887112</v>
      </c>
      <c r="R83" s="44" t="n">
        <f aca="false">IFERROR(1/Q83,"")</f>
        <v>1.8858413380485</v>
      </c>
      <c r="S83" s="45" t="n">
        <v>9.97918812109776</v>
      </c>
      <c r="T83" s="45" t="n">
        <v>4.73975110853456</v>
      </c>
      <c r="U83" s="41" t="s">
        <v>86</v>
      </c>
      <c r="V83" s="43" t="n">
        <v>0.792842002562072</v>
      </c>
      <c r="W83" s="44" t="n">
        <f aca="false">IFERROR(1/V83,"")</f>
        <v>1.26128534659932</v>
      </c>
    </row>
    <row r="84" customFormat="false" ht="18.75" hidden="false" customHeight="true" outlineLevel="0" collapsed="false">
      <c r="A84" s="32" t="n">
        <v>36</v>
      </c>
      <c r="B84" s="33" t="n">
        <v>46348</v>
      </c>
      <c r="C84" s="34" t="s">
        <v>83</v>
      </c>
      <c r="D84" s="34" t="s">
        <v>96</v>
      </c>
      <c r="E84" s="35" t="s">
        <v>77</v>
      </c>
      <c r="F84" s="32" t="s">
        <v>109</v>
      </c>
      <c r="G84" s="36" t="n">
        <v>0.127082735095852</v>
      </c>
      <c r="H84" s="36" t="n">
        <v>0.251137103882167</v>
      </c>
      <c r="I84" s="37" t="n">
        <f aca="false">IFERROR(1/H84,"")</f>
        <v>3.98188871553284</v>
      </c>
      <c r="J84" s="36" t="n">
        <v>0.258344646651702</v>
      </c>
      <c r="K84" s="37" t="n">
        <f aca="false">IFERROR(1/J84,"")</f>
        <v>3.87079822617029</v>
      </c>
      <c r="L84" s="36" t="n">
        <v>0.490518249466131</v>
      </c>
      <c r="M84" s="37" t="n">
        <f aca="false">IFERROR(1/L84,"")</f>
        <v>2.03866013362067</v>
      </c>
      <c r="N84" s="38" t="n">
        <v>2.47248431678923</v>
      </c>
      <c r="O84" s="36" t="n">
        <v>0.449110525660203</v>
      </c>
      <c r="P84" s="37" t="n">
        <f aca="false">IFERROR(1/O84,"")</f>
        <v>2.22662338748346</v>
      </c>
      <c r="Q84" s="36" t="n">
        <v>0.483325354102893</v>
      </c>
      <c r="R84" s="37" t="n">
        <f aca="false">IFERROR(1/Q84,"")</f>
        <v>2.0689996738452</v>
      </c>
      <c r="S84" s="38" t="n">
        <v>9.98674909672334</v>
      </c>
      <c r="T84" s="38" t="n">
        <v>4.49232524112953</v>
      </c>
      <c r="U84" s="34" t="s">
        <v>86</v>
      </c>
      <c r="V84" s="36" t="n">
        <v>0.811900149705938</v>
      </c>
      <c r="W84" s="37" t="n">
        <f aca="false">IFERROR(1/V84,"")</f>
        <v>1.2316785510659</v>
      </c>
    </row>
    <row r="85" customFormat="false" ht="18.75" hidden="false" customHeight="true" outlineLevel="0" collapsed="false">
      <c r="A85" s="39" t="n">
        <v>36</v>
      </c>
      <c r="B85" s="40" t="n">
        <v>46348</v>
      </c>
      <c r="C85" s="41" t="s">
        <v>98</v>
      </c>
      <c r="D85" s="41" t="s">
        <v>95</v>
      </c>
      <c r="E85" s="42" t="s">
        <v>74</v>
      </c>
      <c r="F85" s="39" t="s">
        <v>85</v>
      </c>
      <c r="G85" s="43" t="n">
        <v>0.121149440699408</v>
      </c>
      <c r="H85" s="43" t="n">
        <v>0.476039001962594</v>
      </c>
      <c r="I85" s="44" t="n">
        <f aca="false">IFERROR(1/H85,"")</f>
        <v>2.10066821390105</v>
      </c>
      <c r="J85" s="43" t="n">
        <v>0.254996214901869</v>
      </c>
      <c r="K85" s="44" t="n">
        <f aca="false">IFERROR(1/J85,"")</f>
        <v>3.92162683820555</v>
      </c>
      <c r="L85" s="43" t="n">
        <v>0.268964783135538</v>
      </c>
      <c r="M85" s="44" t="n">
        <f aca="false">IFERROR(1/L85,"")</f>
        <v>3.7179588656262</v>
      </c>
      <c r="N85" s="45" t="n">
        <v>2.57101564696522</v>
      </c>
      <c r="O85" s="43" t="n">
        <v>0.474271112347176</v>
      </c>
      <c r="P85" s="44" t="n">
        <f aca="false">IFERROR(1/O85,"")</f>
        <v>2.10849864975116</v>
      </c>
      <c r="Q85" s="43" t="n">
        <v>0.508346551426494</v>
      </c>
      <c r="R85" s="44" t="n">
        <f aca="false">IFERROR(1/Q85,"")</f>
        <v>1.96716196302277</v>
      </c>
      <c r="S85" s="45" t="n">
        <v>10.5195040463261</v>
      </c>
      <c r="T85" s="45" t="n">
        <v>4.97107141788019</v>
      </c>
      <c r="U85" s="41" t="s">
        <v>86</v>
      </c>
      <c r="V85" s="43" t="n">
        <v>0.806472465331955</v>
      </c>
      <c r="W85" s="44" t="n">
        <f aca="false">IFERROR(1/V85,"")</f>
        <v>1.23996793813461</v>
      </c>
    </row>
    <row r="86" customFormat="false" ht="18.75" hidden="false" customHeight="true" outlineLevel="0" collapsed="false">
      <c r="A86" s="32" t="n">
        <v>36</v>
      </c>
      <c r="B86" s="33" t="n">
        <v>46348</v>
      </c>
      <c r="C86" s="34" t="s">
        <v>100</v>
      </c>
      <c r="D86" s="34" t="s">
        <v>106</v>
      </c>
      <c r="E86" s="35" t="s">
        <v>74</v>
      </c>
      <c r="F86" s="32" t="s">
        <v>89</v>
      </c>
      <c r="G86" s="36" t="n">
        <v>0.142456204183122</v>
      </c>
      <c r="H86" s="36" t="n">
        <v>0.561107830937974</v>
      </c>
      <c r="I86" s="37" t="n">
        <f aca="false">IFERROR(1/H86,"")</f>
        <v>1.78218863623477</v>
      </c>
      <c r="J86" s="36" t="n">
        <v>0.246092514258452</v>
      </c>
      <c r="K86" s="37" t="n">
        <f aca="false">IFERROR(1/J86,"")</f>
        <v>4.06351246811911</v>
      </c>
      <c r="L86" s="36" t="n">
        <v>0.192799654803574</v>
      </c>
      <c r="M86" s="37" t="n">
        <f aca="false">IFERROR(1/L86,"")</f>
        <v>5.18673127822148</v>
      </c>
      <c r="N86" s="38" t="n">
        <v>2.43436682135142</v>
      </c>
      <c r="O86" s="36" t="n">
        <v>0.439246005560194</v>
      </c>
      <c r="P86" s="37" t="n">
        <f aca="false">IFERROR(1/O86,"")</f>
        <v>2.27662855744048</v>
      </c>
      <c r="Q86" s="36" t="n">
        <v>0.447973894068609</v>
      </c>
      <c r="R86" s="37" t="n">
        <f aca="false">IFERROR(1/Q86,"")</f>
        <v>2.23227293652707</v>
      </c>
      <c r="S86" s="38" t="n">
        <v>9.38627553481385</v>
      </c>
      <c r="T86" s="38" t="n">
        <v>5.56528728423703</v>
      </c>
      <c r="U86" s="34" t="s">
        <v>86</v>
      </c>
      <c r="V86" s="36" t="n">
        <v>0.813486283268034</v>
      </c>
      <c r="W86" s="37" t="n">
        <f aca="false">IFERROR(1/V86,"")</f>
        <v>1.22927702724462</v>
      </c>
    </row>
    <row r="87" customFormat="false" ht="18.75" hidden="false" customHeight="true" outlineLevel="0" collapsed="false">
      <c r="A87" s="39" t="n">
        <v>36</v>
      </c>
      <c r="B87" s="40" t="n">
        <v>46348</v>
      </c>
      <c r="C87" s="41" t="s">
        <v>102</v>
      </c>
      <c r="D87" s="41" t="s">
        <v>8</v>
      </c>
      <c r="E87" s="42" t="s">
        <v>74</v>
      </c>
      <c r="F87" s="39" t="s">
        <v>85</v>
      </c>
      <c r="G87" s="43" t="n">
        <v>0.122867647156664</v>
      </c>
      <c r="H87" s="43" t="n">
        <v>0.472840254933894</v>
      </c>
      <c r="I87" s="44" t="n">
        <f aca="false">IFERROR(1/H87,"")</f>
        <v>2.11487915752817</v>
      </c>
      <c r="J87" s="43" t="n">
        <v>0.259237381684227</v>
      </c>
      <c r="K87" s="44" t="n">
        <f aca="false">IFERROR(1/J87,"")</f>
        <v>3.85746836934993</v>
      </c>
      <c r="L87" s="43" t="n">
        <v>0.267922363381879</v>
      </c>
      <c r="M87" s="44" t="n">
        <f aca="false">IFERROR(1/L87,"")</f>
        <v>3.73242452543861</v>
      </c>
      <c r="N87" s="45" t="n">
        <v>2.50319753705225</v>
      </c>
      <c r="O87" s="43" t="n">
        <v>0.457007738244829</v>
      </c>
      <c r="P87" s="44" t="n">
        <f aca="false">IFERROR(1/O87,"")</f>
        <v>2.1881467562028</v>
      </c>
      <c r="Q87" s="43" t="n">
        <v>0.49476544140954</v>
      </c>
      <c r="R87" s="44" t="n">
        <f aca="false">IFERROR(1/Q87,"")</f>
        <v>2.02115975835154</v>
      </c>
      <c r="S87" s="45" t="n">
        <v>10.4983105237845</v>
      </c>
      <c r="T87" s="45" t="n">
        <v>4.96177542801807</v>
      </c>
      <c r="U87" s="41" t="s">
        <v>86</v>
      </c>
      <c r="V87" s="43" t="n">
        <v>0.810387873219712</v>
      </c>
      <c r="W87" s="44" t="n">
        <f aca="false">IFERROR(1/V87,"")</f>
        <v>1.23397700415598</v>
      </c>
    </row>
    <row r="88" customFormat="false" ht="18.75" hidden="false" customHeight="true" outlineLevel="0" collapsed="false">
      <c r="A88" s="32" t="n">
        <v>36</v>
      </c>
      <c r="B88" s="33" t="n">
        <v>46348</v>
      </c>
      <c r="C88" s="34" t="s">
        <v>88</v>
      </c>
      <c r="D88" s="34" t="s">
        <v>105</v>
      </c>
      <c r="E88" s="35" t="s">
        <v>74</v>
      </c>
      <c r="F88" s="32" t="s">
        <v>85</v>
      </c>
      <c r="G88" s="36" t="n">
        <v>0.119577421398648</v>
      </c>
      <c r="H88" s="36" t="n">
        <v>0.467958923516958</v>
      </c>
      <c r="I88" s="37" t="n">
        <f aca="false">IFERROR(1/H88,"")</f>
        <v>2.13693969651112</v>
      </c>
      <c r="J88" s="36" t="n">
        <v>0.251622884044523</v>
      </c>
      <c r="K88" s="37" t="n">
        <f aca="false">IFERROR(1/J88,"")</f>
        <v>3.97420132829833</v>
      </c>
      <c r="L88" s="36" t="n">
        <v>0.28041819243852</v>
      </c>
      <c r="M88" s="37" t="n">
        <f aca="false">IFERROR(1/L88,"")</f>
        <v>3.56610243901791</v>
      </c>
      <c r="N88" s="38" t="n">
        <v>2.65424128520837</v>
      </c>
      <c r="O88" s="36" t="n">
        <v>0.495101926078863</v>
      </c>
      <c r="P88" s="37" t="n">
        <f aca="false">IFERROR(1/O88,"")</f>
        <v>2.01978612347534</v>
      </c>
      <c r="Q88" s="36" t="n">
        <v>0.527447006264652</v>
      </c>
      <c r="R88" s="37" t="n">
        <f aca="false">IFERROR(1/Q88,"")</f>
        <v>1.89592506568942</v>
      </c>
      <c r="S88" s="38" t="n">
        <v>9.56971703125792</v>
      </c>
      <c r="T88" s="38" t="n">
        <v>5.80278756676232</v>
      </c>
      <c r="U88" s="34" t="s">
        <v>86</v>
      </c>
      <c r="V88" s="36" t="n">
        <v>0.800710738168361</v>
      </c>
      <c r="W88" s="37" t="n">
        <f aca="false">IFERROR(1/V88,"")</f>
        <v>1.24889045735482</v>
      </c>
    </row>
    <row r="89" customFormat="false" ht="18.75" hidden="false" customHeight="true" outlineLevel="0" collapsed="false">
      <c r="A89" s="39" t="n">
        <v>37</v>
      </c>
      <c r="B89" s="40" t="n">
        <v>46355</v>
      </c>
      <c r="C89" s="41" t="s">
        <v>90</v>
      </c>
      <c r="D89" s="41" t="s">
        <v>84</v>
      </c>
      <c r="E89" s="42" t="s">
        <v>74</v>
      </c>
      <c r="F89" s="39" t="s">
        <v>89</v>
      </c>
      <c r="G89" s="43" t="n">
        <v>0.115870608347837</v>
      </c>
      <c r="H89" s="43" t="n">
        <v>0.570232177381576</v>
      </c>
      <c r="I89" s="44" t="n">
        <f aca="false">IFERROR(1/H89,"")</f>
        <v>1.75367164405182</v>
      </c>
      <c r="J89" s="43" t="n">
        <v>0.228519664863641</v>
      </c>
      <c r="K89" s="44" t="n">
        <f aca="false">IFERROR(1/J89,"")</f>
        <v>4.37599101415061</v>
      </c>
      <c r="L89" s="43" t="n">
        <v>0.201248157754783</v>
      </c>
      <c r="M89" s="44" t="n">
        <f aca="false">IFERROR(1/L89,"")</f>
        <v>4.96898958557663</v>
      </c>
      <c r="N89" s="45" t="n">
        <v>2.74816656179674</v>
      </c>
      <c r="O89" s="43" t="n">
        <v>0.518105278463434</v>
      </c>
      <c r="P89" s="44" t="n">
        <f aca="false">IFERROR(1/O89,"")</f>
        <v>1.93010965448131</v>
      </c>
      <c r="Q89" s="43" t="n">
        <v>0.512403756353808</v>
      </c>
      <c r="R89" s="44" t="n">
        <f aca="false">IFERROR(1/Q89,"")</f>
        <v>1.95158600537173</v>
      </c>
      <c r="S89" s="45" t="n">
        <v>9.29803866586191</v>
      </c>
      <c r="T89" s="45" t="n">
        <v>4.47749044497203</v>
      </c>
      <c r="U89" s="41" t="s">
        <v>94</v>
      </c>
      <c r="V89" s="43" t="n">
        <v>0.798751842245217</v>
      </c>
      <c r="W89" s="44" t="n">
        <f aca="false">IFERROR(1/V89,"")</f>
        <v>1.25195329401569</v>
      </c>
    </row>
    <row r="90" customFormat="false" ht="18.75" hidden="false" customHeight="true" outlineLevel="0" collapsed="false">
      <c r="A90" s="32" t="n">
        <v>37</v>
      </c>
      <c r="B90" s="33" t="n">
        <v>46355</v>
      </c>
      <c r="C90" s="34" t="s">
        <v>93</v>
      </c>
      <c r="D90" s="34" t="s">
        <v>103</v>
      </c>
      <c r="E90" s="35" t="s">
        <v>74</v>
      </c>
      <c r="F90" s="32" t="s">
        <v>85</v>
      </c>
      <c r="G90" s="36" t="n">
        <v>0.113345868419594</v>
      </c>
      <c r="H90" s="36" t="n">
        <v>0.529264446484816</v>
      </c>
      <c r="I90" s="37" t="n">
        <f aca="false">IFERROR(1/H90,"")</f>
        <v>1.88941465205464</v>
      </c>
      <c r="J90" s="36" t="n">
        <v>0.238583431831998</v>
      </c>
      <c r="K90" s="37" t="n">
        <f aca="false">IFERROR(1/J90,"")</f>
        <v>4.19140588397674</v>
      </c>
      <c r="L90" s="36" t="n">
        <v>0.232152121683186</v>
      </c>
      <c r="M90" s="37" t="n">
        <f aca="false">IFERROR(1/L90,"")</f>
        <v>4.3075203997691</v>
      </c>
      <c r="N90" s="38" t="n">
        <v>2.72030942204493</v>
      </c>
      <c r="O90" s="36" t="n">
        <v>0.511340573361787</v>
      </c>
      <c r="P90" s="37" t="n">
        <f aca="false">IFERROR(1/O90,"")</f>
        <v>1.95564375700825</v>
      </c>
      <c r="Q90" s="36" t="n">
        <v>0.523197700898735</v>
      </c>
      <c r="R90" s="37" t="n">
        <f aca="false">IFERROR(1/Q90,"")</f>
        <v>1.91132338365063</v>
      </c>
      <c r="S90" s="38" t="n">
        <v>9.39400532971583</v>
      </c>
      <c r="T90" s="38" t="n">
        <v>5.68640259518407</v>
      </c>
      <c r="U90" s="34" t="s">
        <v>86</v>
      </c>
      <c r="V90" s="36" t="n">
        <v>0.795363508730971</v>
      </c>
      <c r="W90" s="37" t="n">
        <f aca="false">IFERROR(1/V90,"")</f>
        <v>1.2572867487918</v>
      </c>
    </row>
    <row r="91" customFormat="false" ht="18.75" hidden="false" customHeight="true" outlineLevel="0" collapsed="false">
      <c r="A91" s="39" t="n">
        <v>37</v>
      </c>
      <c r="B91" s="40" t="n">
        <v>46355</v>
      </c>
      <c r="C91" s="41" t="s">
        <v>83</v>
      </c>
      <c r="D91" s="41" t="s">
        <v>102</v>
      </c>
      <c r="E91" s="42" t="s">
        <v>77</v>
      </c>
      <c r="F91" s="39" t="s">
        <v>109</v>
      </c>
      <c r="G91" s="43" t="n">
        <v>0.12646233693142</v>
      </c>
      <c r="H91" s="43" t="n">
        <v>0.153956677898085</v>
      </c>
      <c r="I91" s="44" t="n">
        <f aca="false">IFERROR(1/H91,"")</f>
        <v>6.49533371109744</v>
      </c>
      <c r="J91" s="43" t="n">
        <v>0.212181613505321</v>
      </c>
      <c r="K91" s="44" t="n">
        <f aca="false">IFERROR(1/J91,"")</f>
        <v>4.71294370647682</v>
      </c>
      <c r="L91" s="43" t="n">
        <v>0.633861708596595</v>
      </c>
      <c r="M91" s="44" t="n">
        <f aca="false">IFERROR(1/L91,"")</f>
        <v>1.57763118743055</v>
      </c>
      <c r="N91" s="45" t="n">
        <v>2.7255079096725</v>
      </c>
      <c r="O91" s="43" t="n">
        <v>0.512612939713594</v>
      </c>
      <c r="P91" s="44" t="n">
        <f aca="false">IFERROR(1/O91,"")</f>
        <v>1.95078961635014</v>
      </c>
      <c r="Q91" s="43" t="n">
        <v>0.473202399823418</v>
      </c>
      <c r="R91" s="44" t="n">
        <f aca="false">IFERROR(1/Q91,"")</f>
        <v>2.11326062668567</v>
      </c>
      <c r="S91" s="45" t="n">
        <v>10.5518644262434</v>
      </c>
      <c r="T91" s="45" t="n">
        <v>4.03169130190527</v>
      </c>
      <c r="U91" s="41" t="s">
        <v>110</v>
      </c>
      <c r="V91" s="43" t="n">
        <v>0.846043322101916</v>
      </c>
      <c r="W91" s="44" t="n">
        <f aca="false">IFERROR(1/V91,"")</f>
        <v>1.18197257028824</v>
      </c>
    </row>
    <row r="92" customFormat="false" ht="18.75" hidden="false" customHeight="true" outlineLevel="0" collapsed="false">
      <c r="A92" s="32" t="n">
        <v>37</v>
      </c>
      <c r="B92" s="33" t="n">
        <v>46355</v>
      </c>
      <c r="C92" s="34" t="s">
        <v>101</v>
      </c>
      <c r="D92" s="34" t="s">
        <v>105</v>
      </c>
      <c r="E92" s="35" t="s">
        <v>74</v>
      </c>
      <c r="F92" s="32" t="s">
        <v>89</v>
      </c>
      <c r="G92" s="36" t="n">
        <v>0.132304858484198</v>
      </c>
      <c r="H92" s="36" t="n">
        <v>0.476731662111688</v>
      </c>
      <c r="I92" s="37" t="n">
        <f aca="false">IFERROR(1/H92,"")</f>
        <v>2.09761607939043</v>
      </c>
      <c r="J92" s="36" t="n">
        <v>0.26577471489324</v>
      </c>
      <c r="K92" s="37" t="n">
        <f aca="false">IFERROR(1/J92,"")</f>
        <v>3.76258516692114</v>
      </c>
      <c r="L92" s="36" t="n">
        <v>0.257493622995072</v>
      </c>
      <c r="M92" s="37" t="n">
        <f aca="false">IFERROR(1/L92,"")</f>
        <v>3.88359132303303</v>
      </c>
      <c r="N92" s="38" t="n">
        <v>2.38425330498823</v>
      </c>
      <c r="O92" s="36" t="n">
        <v>0.426172458642485</v>
      </c>
      <c r="P92" s="37" t="n">
        <f aca="false">IFERROR(1/O92,"")</f>
        <v>2.34646791391768</v>
      </c>
      <c r="Q92" s="36" t="n">
        <v>0.467756718010159</v>
      </c>
      <c r="R92" s="37" t="n">
        <f aca="false">IFERROR(1/Q92,"")</f>
        <v>2.13786346939924</v>
      </c>
      <c r="S92" s="38" t="n">
        <v>9.31723152472559</v>
      </c>
      <c r="T92" s="38" t="n">
        <v>6.69226170439411</v>
      </c>
      <c r="U92" s="34" t="s">
        <v>86</v>
      </c>
      <c r="V92" s="36" t="n">
        <v>0.815420504773993</v>
      </c>
      <c r="W92" s="37" t="n">
        <f aca="false">IFERROR(1/V92,"")</f>
        <v>1.22636111570087</v>
      </c>
    </row>
    <row r="93" customFormat="false" ht="18.75" hidden="false" customHeight="true" outlineLevel="0" collapsed="false">
      <c r="A93" s="39" t="n">
        <v>37</v>
      </c>
      <c r="B93" s="40" t="n">
        <v>46355</v>
      </c>
      <c r="C93" s="41" t="s">
        <v>99</v>
      </c>
      <c r="D93" s="41" t="s">
        <v>8</v>
      </c>
      <c r="E93" s="42" t="s">
        <v>77</v>
      </c>
      <c r="F93" s="39" t="s">
        <v>85</v>
      </c>
      <c r="G93" s="43" t="n">
        <v>0.103010067988622</v>
      </c>
      <c r="H93" s="43" t="n">
        <v>0.204689724287008</v>
      </c>
      <c r="I93" s="44" t="n">
        <f aca="false">IFERROR(1/H93,"")</f>
        <v>4.88544309433843</v>
      </c>
      <c r="J93" s="43" t="n">
        <v>0.218944244685762</v>
      </c>
      <c r="K93" s="44" t="n">
        <f aca="false">IFERROR(1/J93,"")</f>
        <v>4.56737285529127</v>
      </c>
      <c r="L93" s="43" t="n">
        <v>0.57636603102723</v>
      </c>
      <c r="M93" s="44" t="n">
        <f aca="false">IFERROR(1/L93,"")</f>
        <v>1.73500856429333</v>
      </c>
      <c r="N93" s="45" t="n">
        <v>2.94588068717593</v>
      </c>
      <c r="O93" s="43" t="n">
        <v>0.564585162467323</v>
      </c>
      <c r="P93" s="44" t="n">
        <f aca="false">IFERROR(1/O93,"")</f>
        <v>1.77121197381428</v>
      </c>
      <c r="Q93" s="43" t="n">
        <v>0.549480123685872</v>
      </c>
      <c r="R93" s="44" t="n">
        <f aca="false">IFERROR(1/Q93,"")</f>
        <v>1.81990204357543</v>
      </c>
      <c r="S93" s="45" t="n">
        <v>9.87874085004432</v>
      </c>
      <c r="T93" s="45" t="n">
        <v>4.83857529610865</v>
      </c>
      <c r="U93" s="41" t="s">
        <v>110</v>
      </c>
      <c r="V93" s="43" t="n">
        <v>0.795310275712992</v>
      </c>
      <c r="W93" s="44" t="n">
        <f aca="false">IFERROR(1/V93,"")</f>
        <v>1.25737090358037</v>
      </c>
    </row>
    <row r="94" customFormat="false" ht="18.75" hidden="false" customHeight="true" outlineLevel="0" collapsed="false">
      <c r="A94" s="32" t="n">
        <v>37</v>
      </c>
      <c r="B94" s="33" t="n">
        <v>46355</v>
      </c>
      <c r="C94" s="34" t="s">
        <v>98</v>
      </c>
      <c r="D94" s="34" t="s">
        <v>96</v>
      </c>
      <c r="E94" s="35" t="s">
        <v>74</v>
      </c>
      <c r="F94" s="32" t="s">
        <v>89</v>
      </c>
      <c r="G94" s="36" t="n">
        <v>0.138194339342334</v>
      </c>
      <c r="H94" s="36" t="n">
        <v>0.440231034863097</v>
      </c>
      <c r="I94" s="37" t="n">
        <f aca="false">IFERROR(1/H94,"")</f>
        <v>2.27153453711181</v>
      </c>
      <c r="J94" s="36" t="n">
        <v>0.280404026988705</v>
      </c>
      <c r="K94" s="37" t="n">
        <f aca="false">IFERROR(1/J94,"")</f>
        <v>3.56628259137049</v>
      </c>
      <c r="L94" s="36" t="n">
        <v>0.279364938148197</v>
      </c>
      <c r="M94" s="37" t="n">
        <f aca="false">IFERROR(1/L94,"")</f>
        <v>3.57954726397885</v>
      </c>
      <c r="N94" s="38" t="n">
        <v>2.23747587183696</v>
      </c>
      <c r="O94" s="36" t="n">
        <v>0.387317358672917</v>
      </c>
      <c r="P94" s="37" t="n">
        <f aca="false">IFERROR(1/O94,"")</f>
        <v>2.58186207668653</v>
      </c>
      <c r="Q94" s="36" t="n">
        <v>0.443247118714511</v>
      </c>
      <c r="R94" s="37" t="n">
        <f aca="false">IFERROR(1/Q94,"")</f>
        <v>2.25607783509155</v>
      </c>
      <c r="S94" s="38" t="n">
        <v>9.65616988429619</v>
      </c>
      <c r="T94" s="38" t="n">
        <v>6.06671719248149</v>
      </c>
      <c r="U94" s="34" t="s">
        <v>86</v>
      </c>
      <c r="V94" s="36" t="n">
        <v>0.818197312008934</v>
      </c>
      <c r="W94" s="37" t="n">
        <f aca="false">IFERROR(1/V94,"")</f>
        <v>1.22219907756075</v>
      </c>
    </row>
    <row r="95" customFormat="false" ht="18.75" hidden="false" customHeight="true" outlineLevel="0" collapsed="false">
      <c r="A95" s="39" t="n">
        <v>37</v>
      </c>
      <c r="B95" s="40" t="n">
        <v>46355</v>
      </c>
      <c r="C95" s="41" t="s">
        <v>100</v>
      </c>
      <c r="D95" s="41" t="s">
        <v>91</v>
      </c>
      <c r="E95" s="42" t="s">
        <v>74</v>
      </c>
      <c r="F95" s="39" t="s">
        <v>89</v>
      </c>
      <c r="G95" s="43" t="n">
        <v>0.128320035489102</v>
      </c>
      <c r="H95" s="43" t="n">
        <v>0.48664916245173</v>
      </c>
      <c r="I95" s="44" t="n">
        <f aca="false">IFERROR(1/H95,"")</f>
        <v>2.05486842916161</v>
      </c>
      <c r="J95" s="43" t="n">
        <v>0.260249364276429</v>
      </c>
      <c r="K95" s="44" t="n">
        <f aca="false">IFERROR(1/J95,"")</f>
        <v>3.8424685600301</v>
      </c>
      <c r="L95" s="43" t="n">
        <v>0.253101473271841</v>
      </c>
      <c r="M95" s="44" t="n">
        <f aca="false">IFERROR(1/L95,"")</f>
        <v>3.95098450859652</v>
      </c>
      <c r="N95" s="45" t="n">
        <v>2.45037967354876</v>
      </c>
      <c r="O95" s="43" t="n">
        <v>0.443397732230266</v>
      </c>
      <c r="P95" s="44" t="n">
        <f aca="false">IFERROR(1/O95,"")</f>
        <v>2.25531148968682</v>
      </c>
      <c r="Q95" s="43" t="n">
        <v>0.479611479914901</v>
      </c>
      <c r="R95" s="44" t="n">
        <f aca="false">IFERROR(1/Q95,"")</f>
        <v>2.08502098443814</v>
      </c>
      <c r="S95" s="45" t="n">
        <v>10.8041745965732</v>
      </c>
      <c r="T95" s="45" t="n">
        <v>5.4668666006485</v>
      </c>
      <c r="U95" s="41" t="s">
        <v>86</v>
      </c>
      <c r="V95" s="43" t="n">
        <v>0.812907100379441</v>
      </c>
      <c r="W95" s="44" t="n">
        <f aca="false">IFERROR(1/V95,"")</f>
        <v>1.23015286683218</v>
      </c>
    </row>
    <row r="96" customFormat="false" ht="18.75" hidden="false" customHeight="true" outlineLevel="0" collapsed="false">
      <c r="A96" s="32" t="n">
        <v>37</v>
      </c>
      <c r="B96" s="33" t="n">
        <v>46355</v>
      </c>
      <c r="C96" s="34" t="s">
        <v>95</v>
      </c>
      <c r="D96" s="34" t="s">
        <v>92</v>
      </c>
      <c r="E96" s="35" t="s">
        <v>74</v>
      </c>
      <c r="F96" s="32" t="s">
        <v>85</v>
      </c>
      <c r="G96" s="36" t="n">
        <v>0.120371651987087</v>
      </c>
      <c r="H96" s="36" t="n">
        <v>0.48214574649626</v>
      </c>
      <c r="I96" s="37" t="n">
        <f aca="false">IFERROR(1/H96,"")</f>
        <v>2.07406164477645</v>
      </c>
      <c r="J96" s="36" t="n">
        <v>0.253305372164891</v>
      </c>
      <c r="K96" s="37" t="n">
        <f aca="false">IFERROR(1/J96,"")</f>
        <v>3.94780415217188</v>
      </c>
      <c r="L96" s="36" t="n">
        <v>0.264548881338849</v>
      </c>
      <c r="M96" s="37" t="n">
        <f aca="false">IFERROR(1/L96,"")</f>
        <v>3.78001976398133</v>
      </c>
      <c r="N96" s="38" t="n">
        <v>2.58618052367809</v>
      </c>
      <c r="O96" s="36" t="n">
        <v>0.478096892671608</v>
      </c>
      <c r="P96" s="37" t="n">
        <f aca="false">IFERROR(1/O96,"")</f>
        <v>2.09162622750379</v>
      </c>
      <c r="Q96" s="36" t="n">
        <v>0.509962510421435</v>
      </c>
      <c r="R96" s="37" t="n">
        <f aca="false">IFERROR(1/Q96,"")</f>
        <v>1.96092845957166</v>
      </c>
      <c r="S96" s="38" t="n">
        <v>11.0738599449208</v>
      </c>
      <c r="T96" s="38" t="n">
        <v>4.51316856291483</v>
      </c>
      <c r="U96" s="34" t="s">
        <v>86</v>
      </c>
      <c r="V96" s="36" t="n">
        <v>0.805494171589327</v>
      </c>
      <c r="W96" s="37" t="n">
        <f aca="false">IFERROR(1/V96,"")</f>
        <v>1.24147391163227</v>
      </c>
    </row>
    <row r="97" customFormat="false" ht="18.75" hidden="false" customHeight="true" outlineLevel="0" collapsed="false">
      <c r="A97" s="39" t="n">
        <v>37</v>
      </c>
      <c r="B97" s="40" t="n">
        <v>46355</v>
      </c>
      <c r="C97" s="41" t="s">
        <v>87</v>
      </c>
      <c r="D97" s="41" t="s">
        <v>104</v>
      </c>
      <c r="E97" s="42" t="s">
        <v>74</v>
      </c>
      <c r="F97" s="39" t="s">
        <v>89</v>
      </c>
      <c r="G97" s="43" t="n">
        <v>0.126847683030993</v>
      </c>
      <c r="H97" s="43" t="n">
        <v>0.602922415323591</v>
      </c>
      <c r="I97" s="44" t="n">
        <f aca="false">IFERROR(1/H97,"")</f>
        <v>1.65858819407684</v>
      </c>
      <c r="J97" s="43" t="n">
        <v>0.223455538268462</v>
      </c>
      <c r="K97" s="44" t="n">
        <f aca="false">IFERROR(1/J97,"")</f>
        <v>4.47516319241364</v>
      </c>
      <c r="L97" s="43" t="n">
        <v>0.173622046407947</v>
      </c>
      <c r="M97" s="44" t="n">
        <f aca="false">IFERROR(1/L97,"")</f>
        <v>5.75963721594648</v>
      </c>
      <c r="N97" s="45" t="n">
        <v>2.67261032705449</v>
      </c>
      <c r="O97" s="43" t="n">
        <v>0.499648586698491</v>
      </c>
      <c r="P97" s="44" t="n">
        <f aca="false">IFERROR(1/O97,"")</f>
        <v>2.00140664183134</v>
      </c>
      <c r="Q97" s="43" t="n">
        <v>0.47995223338206</v>
      </c>
      <c r="R97" s="44" t="n">
        <f aca="false">IFERROR(1/Q97,"")</f>
        <v>2.08354067435699</v>
      </c>
      <c r="S97" s="45" t="n">
        <v>11.8807216633663</v>
      </c>
      <c r="T97" s="45" t="n">
        <v>4.16008632670338</v>
      </c>
      <c r="U97" s="41" t="s">
        <v>94</v>
      </c>
      <c r="V97" s="43" t="n">
        <v>0.826377953592053</v>
      </c>
      <c r="W97" s="44" t="n">
        <f aca="false">IFERROR(1/V97,"")</f>
        <v>1.21010004641733</v>
      </c>
    </row>
    <row r="98" customFormat="false" ht="18.75" hidden="false" customHeight="true" outlineLevel="0" collapsed="false">
      <c r="A98" s="32" t="n">
        <v>37</v>
      </c>
      <c r="B98" s="33" t="n">
        <v>46355</v>
      </c>
      <c r="C98" s="34" t="s">
        <v>106</v>
      </c>
      <c r="D98" s="34" t="s">
        <v>88</v>
      </c>
      <c r="E98" s="35" t="s">
        <v>74</v>
      </c>
      <c r="F98" s="32" t="s">
        <v>85</v>
      </c>
      <c r="G98" s="36" t="n">
        <v>0.12724348864955</v>
      </c>
      <c r="H98" s="36" t="n">
        <v>0.39824234144277</v>
      </c>
      <c r="I98" s="37" t="n">
        <f aca="false">IFERROR(1/H98,"")</f>
        <v>2.51103385033635</v>
      </c>
      <c r="J98" s="36" t="n">
        <v>0.268534544742998</v>
      </c>
      <c r="K98" s="37" t="n">
        <f aca="false">IFERROR(1/J98,"")</f>
        <v>3.72391567333378</v>
      </c>
      <c r="L98" s="36" t="n">
        <v>0.333223113814233</v>
      </c>
      <c r="M98" s="37" t="n">
        <f aca="false">IFERROR(1/L98,"")</f>
        <v>3.00099230378564</v>
      </c>
      <c r="N98" s="38" t="n">
        <v>2.46442380193085</v>
      </c>
      <c r="O98" s="36" t="n">
        <v>0.447029478795471</v>
      </c>
      <c r="P98" s="37" t="n">
        <f aca="false">IFERROR(1/O98,"")</f>
        <v>2.23698894018023</v>
      </c>
      <c r="Q98" s="36" t="n">
        <v>0.498909604020243</v>
      </c>
      <c r="R98" s="37" t="n">
        <f aca="false">IFERROR(1/Q98,"")</f>
        <v>2.00437111641456</v>
      </c>
      <c r="S98" s="38" t="n">
        <v>9.3218942207859</v>
      </c>
      <c r="T98" s="38" t="n">
        <v>5.75315409127398</v>
      </c>
      <c r="U98" s="34" t="s">
        <v>86</v>
      </c>
      <c r="V98" s="36" t="n">
        <v>0.812334561999908</v>
      </c>
      <c r="W98" s="37" t="n">
        <f aca="false">IFERROR(1/V98,"")</f>
        <v>1.2310198861145</v>
      </c>
    </row>
    <row r="99" customFormat="false" ht="18.75" hidden="false" customHeight="true" outlineLevel="0" collapsed="false">
      <c r="A99" s="39" t="n">
        <v>38</v>
      </c>
      <c r="B99" s="40" t="n">
        <v>46358</v>
      </c>
      <c r="C99" s="41" t="s">
        <v>92</v>
      </c>
      <c r="D99" s="41" t="s">
        <v>87</v>
      </c>
      <c r="E99" s="42" t="s">
        <v>74</v>
      </c>
      <c r="F99" s="39" t="s">
        <v>89</v>
      </c>
      <c r="G99" s="43" t="n">
        <v>0.140930900997639</v>
      </c>
      <c r="H99" s="43" t="n">
        <v>0.462807258596752</v>
      </c>
      <c r="I99" s="44" t="n">
        <f aca="false">IFERROR(1/H99,"")</f>
        <v>2.16072669869534</v>
      </c>
      <c r="J99" s="43" t="n">
        <v>0.276096933886394</v>
      </c>
      <c r="K99" s="44" t="n">
        <f aca="false">IFERROR(1/J99,"")</f>
        <v>3.6219163535205</v>
      </c>
      <c r="L99" s="43" t="n">
        <v>0.261095807516854</v>
      </c>
      <c r="M99" s="44" t="n">
        <f aca="false">IFERROR(1/L99,"")</f>
        <v>3.83001170915182</v>
      </c>
      <c r="N99" s="45" t="n">
        <v>2.25768459776645</v>
      </c>
      <c r="O99" s="43" t="n">
        <v>0.392710397955451</v>
      </c>
      <c r="P99" s="44" t="n">
        <f aca="false">IFERROR(1/O99,"")</f>
        <v>2.54640571068719</v>
      </c>
      <c r="Q99" s="43" t="n">
        <v>0.442743147432094</v>
      </c>
      <c r="R99" s="44" t="n">
        <f aca="false">IFERROR(1/Q99,"")</f>
        <v>2.25864591196948</v>
      </c>
      <c r="S99" s="45" t="n">
        <v>10.2678973375738</v>
      </c>
      <c r="T99" s="45" t="n">
        <v>5.0745066669905</v>
      </c>
      <c r="U99" s="41" t="s">
        <v>86</v>
      </c>
      <c r="V99" s="43" t="n">
        <v>0.818040378332609</v>
      </c>
      <c r="W99" s="44" t="n">
        <f aca="false">IFERROR(1/V99,"")</f>
        <v>1.22243354544219</v>
      </c>
    </row>
    <row r="100" customFormat="false" ht="18.75" hidden="false" customHeight="true" outlineLevel="0" collapsed="false">
      <c r="A100" s="32" t="n">
        <v>38</v>
      </c>
      <c r="B100" s="33" t="n">
        <v>46358</v>
      </c>
      <c r="C100" s="34" t="s">
        <v>103</v>
      </c>
      <c r="D100" s="34" t="s">
        <v>90</v>
      </c>
      <c r="E100" s="35" t="s">
        <v>74</v>
      </c>
      <c r="F100" s="32" t="s">
        <v>85</v>
      </c>
      <c r="G100" s="36" t="n">
        <v>0.123179096902329</v>
      </c>
      <c r="H100" s="36" t="n">
        <v>0.443281359843362</v>
      </c>
      <c r="I100" s="37" t="n">
        <f aca="false">IFERROR(1/H100,"")</f>
        <v>2.25590356507064</v>
      </c>
      <c r="J100" s="36" t="n">
        <v>0.25919933801004</v>
      </c>
      <c r="K100" s="37" t="n">
        <f aca="false">IFERROR(1/J100,"")</f>
        <v>3.85803454467644</v>
      </c>
      <c r="L100" s="36" t="n">
        <v>0.297519302146598</v>
      </c>
      <c r="M100" s="37" t="n">
        <f aca="false">IFERROR(1/L100,"")</f>
        <v>3.36112646401431</v>
      </c>
      <c r="N100" s="38" t="n">
        <v>2.56574014959236</v>
      </c>
      <c r="O100" s="36" t="n">
        <v>0.472936859512761</v>
      </c>
      <c r="P100" s="37" t="n">
        <f aca="false">IFERROR(1/O100,"")</f>
        <v>2.1144471611501</v>
      </c>
      <c r="Q100" s="36" t="n">
        <v>0.514219507996275</v>
      </c>
      <c r="R100" s="37" t="n">
        <f aca="false">IFERROR(1/Q100,"")</f>
        <v>1.94469479366241</v>
      </c>
      <c r="S100" s="38" t="n">
        <v>10.041601121528</v>
      </c>
      <c r="T100" s="38" t="n">
        <v>5.33195146694028</v>
      </c>
      <c r="U100" s="34" t="s">
        <v>86</v>
      </c>
      <c r="V100" s="36" t="n">
        <v>0.806825386406361</v>
      </c>
      <c r="W100" s="37" t="n">
        <f aca="false">IFERROR(1/V100,"")</f>
        <v>1.2394255521062</v>
      </c>
    </row>
    <row r="101" customFormat="false" ht="18.75" hidden="false" customHeight="true" outlineLevel="0" collapsed="false">
      <c r="A101" s="39" t="n">
        <v>38</v>
      </c>
      <c r="B101" s="40" t="n">
        <v>46358</v>
      </c>
      <c r="C101" s="41" t="s">
        <v>91</v>
      </c>
      <c r="D101" s="41" t="s">
        <v>98</v>
      </c>
      <c r="E101" s="42" t="s">
        <v>74</v>
      </c>
      <c r="F101" s="39" t="s">
        <v>85</v>
      </c>
      <c r="G101" s="43" t="n">
        <v>0.12800738925528</v>
      </c>
      <c r="H101" s="43" t="n">
        <v>0.415872385759962</v>
      </c>
      <c r="I101" s="44" t="n">
        <f aca="false">IFERROR(1/H101,"")</f>
        <v>2.40458379599455</v>
      </c>
      <c r="J101" s="43" t="n">
        <v>0.271369974120152</v>
      </c>
      <c r="K101" s="44" t="n">
        <f aca="false">IFERROR(1/J101,"")</f>
        <v>3.68500606318826</v>
      </c>
      <c r="L101" s="43" t="n">
        <v>0.312757640119886</v>
      </c>
      <c r="M101" s="44" t="n">
        <f aca="false">IFERROR(1/L101,"")</f>
        <v>3.19736393846904</v>
      </c>
      <c r="N101" s="45" t="n">
        <v>2.40359740492389</v>
      </c>
      <c r="O101" s="43" t="n">
        <v>0.431231198832672</v>
      </c>
      <c r="P101" s="44" t="n">
        <f aca="false">IFERROR(1/O101,"")</f>
        <v>2.3189416784012</v>
      </c>
      <c r="Q101" s="43" t="n">
        <v>0.484147799004946</v>
      </c>
      <c r="R101" s="44" t="n">
        <f aca="false">IFERROR(1/Q101,"")</f>
        <v>2.06548496565567</v>
      </c>
      <c r="S101" s="45" t="n">
        <v>10.3130714476924</v>
      </c>
      <c r="T101" s="45" t="n">
        <v>5.77763967506654</v>
      </c>
      <c r="U101" s="41" t="s">
        <v>86</v>
      </c>
      <c r="V101" s="43" t="n">
        <v>0.814808965642173</v>
      </c>
      <c r="W101" s="44" t="n">
        <f aca="false">IFERROR(1/V101,"")</f>
        <v>1.22728153735014</v>
      </c>
    </row>
    <row r="102" customFormat="false" ht="18.75" hidden="false" customHeight="true" outlineLevel="0" collapsed="false">
      <c r="A102" s="32" t="n">
        <v>38</v>
      </c>
      <c r="B102" s="33" t="n">
        <v>46358</v>
      </c>
      <c r="C102" s="34" t="s">
        <v>96</v>
      </c>
      <c r="D102" s="34" t="s">
        <v>100</v>
      </c>
      <c r="E102" s="35" t="s">
        <v>74</v>
      </c>
      <c r="F102" s="32" t="s">
        <v>89</v>
      </c>
      <c r="G102" s="36" t="n">
        <v>0.1451035714615</v>
      </c>
      <c r="H102" s="36" t="n">
        <v>0.496336965857958</v>
      </c>
      <c r="I102" s="37" t="n">
        <f aca="false">IFERROR(1/H102,"")</f>
        <v>2.01476027132378</v>
      </c>
      <c r="J102" s="36" t="n">
        <v>0.268953599442637</v>
      </c>
      <c r="K102" s="37" t="n">
        <f aca="false">IFERROR(1/J102,"")</f>
        <v>3.71811346668101</v>
      </c>
      <c r="L102" s="36" t="n">
        <v>0.234709434699406</v>
      </c>
      <c r="M102" s="37" t="n">
        <f aca="false">IFERROR(1/L102,"")</f>
        <v>4.26058714376228</v>
      </c>
      <c r="N102" s="38" t="n">
        <v>2.28359153296277</v>
      </c>
      <c r="O102" s="36" t="n">
        <v>0.399605918556906</v>
      </c>
      <c r="P102" s="37" t="n">
        <f aca="false">IFERROR(1/O102,"")</f>
        <v>2.50246543797773</v>
      </c>
      <c r="Q102" s="36" t="n">
        <v>0.438977417634848</v>
      </c>
      <c r="R102" s="37" t="n">
        <f aca="false">IFERROR(1/Q102,"")</f>
        <v>2.27802151050928</v>
      </c>
      <c r="S102" s="38" t="n">
        <v>9.91980456574779</v>
      </c>
      <c r="T102" s="38" t="n">
        <v>5.6589260113243</v>
      </c>
      <c r="U102" s="34" t="s">
        <v>86</v>
      </c>
      <c r="V102" s="36" t="n">
        <v>0.817713471977819</v>
      </c>
      <c r="W102" s="37" t="n">
        <f aca="false">IFERROR(1/V102,"")</f>
        <v>1.22292225121506</v>
      </c>
    </row>
    <row r="103" customFormat="false" ht="18.75" hidden="false" customHeight="true" outlineLevel="0" collapsed="false">
      <c r="A103" s="39" t="n">
        <v>38</v>
      </c>
      <c r="B103" s="40" t="n">
        <v>46358</v>
      </c>
      <c r="C103" s="41" t="s">
        <v>8</v>
      </c>
      <c r="D103" s="41" t="s">
        <v>83</v>
      </c>
      <c r="E103" s="42" t="s">
        <v>74</v>
      </c>
      <c r="F103" s="39" t="s">
        <v>108</v>
      </c>
      <c r="G103" s="43" t="n">
        <v>0.121605803354001</v>
      </c>
      <c r="H103" s="43" t="n">
        <v>0.834156029199319</v>
      </c>
      <c r="I103" s="44" t="n">
        <f aca="false">IFERROR(1/H103,"")</f>
        <v>1.19881648635912</v>
      </c>
      <c r="J103" s="43" t="n">
        <v>0.111137751182224</v>
      </c>
      <c r="K103" s="44" t="n">
        <f aca="false">IFERROR(1/J103,"")</f>
        <v>8.99784267148236</v>
      </c>
      <c r="L103" s="43" t="n">
        <v>0.0547062196184578</v>
      </c>
      <c r="M103" s="44" t="n">
        <f aca="false">IFERROR(1/L103,"")</f>
        <v>18.2794571983658</v>
      </c>
      <c r="N103" s="45" t="n">
        <v>3.55272521453814</v>
      </c>
      <c r="O103" s="43" t="n">
        <v>0.689072829744096</v>
      </c>
      <c r="P103" s="44" t="n">
        <f aca="false">IFERROR(1/O103,"")</f>
        <v>1.45122541019557</v>
      </c>
      <c r="Q103" s="43" t="n">
        <v>0.445685813158527</v>
      </c>
      <c r="R103" s="44" t="n">
        <f aca="false">IFERROR(1/Q103,"")</f>
        <v>2.24373307490564</v>
      </c>
      <c r="S103" s="45" t="n">
        <v>10.5994559346622</v>
      </c>
      <c r="T103" s="45" t="n">
        <v>4.10515074590141</v>
      </c>
      <c r="U103" s="41" t="s">
        <v>94</v>
      </c>
      <c r="V103" s="43" t="n">
        <v>0.945293780381542</v>
      </c>
      <c r="W103" s="44" t="n">
        <f aca="false">IFERROR(1/V103,"")</f>
        <v>1.05787218825916</v>
      </c>
    </row>
    <row r="104" customFormat="false" ht="18.75" hidden="false" customHeight="true" outlineLevel="0" collapsed="false">
      <c r="A104" s="32" t="n">
        <v>38</v>
      </c>
      <c r="B104" s="33" t="n">
        <v>46358</v>
      </c>
      <c r="C104" s="34" t="s">
        <v>105</v>
      </c>
      <c r="D104" s="34" t="s">
        <v>95</v>
      </c>
      <c r="E104" s="35" t="s">
        <v>74</v>
      </c>
      <c r="F104" s="32" t="s">
        <v>85</v>
      </c>
      <c r="G104" s="36" t="n">
        <v>0.120152352968735</v>
      </c>
      <c r="H104" s="36" t="n">
        <v>0.429891761159277</v>
      </c>
      <c r="I104" s="37" t="n">
        <f aca="false">IFERROR(1/H104,"")</f>
        <v>2.326166933982</v>
      </c>
      <c r="J104" s="36" t="n">
        <v>0.253264509069587</v>
      </c>
      <c r="K104" s="37" t="n">
        <f aca="false">IFERROR(1/J104,"")</f>
        <v>3.94844111270735</v>
      </c>
      <c r="L104" s="36" t="n">
        <v>0.316843729771136</v>
      </c>
      <c r="M104" s="37" t="n">
        <f aca="false">IFERROR(1/L104,"")</f>
        <v>3.15612999734073</v>
      </c>
      <c r="N104" s="38" t="n">
        <v>2.6963131452426</v>
      </c>
      <c r="O104" s="36" t="n">
        <v>0.505472935553429</v>
      </c>
      <c r="P104" s="37" t="n">
        <f aca="false">IFERROR(1/O104,"")</f>
        <v>1.9783452874784</v>
      </c>
      <c r="Q104" s="36" t="n">
        <v>0.542662969232268</v>
      </c>
      <c r="R104" s="37" t="n">
        <f aca="false">IFERROR(1/Q104,"")</f>
        <v>1.8427643983424</v>
      </c>
      <c r="S104" s="38" t="n">
        <v>10.2372655973889</v>
      </c>
      <c r="T104" s="38" t="n">
        <v>5.06379069492553</v>
      </c>
      <c r="U104" s="34" t="s">
        <v>86</v>
      </c>
      <c r="V104" s="36" t="n">
        <v>0.797430291633234</v>
      </c>
      <c r="W104" s="37" t="n">
        <f aca="false">IFERROR(1/V104,"")</f>
        <v>1.2540281081521</v>
      </c>
    </row>
    <row r="105" customFormat="false" ht="18.75" hidden="false" customHeight="true" outlineLevel="0" collapsed="false">
      <c r="A105" s="39" t="n">
        <v>38</v>
      </c>
      <c r="B105" s="40" t="n">
        <v>46358</v>
      </c>
      <c r="C105" s="41" t="s">
        <v>102</v>
      </c>
      <c r="D105" s="41" t="s">
        <v>99</v>
      </c>
      <c r="E105" s="42" t="s">
        <v>74</v>
      </c>
      <c r="F105" s="39" t="s">
        <v>108</v>
      </c>
      <c r="G105" s="43" t="n">
        <v>0.131766503220896</v>
      </c>
      <c r="H105" s="43" t="n">
        <v>0.766284499267028</v>
      </c>
      <c r="I105" s="44" t="n">
        <f aca="false">IFERROR(1/H105,"")</f>
        <v>1.30499834063788</v>
      </c>
      <c r="J105" s="43" t="n">
        <v>0.150542257692616</v>
      </c>
      <c r="K105" s="44" t="n">
        <f aca="false">IFERROR(1/J105,"")</f>
        <v>6.6426531349214</v>
      </c>
      <c r="L105" s="43" t="n">
        <v>0.0831732430403562</v>
      </c>
      <c r="M105" s="44" t="n">
        <f aca="false">IFERROR(1/L105,"")</f>
        <v>12.0230973741735</v>
      </c>
      <c r="N105" s="45" t="n">
        <v>3.12997718506213</v>
      </c>
      <c r="O105" s="43" t="n">
        <v>0.605369542372554</v>
      </c>
      <c r="P105" s="44" t="n">
        <f aca="false">IFERROR(1/O105,"")</f>
        <v>1.65188356863944</v>
      </c>
      <c r="Q105" s="43" t="n">
        <v>0.447760686849764</v>
      </c>
      <c r="R105" s="44" t="n">
        <f aca="false">IFERROR(1/Q105,"")</f>
        <v>2.23333586303777</v>
      </c>
      <c r="S105" s="45" t="n">
        <v>11.5887070918303</v>
      </c>
      <c r="T105" s="45" t="n">
        <v>4.83050008938474</v>
      </c>
      <c r="U105" s="41" t="s">
        <v>94</v>
      </c>
      <c r="V105" s="43" t="n">
        <v>0.916826756959643</v>
      </c>
      <c r="W105" s="44" t="n">
        <f aca="false">IFERROR(1/V105,"")</f>
        <v>1.09071860349732</v>
      </c>
    </row>
    <row r="106" customFormat="false" ht="18.75" hidden="false" customHeight="true" outlineLevel="0" collapsed="false">
      <c r="A106" s="32" t="n">
        <v>38</v>
      </c>
      <c r="B106" s="33" t="n">
        <v>46358</v>
      </c>
      <c r="C106" s="34" t="s">
        <v>104</v>
      </c>
      <c r="D106" s="34" t="s">
        <v>101</v>
      </c>
      <c r="E106" s="35" t="s">
        <v>77</v>
      </c>
      <c r="F106" s="32" t="s">
        <v>85</v>
      </c>
      <c r="G106" s="36" t="n">
        <v>0.12700001133974</v>
      </c>
      <c r="H106" s="36" t="n">
        <v>0.358165842035266</v>
      </c>
      <c r="I106" s="37" t="n">
        <f aca="false">IFERROR(1/H106,"")</f>
        <v>2.79200270555543</v>
      </c>
      <c r="J106" s="36" t="n">
        <v>0.26766886775378</v>
      </c>
      <c r="K106" s="37" t="n">
        <f aca="false">IFERROR(1/J106,"")</f>
        <v>3.73595931567158</v>
      </c>
      <c r="L106" s="36" t="n">
        <v>0.374165290210954</v>
      </c>
      <c r="M106" s="37" t="n">
        <f aca="false">IFERROR(1/L106,"")</f>
        <v>2.6726156224598</v>
      </c>
      <c r="N106" s="38" t="n">
        <v>2.48920153408991</v>
      </c>
      <c r="O106" s="36" t="n">
        <v>0.45341429103273</v>
      </c>
      <c r="P106" s="37" t="n">
        <f aca="false">IFERROR(1/O106,"")</f>
        <v>2.20548848983636</v>
      </c>
      <c r="Q106" s="36" t="n">
        <v>0.505274516714766</v>
      </c>
      <c r="R106" s="37" t="n">
        <f aca="false">IFERROR(1/Q106,"")</f>
        <v>1.97912217402508</v>
      </c>
      <c r="S106" s="38" t="n">
        <v>10.6654424973788</v>
      </c>
      <c r="T106" s="38" t="n">
        <v>4.89924722082801</v>
      </c>
      <c r="U106" s="34" t="s">
        <v>86</v>
      </c>
      <c r="V106" s="36" t="n">
        <v>0.811149276407833</v>
      </c>
      <c r="W106" s="37" t="n">
        <f aca="false">IFERROR(1/V106,"")</f>
        <v>1.23281870438015</v>
      </c>
    </row>
    <row r="107" customFormat="false" ht="18.75" hidden="false" customHeight="true" outlineLevel="0" collapsed="false">
      <c r="A107" s="39" t="n">
        <v>38</v>
      </c>
      <c r="B107" s="40" t="n">
        <v>46358</v>
      </c>
      <c r="C107" s="41" t="s">
        <v>88</v>
      </c>
      <c r="D107" s="41" t="s">
        <v>93</v>
      </c>
      <c r="E107" s="42" t="s">
        <v>74</v>
      </c>
      <c r="F107" s="39" t="s">
        <v>85</v>
      </c>
      <c r="G107" s="43" t="n">
        <v>0.123547650702165</v>
      </c>
      <c r="H107" s="43" t="n">
        <v>0.399649821232921</v>
      </c>
      <c r="I107" s="44" t="n">
        <f aca="false">IFERROR(1/H107,"")</f>
        <v>2.50219053499135</v>
      </c>
      <c r="J107" s="43" t="n">
        <v>0.259920418305521</v>
      </c>
      <c r="K107" s="44" t="n">
        <f aca="false">IFERROR(1/J107,"")</f>
        <v>3.84733145060023</v>
      </c>
      <c r="L107" s="43" t="n">
        <v>0.340429760461558</v>
      </c>
      <c r="M107" s="44" t="n">
        <f aca="false">IFERROR(1/L107,"")</f>
        <v>2.93746351272048</v>
      </c>
      <c r="N107" s="45" t="n">
        <v>2.60724706417383</v>
      </c>
      <c r="O107" s="43" t="n">
        <v>0.483388837144528</v>
      </c>
      <c r="P107" s="44" t="n">
        <f aca="false">IFERROR(1/O107,"")</f>
        <v>2.06872795389152</v>
      </c>
      <c r="Q107" s="43" t="n">
        <v>0.528088482207427</v>
      </c>
      <c r="R107" s="44" t="n">
        <f aca="false">IFERROR(1/Q107,"")</f>
        <v>1.89362206087125</v>
      </c>
      <c r="S107" s="45" t="n">
        <v>9.4017067616404</v>
      </c>
      <c r="T107" s="45" t="n">
        <v>5.65873891080192</v>
      </c>
      <c r="U107" s="41" t="s">
        <v>86</v>
      </c>
      <c r="V107" s="43" t="n">
        <v>0.804127731053426</v>
      </c>
      <c r="W107" s="44" t="n">
        <f aca="false">IFERROR(1/V107,"")</f>
        <v>1.24358352707222</v>
      </c>
    </row>
    <row r="108" customFormat="false" ht="18.75" hidden="false" customHeight="true" outlineLevel="0" collapsed="false">
      <c r="A108" s="32" t="n">
        <v>38</v>
      </c>
      <c r="B108" s="33" t="n">
        <v>46358</v>
      </c>
      <c r="C108" s="34" t="s">
        <v>84</v>
      </c>
      <c r="D108" s="34" t="s">
        <v>106</v>
      </c>
      <c r="E108" s="35" t="s">
        <v>74</v>
      </c>
      <c r="F108" s="32" t="s">
        <v>89</v>
      </c>
      <c r="G108" s="36" t="n">
        <v>0.117348970932948</v>
      </c>
      <c r="H108" s="36" t="n">
        <v>0.513990690881838</v>
      </c>
      <c r="I108" s="37" t="n">
        <f aca="false">IFERROR(1/H108,"")</f>
        <v>1.94556052811838</v>
      </c>
      <c r="J108" s="36" t="n">
        <v>0.245637246967177</v>
      </c>
      <c r="K108" s="37" t="n">
        <f aca="false">IFERROR(1/J108,"")</f>
        <v>4.07104383535785</v>
      </c>
      <c r="L108" s="36" t="n">
        <v>0.240372062150985</v>
      </c>
      <c r="M108" s="37" t="n">
        <f aca="false">IFERROR(1/L108,"")</f>
        <v>4.16021725258517</v>
      </c>
      <c r="N108" s="38" t="n">
        <v>2.63380460841493</v>
      </c>
      <c r="O108" s="36" t="n">
        <v>0.490025516971061</v>
      </c>
      <c r="P108" s="37" t="n">
        <f aca="false">IFERROR(1/O108,"")</f>
        <v>2.04071005563381</v>
      </c>
      <c r="Q108" s="36" t="n">
        <v>0.51050822722417</v>
      </c>
      <c r="R108" s="37" t="n">
        <f aca="false">IFERROR(1/Q108,"")</f>
        <v>1.95883229039694</v>
      </c>
      <c r="S108" s="38" t="n">
        <v>8.64087806497739</v>
      </c>
      <c r="T108" s="38" t="n">
        <v>4.87025795427635</v>
      </c>
      <c r="U108" s="34" t="s">
        <v>86</v>
      </c>
      <c r="V108" s="36" t="n">
        <v>0.802182588236568</v>
      </c>
      <c r="W108" s="37" t="n">
        <f aca="false">IFERROR(1/V108,"")</f>
        <v>1.24659898465048</v>
      </c>
    </row>
    <row r="110" customFormat="false" ht="15" hidden="false" customHeight="false" outlineLevel="0" collapsed="false">
      <c r="A110" s="22" t="s">
        <v>111</v>
      </c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</row>
  </sheetData>
  <autoFilter ref="A5:W108"/>
  <mergeCells count="7">
    <mergeCell ref="A2:V2"/>
    <mergeCell ref="A4:D4"/>
    <mergeCell ref="E4:M4"/>
    <mergeCell ref="N4:P4"/>
    <mergeCell ref="Q4:R4"/>
    <mergeCell ref="U4:W4"/>
    <mergeCell ref="A110:W110"/>
  </mergeCells>
  <conditionalFormatting sqref="G6:G108">
    <cfRule type="colorScale" priority="2">
      <colorScale>
        <cfvo type="num" val="0"/>
        <cfvo type="num" val="1"/>
        <color rgb="FFFFFFFF"/>
        <color rgb="FF9EC5F4"/>
      </colorScale>
    </cfRule>
  </conditionalFormatting>
  <conditionalFormatting sqref="H6:H108">
    <cfRule type="colorScale" priority="3">
      <colorScale>
        <cfvo type="num" val="0"/>
        <cfvo type="num" val="1"/>
        <color rgb="FFFFFFFF"/>
        <color rgb="FF9EC5F4"/>
      </colorScale>
    </cfRule>
  </conditionalFormatting>
  <conditionalFormatting sqref="J6:J108">
    <cfRule type="colorScale" priority="4">
      <colorScale>
        <cfvo type="num" val="0"/>
        <cfvo type="num" val="1"/>
        <color rgb="FFFFFFFF"/>
        <color rgb="FF9EC5F4"/>
      </colorScale>
    </cfRule>
  </conditionalFormatting>
  <conditionalFormatting sqref="L6:L108">
    <cfRule type="colorScale" priority="5">
      <colorScale>
        <cfvo type="num" val="0"/>
        <cfvo type="num" val="1"/>
        <color rgb="FFFFFFFF"/>
        <color rgb="FF9EC5F4"/>
      </colorScale>
    </cfRule>
  </conditionalFormatting>
  <conditionalFormatting sqref="O6:O108">
    <cfRule type="colorScale" priority="6">
      <colorScale>
        <cfvo type="num" val="0"/>
        <cfvo type="num" val="1"/>
        <color rgb="FFFFFFFF"/>
        <color rgb="FF9EC5F4"/>
      </colorScale>
    </cfRule>
  </conditionalFormatting>
  <conditionalFormatting sqref="Q6:Q108">
    <cfRule type="colorScale" priority="7">
      <colorScale>
        <cfvo type="num" val="0"/>
        <cfvo type="num" val="1"/>
        <color rgb="FFFFFFFF"/>
        <color rgb="FF9EC5F4"/>
      </colorScale>
    </cfRule>
  </conditionalFormatting>
  <conditionalFormatting sqref="V6:V108">
    <cfRule type="colorScale" priority="8">
      <colorScale>
        <cfvo type="num" val="0"/>
        <cfvo type="num" val="1"/>
        <color rgb="FFFFFFFF"/>
        <color rgb="FF9EC5F4"/>
      </colorScale>
    </cfRule>
    <cfRule type="dataBar" priority="9">
      <dataBar showValue="1" minLength="10" maxLength="90">
        <cfvo type="num" val="0"/>
        <cfvo type="num" val="1"/>
        <color rgb="FF7A1F6B"/>
      </dataBar>
      <extLst>
        <ext xmlns:x14="http://schemas.microsoft.com/office/spreadsheetml/2009/9/main" uri="{B025F937-C7B1-47D3-B67F-A62EFF666E3E}">
          <x14:id>{44EDBC5F-6AB0-44F0-899F-19793C8BCAB0}</x14:id>
        </ext>
      </extLst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4EDBC5F-6AB0-44F0-899F-19793C8BCAB0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7A1F6B"/>
              <x14:axisColor rgb="FF000000"/>
            </x14:dataBar>
          </x14:cfRule>
          <xm:sqref>V6:V108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2566E"/>
    <pageSetUpPr fitToPage="true"/>
  </sheetPr>
  <dimension ref="A1:T1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3" topLeftCell="D24" activePane="bottomRight" state="frozen"/>
      <selection pane="topLeft" activeCell="A1" activeCellId="0" sqref="A1"/>
      <selection pane="topRight" activeCell="D1" activeCellId="0" sqref="D1"/>
      <selection pane="bottomLeft" activeCell="A24" activeCellId="0" sqref="A2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10"/>
    <col collapsed="false" customWidth="true" hidden="false" outlineLevel="0" max="5" min="4" style="0" width="18"/>
    <col collapsed="false" customWidth="true" hidden="false" outlineLevel="0" max="6" min="6" style="0" width="9"/>
    <col collapsed="false" customWidth="true" hidden="false" outlineLevel="0" max="11" min="7" style="0" width="8"/>
    <col collapsed="false" customWidth="true" hidden="false" outlineLevel="0" max="12" min="12" style="0" width="10"/>
    <col collapsed="false" customWidth="true" hidden="false" outlineLevel="0" max="13" min="13" style="0" width="8"/>
    <col collapsed="false" customWidth="true" hidden="false" outlineLevel="0" max="14" min="14" style="0" width="7"/>
    <col collapsed="false" customWidth="true" hidden="false" outlineLevel="0" max="15" min="15" style="0" width="8"/>
    <col collapsed="false" customWidth="true" hidden="false" outlineLevel="0" max="16" min="16" style="0" width="11"/>
    <col collapsed="false" customWidth="true" hidden="false" outlineLevel="0" max="17" min="17" style="0" width="9"/>
    <col collapsed="false" customWidth="true" hidden="false" outlineLevel="0" max="18" min="18" style="0" width="23"/>
    <col collapsed="false" customWidth="true" hidden="false" outlineLevel="0" max="19" min="19" style="0" width="8"/>
    <col collapsed="false" customWidth="true" hidden="false" outlineLevel="0" max="20" min="20" style="0" width="7"/>
  </cols>
  <sheetData>
    <row r="1" customFormat="false" ht="30" hidden="false" customHeight="true" outlineLevel="0" collapsed="false">
      <c r="A1" s="23" t="s">
        <v>112</v>
      </c>
    </row>
    <row r="2" customFormat="false" ht="15.75" hidden="false" customHeight="true" outlineLevel="0" collapsed="false">
      <c r="A2" s="24" t="s">
        <v>113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</row>
    <row r="4" customFormat="false" ht="15" hidden="false" customHeight="false" outlineLevel="0" collapsed="false">
      <c r="A4" s="6" t="s">
        <v>114</v>
      </c>
    </row>
    <row r="5" customFormat="false" ht="19.5" hidden="false" customHeight="true" outlineLevel="0" collapsed="false">
      <c r="A5" s="25" t="s">
        <v>115</v>
      </c>
      <c r="B5" s="25"/>
      <c r="C5" s="25"/>
      <c r="D5" s="25"/>
      <c r="E5" s="26" t="s">
        <v>116</v>
      </c>
      <c r="F5" s="26"/>
      <c r="G5" s="26"/>
      <c r="H5" s="26"/>
      <c r="I5" s="26"/>
      <c r="J5" s="29" t="s">
        <v>64</v>
      </c>
      <c r="K5" s="19" t="s">
        <v>65</v>
      </c>
    </row>
    <row r="6" customFormat="false" ht="27.75" hidden="false" customHeight="true" outlineLevel="0" collapsed="false">
      <c r="A6" s="31" t="s">
        <v>67</v>
      </c>
      <c r="B6" s="31" t="s">
        <v>117</v>
      </c>
      <c r="C6" s="31" t="s">
        <v>118</v>
      </c>
      <c r="D6" s="31" t="s">
        <v>119</v>
      </c>
      <c r="E6" s="31" t="s">
        <v>78</v>
      </c>
      <c r="F6" s="31" t="s">
        <v>69</v>
      </c>
      <c r="G6" s="31" t="s">
        <v>76</v>
      </c>
      <c r="H6" s="31" t="s">
        <v>79</v>
      </c>
      <c r="I6" s="31" t="s">
        <v>120</v>
      </c>
      <c r="J6" s="31" t="s">
        <v>33</v>
      </c>
      <c r="K6" s="31" t="s">
        <v>35</v>
      </c>
    </row>
    <row r="7" customFormat="false" ht="18.75" hidden="false" customHeight="true" outlineLevel="0" collapsed="false">
      <c r="A7" s="35" t="n">
        <v>21</v>
      </c>
      <c r="B7" s="35" t="n">
        <v>3</v>
      </c>
      <c r="C7" s="33" t="n">
        <v>46233</v>
      </c>
      <c r="D7" s="33" t="n">
        <v>46298</v>
      </c>
      <c r="E7" s="38" t="n">
        <v>2.58554708725553</v>
      </c>
      <c r="F7" s="36" t="n">
        <v>0.456915059506357</v>
      </c>
      <c r="G7" s="36" t="n">
        <v>0.253256611575352</v>
      </c>
      <c r="H7" s="36" t="n">
        <v>0.477096611316835</v>
      </c>
      <c r="I7" s="36" t="n">
        <v>0.507634348137655</v>
      </c>
      <c r="J7" s="38" t="n">
        <v>10.1051167520442</v>
      </c>
      <c r="K7" s="38" t="n">
        <v>4.80556631553204</v>
      </c>
    </row>
    <row r="8" customFormat="false" ht="18.75" hidden="false" customHeight="true" outlineLevel="0" collapsed="false">
      <c r="A8" s="42" t="n">
        <v>29</v>
      </c>
      <c r="B8" s="42" t="n">
        <v>10</v>
      </c>
      <c r="C8" s="40" t="n">
        <v>46302</v>
      </c>
      <c r="D8" s="40" t="n">
        <v>46302</v>
      </c>
      <c r="E8" s="45" t="n">
        <v>2.59992424497484</v>
      </c>
      <c r="F8" s="43" t="n">
        <v>0.492525538119847</v>
      </c>
      <c r="G8" s="43" t="n">
        <v>0.244725029387942</v>
      </c>
      <c r="H8" s="43" t="n">
        <v>0.480112410818389</v>
      </c>
      <c r="I8" s="43" t="n">
        <v>0.493802607534378</v>
      </c>
      <c r="J8" s="45" t="n">
        <v>10.0965792062095</v>
      </c>
      <c r="K8" s="45" t="n">
        <v>5.10212221801759</v>
      </c>
    </row>
    <row r="9" customFormat="false" ht="18.75" hidden="false" customHeight="true" outlineLevel="0" collapsed="false">
      <c r="A9" s="35" t="n">
        <v>30</v>
      </c>
      <c r="B9" s="35" t="n">
        <v>10</v>
      </c>
      <c r="C9" s="33" t="n">
        <v>46306</v>
      </c>
      <c r="D9" s="33" t="n">
        <v>46306</v>
      </c>
      <c r="E9" s="38" t="n">
        <v>2.59411461488118</v>
      </c>
      <c r="F9" s="36" t="n">
        <v>0.47836107828348</v>
      </c>
      <c r="G9" s="36" t="n">
        <v>0.245894892109948</v>
      </c>
      <c r="H9" s="36" t="n">
        <v>0.478826321533293</v>
      </c>
      <c r="I9" s="36" t="n">
        <v>0.495190621177552</v>
      </c>
      <c r="J9" s="38" t="n">
        <v>10.0876270649649</v>
      </c>
      <c r="K9" s="38" t="n">
        <v>5.16303112099218</v>
      </c>
    </row>
    <row r="10" customFormat="false" ht="18.75" hidden="false" customHeight="true" outlineLevel="0" collapsed="false">
      <c r="A10" s="42" t="n">
        <v>31</v>
      </c>
      <c r="B10" s="42" t="n">
        <v>10</v>
      </c>
      <c r="C10" s="40" t="n">
        <v>46313</v>
      </c>
      <c r="D10" s="40" t="n">
        <v>46313</v>
      </c>
      <c r="E10" s="45" t="n">
        <v>2.60413492086213</v>
      </c>
      <c r="F10" s="43" t="n">
        <v>0.484411529855185</v>
      </c>
      <c r="G10" s="43" t="n">
        <v>0.243687978426808</v>
      </c>
      <c r="H10" s="43" t="n">
        <v>0.481014551824153</v>
      </c>
      <c r="I10" s="43" t="n">
        <v>0.492736643388308</v>
      </c>
      <c r="J10" s="45" t="n">
        <v>10.1027173071736</v>
      </c>
      <c r="K10" s="45" t="n">
        <v>5.16323283246824</v>
      </c>
    </row>
    <row r="11" customFormat="false" ht="18.75" hidden="false" customHeight="true" outlineLevel="0" collapsed="false">
      <c r="A11" s="35" t="n">
        <v>32</v>
      </c>
      <c r="B11" s="35" t="n">
        <v>10</v>
      </c>
      <c r="C11" s="33" t="n">
        <v>46320</v>
      </c>
      <c r="D11" s="33" t="n">
        <v>46320</v>
      </c>
      <c r="E11" s="38" t="n">
        <v>2.58892425164684</v>
      </c>
      <c r="F11" s="36" t="n">
        <v>0.469877050643921</v>
      </c>
      <c r="G11" s="36" t="n">
        <v>0.245992031789296</v>
      </c>
      <c r="H11" s="36" t="n">
        <v>0.478165420646433</v>
      </c>
      <c r="I11" s="36" t="n">
        <v>0.494512850188534</v>
      </c>
      <c r="J11" s="38" t="n">
        <v>10.1100068181901</v>
      </c>
      <c r="K11" s="38" t="n">
        <v>5.1210666847012</v>
      </c>
    </row>
    <row r="12" customFormat="false" ht="18.75" hidden="false" customHeight="true" outlineLevel="0" collapsed="false">
      <c r="A12" s="42" t="n">
        <v>33</v>
      </c>
      <c r="B12" s="42" t="n">
        <v>10</v>
      </c>
      <c r="C12" s="40" t="n">
        <v>46323</v>
      </c>
      <c r="D12" s="40" t="n">
        <v>46323</v>
      </c>
      <c r="E12" s="45" t="n">
        <v>2.55613665176257</v>
      </c>
      <c r="F12" s="43" t="n">
        <v>0.418638832238852</v>
      </c>
      <c r="G12" s="43" t="n">
        <v>0.25435251113489</v>
      </c>
      <c r="H12" s="43" t="n">
        <v>0.469393113078967</v>
      </c>
      <c r="I12" s="43" t="n">
        <v>0.49937329980792</v>
      </c>
      <c r="J12" s="45" t="n">
        <v>9.96799159738588</v>
      </c>
      <c r="K12" s="45" t="n">
        <v>5.12535298005523</v>
      </c>
    </row>
    <row r="13" customFormat="false" ht="18.75" hidden="false" customHeight="true" outlineLevel="0" collapsed="false">
      <c r="A13" s="35" t="n">
        <v>34</v>
      </c>
      <c r="B13" s="35" t="n">
        <v>10</v>
      </c>
      <c r="C13" s="33" t="n">
        <v>46330</v>
      </c>
      <c r="D13" s="33" t="n">
        <v>46330</v>
      </c>
      <c r="E13" s="38" t="n">
        <v>2.64719547533269</v>
      </c>
      <c r="F13" s="36" t="n">
        <v>0.516911436413474</v>
      </c>
      <c r="G13" s="36" t="n">
        <v>0.235394684473508</v>
      </c>
      <c r="H13" s="36" t="n">
        <v>0.490977420160456</v>
      </c>
      <c r="I13" s="36" t="n">
        <v>0.487072369904775</v>
      </c>
      <c r="J13" s="38" t="n">
        <v>10.2435085375841</v>
      </c>
      <c r="K13" s="38" t="n">
        <v>5.15354318403716</v>
      </c>
    </row>
    <row r="14" customFormat="false" ht="18.75" hidden="false" customHeight="true" outlineLevel="0" collapsed="false">
      <c r="A14" s="42" t="n">
        <v>35</v>
      </c>
      <c r="B14" s="42" t="n">
        <v>10</v>
      </c>
      <c r="C14" s="40" t="n">
        <v>46344</v>
      </c>
      <c r="D14" s="40" t="n">
        <v>46344</v>
      </c>
      <c r="E14" s="45" t="n">
        <v>2.55145038574179</v>
      </c>
      <c r="F14" s="43" t="n">
        <v>0.449906000337538</v>
      </c>
      <c r="G14" s="43" t="n">
        <v>0.256761958756198</v>
      </c>
      <c r="H14" s="43" t="n">
        <v>0.467724212730181</v>
      </c>
      <c r="I14" s="43" t="n">
        <v>0.500848861066954</v>
      </c>
      <c r="J14" s="45" t="n">
        <v>9.95386313740955</v>
      </c>
      <c r="K14" s="45" t="n">
        <v>5.17156643640635</v>
      </c>
    </row>
    <row r="15" customFormat="false" ht="18.75" hidden="false" customHeight="true" outlineLevel="0" collapsed="false">
      <c r="A15" s="35" t="n">
        <v>36</v>
      </c>
      <c r="B15" s="35" t="n">
        <v>10</v>
      </c>
      <c r="C15" s="33" t="n">
        <v>46348</v>
      </c>
      <c r="D15" s="33" t="n">
        <v>46348</v>
      </c>
      <c r="E15" s="38" t="n">
        <v>2.58887996202646</v>
      </c>
      <c r="F15" s="36" t="n">
        <v>0.496586786617682</v>
      </c>
      <c r="G15" s="36" t="n">
        <v>0.246190441850959</v>
      </c>
      <c r="H15" s="36" t="n">
        <v>0.47753152712471</v>
      </c>
      <c r="I15" s="36" t="n">
        <v>0.494641432943312</v>
      </c>
      <c r="J15" s="38" t="n">
        <v>10.1520424067432</v>
      </c>
      <c r="K15" s="38" t="n">
        <v>5.12731368525515</v>
      </c>
    </row>
    <row r="16" customFormat="false" ht="18.75" hidden="false" customHeight="true" outlineLevel="0" collapsed="false">
      <c r="A16" s="42" t="n">
        <v>37</v>
      </c>
      <c r="B16" s="42" t="n">
        <v>10</v>
      </c>
      <c r="C16" s="40" t="n">
        <v>46355</v>
      </c>
      <c r="D16" s="40" t="n">
        <v>46355</v>
      </c>
      <c r="E16" s="45" t="n">
        <v>2.59351880837275</v>
      </c>
      <c r="F16" s="43" t="n">
        <v>0.434506538874062</v>
      </c>
      <c r="G16" s="43" t="n">
        <v>0.244995251622145</v>
      </c>
      <c r="H16" s="43" t="n">
        <v>0.478830646171738</v>
      </c>
      <c r="I16" s="43" t="n">
        <v>0.493772364522514</v>
      </c>
      <c r="J16" s="45" t="n">
        <v>10.1176701106533</v>
      </c>
      <c r="K16" s="45" t="n">
        <v>5.16864141165863</v>
      </c>
    </row>
    <row r="17" customFormat="false" ht="18.75" hidden="false" customHeight="true" outlineLevel="0" collapsed="false">
      <c r="A17" s="35" t="n">
        <v>38</v>
      </c>
      <c r="B17" s="35" t="n">
        <v>10</v>
      </c>
      <c r="C17" s="33" t="n">
        <v>46358</v>
      </c>
      <c r="D17" s="33" t="n">
        <v>46358</v>
      </c>
      <c r="E17" s="38" t="n">
        <v>2.6619882436767</v>
      </c>
      <c r="F17" s="36" t="n">
        <v>0.512043661383368</v>
      </c>
      <c r="G17" s="36" t="n">
        <v>0.236379089643013</v>
      </c>
      <c r="H17" s="36" t="n">
        <v>0.492322832767619</v>
      </c>
      <c r="I17" s="36" t="n">
        <v>0.486006856745509</v>
      </c>
      <c r="J17" s="38" t="n">
        <v>10.167583042042</v>
      </c>
      <c r="K17" s="38" t="n">
        <v>5.12707094364396</v>
      </c>
    </row>
    <row r="18" customFormat="false" ht="19.5" hidden="false" customHeight="true" outlineLevel="0" collapsed="false">
      <c r="A18" s="46" t="s">
        <v>121</v>
      </c>
      <c r="B18" s="46" t="n">
        <f aca="false">SUM(B7:B17)</f>
        <v>103</v>
      </c>
      <c r="C18" s="46"/>
      <c r="D18" s="46"/>
      <c r="E18" s="47" t="n">
        <f aca="false">AVERAGE(E7:E17)</f>
        <v>2.59743769513941</v>
      </c>
      <c r="F18" s="48" t="n">
        <f aca="false">AVERAGE(F7:F17)</f>
        <v>0.473698501115797</v>
      </c>
      <c r="G18" s="48" t="n">
        <f aca="false">AVERAGE(G7:G17)</f>
        <v>0.246148225524551</v>
      </c>
      <c r="H18" s="48" t="n">
        <f aca="false">AVERAGE(H7:H17)</f>
        <v>0.479272278924797</v>
      </c>
      <c r="I18" s="48" t="n">
        <f aca="false">AVERAGE(I7:I17)</f>
        <v>0.495053841401583</v>
      </c>
      <c r="J18" s="47" t="n">
        <f aca="false">AVERAGE(J7:J17)</f>
        <v>10.1004278164</v>
      </c>
      <c r="K18" s="47" t="n">
        <f aca="false">AVERAGE(K7:K17)</f>
        <v>5.11168252843343</v>
      </c>
    </row>
    <row r="21" customFormat="false" ht="15" hidden="false" customHeight="false" outlineLevel="0" collapsed="false">
      <c r="A21" s="6" t="s">
        <v>122</v>
      </c>
    </row>
    <row r="22" customFormat="false" ht="19.5" hidden="false" customHeight="true" outlineLevel="0" collapsed="false">
      <c r="A22" s="25" t="s">
        <v>60</v>
      </c>
      <c r="B22" s="25"/>
      <c r="C22" s="25"/>
      <c r="D22" s="25"/>
      <c r="E22" s="25"/>
      <c r="F22" s="26" t="s">
        <v>61</v>
      </c>
      <c r="G22" s="26"/>
      <c r="H22" s="26"/>
      <c r="I22" s="26"/>
      <c r="J22" s="26"/>
      <c r="K22" s="26"/>
      <c r="L22" s="27" t="s">
        <v>62</v>
      </c>
      <c r="M22" s="27"/>
      <c r="N22" s="27"/>
      <c r="O22" s="49" t="s">
        <v>63</v>
      </c>
      <c r="P22" s="29" t="s">
        <v>64</v>
      </c>
      <c r="Q22" s="19" t="s">
        <v>65</v>
      </c>
      <c r="R22" s="30" t="s">
        <v>66</v>
      </c>
      <c r="S22" s="30"/>
      <c r="T22" s="30"/>
    </row>
    <row r="23" customFormat="false" ht="27.75" hidden="false" customHeight="true" outlineLevel="0" collapsed="false">
      <c r="A23" s="31" t="s">
        <v>67</v>
      </c>
      <c r="B23" s="31" t="s">
        <v>68</v>
      </c>
      <c r="C23" s="31" t="s">
        <v>123</v>
      </c>
      <c r="D23" s="31" t="s">
        <v>69</v>
      </c>
      <c r="E23" s="31" t="s">
        <v>70</v>
      </c>
      <c r="F23" s="31" t="s">
        <v>71</v>
      </c>
      <c r="G23" s="31" t="s">
        <v>72</v>
      </c>
      <c r="H23" s="31" t="s">
        <v>74</v>
      </c>
      <c r="I23" s="31" t="s">
        <v>76</v>
      </c>
      <c r="J23" s="31" t="s">
        <v>77</v>
      </c>
      <c r="K23" s="31" t="s">
        <v>124</v>
      </c>
      <c r="L23" s="31" t="s">
        <v>78</v>
      </c>
      <c r="M23" s="31" t="s">
        <v>79</v>
      </c>
      <c r="N23" s="31" t="s">
        <v>75</v>
      </c>
      <c r="O23" s="31" t="s">
        <v>120</v>
      </c>
      <c r="P23" s="31" t="s">
        <v>33</v>
      </c>
      <c r="Q23" s="31" t="s">
        <v>35</v>
      </c>
      <c r="R23" s="31" t="s">
        <v>81</v>
      </c>
      <c r="S23" s="31" t="s">
        <v>82</v>
      </c>
      <c r="T23" s="31" t="s">
        <v>75</v>
      </c>
    </row>
    <row r="24" customFormat="false" ht="18.75" hidden="false" customHeight="true" outlineLevel="0" collapsed="false">
      <c r="A24" s="35" t="n">
        <v>21</v>
      </c>
      <c r="B24" s="33" t="n">
        <v>46233</v>
      </c>
      <c r="C24" s="50" t="s">
        <v>125</v>
      </c>
      <c r="D24" s="34" t="s">
        <v>83</v>
      </c>
      <c r="E24" s="34" t="s">
        <v>84</v>
      </c>
      <c r="F24" s="35" t="s">
        <v>77</v>
      </c>
      <c r="G24" s="32" t="s">
        <v>85</v>
      </c>
      <c r="H24" s="36" t="n">
        <v>0.354223598922765</v>
      </c>
      <c r="I24" s="36" t="n">
        <v>0.248614935152616</v>
      </c>
      <c r="J24" s="36" t="n">
        <v>0.397161465924619</v>
      </c>
      <c r="K24" s="37" t="n">
        <f aca="false">IFERROR(1/MAX(H24:J24),"")</f>
        <v>2.51786763268167</v>
      </c>
      <c r="L24" s="38" t="n">
        <v>2.82107809802343</v>
      </c>
      <c r="M24" s="36" t="n">
        <v>0.535556794079534</v>
      </c>
      <c r="N24" s="37" t="n">
        <f aca="false">IFERROR(1/M24,"")</f>
        <v>1.86721559889593</v>
      </c>
      <c r="O24" s="36" t="n">
        <v>0.569578573025788</v>
      </c>
      <c r="P24" s="38" t="n">
        <v>8.96696519457963</v>
      </c>
      <c r="Q24" s="38" t="n">
        <v>3.54910339041569</v>
      </c>
      <c r="R24" s="34" t="s">
        <v>86</v>
      </c>
      <c r="S24" s="36" t="n">
        <v>0.786226646197878</v>
      </c>
      <c r="T24" s="37" t="n">
        <f aca="false">IFERROR(1/S24,"")</f>
        <v>1.27189787427825</v>
      </c>
    </row>
    <row r="25" customFormat="false" ht="18.75" hidden="false" customHeight="true" outlineLevel="0" collapsed="false">
      <c r="A25" s="42" t="n">
        <v>21</v>
      </c>
      <c r="B25" s="40" t="n">
        <v>46297</v>
      </c>
      <c r="C25" s="51" t="s">
        <v>126</v>
      </c>
      <c r="D25" s="41" t="s">
        <v>87</v>
      </c>
      <c r="E25" s="41" t="s">
        <v>88</v>
      </c>
      <c r="F25" s="42" t="s">
        <v>74</v>
      </c>
      <c r="G25" s="39" t="s">
        <v>89</v>
      </c>
      <c r="H25" s="43" t="n">
        <v>0.503638893384442</v>
      </c>
      <c r="I25" s="43" t="n">
        <v>0.258438234314728</v>
      </c>
      <c r="J25" s="43" t="n">
        <v>0.237922872300829</v>
      </c>
      <c r="K25" s="44" t="n">
        <f aca="false">IFERROR(1/MAX(H25:J25),"")</f>
        <v>1.9855495934399</v>
      </c>
      <c r="L25" s="45" t="n">
        <v>2.43225779465202</v>
      </c>
      <c r="M25" s="43" t="n">
        <v>0.43869710859524</v>
      </c>
      <c r="N25" s="44" t="n">
        <f aca="false">IFERROR(1/M25,"")</f>
        <v>2.27947707064247</v>
      </c>
      <c r="O25" s="43" t="n">
        <v>0.470377121587554</v>
      </c>
      <c r="P25" s="45" t="n">
        <v>10.4588058147705</v>
      </c>
      <c r="Q25" s="45" t="n">
        <v>5.43315107272989</v>
      </c>
      <c r="R25" s="41" t="s">
        <v>86</v>
      </c>
      <c r="S25" s="43" t="n">
        <v>0.813649995185065</v>
      </c>
      <c r="T25" s="44" t="n">
        <f aca="false">IFERROR(1/S25,"")</f>
        <v>1.22902968833982</v>
      </c>
    </row>
    <row r="26" customFormat="false" ht="18.75" hidden="false" customHeight="true" outlineLevel="0" collapsed="false">
      <c r="A26" s="35" t="n">
        <v>21</v>
      </c>
      <c r="B26" s="33" t="n">
        <v>46298</v>
      </c>
      <c r="C26" s="50" t="s">
        <v>126</v>
      </c>
      <c r="D26" s="34" t="s">
        <v>90</v>
      </c>
      <c r="E26" s="34" t="s">
        <v>91</v>
      </c>
      <c r="F26" s="35" t="s">
        <v>74</v>
      </c>
      <c r="G26" s="32" t="s">
        <v>89</v>
      </c>
      <c r="H26" s="36" t="n">
        <v>0.512882686211862</v>
      </c>
      <c r="I26" s="36" t="n">
        <v>0.252716665258713</v>
      </c>
      <c r="J26" s="36" t="n">
        <v>0.234400648529425</v>
      </c>
      <c r="K26" s="37" t="n">
        <f aca="false">IFERROR(1/MAX(H26:J26),"")</f>
        <v>1.94976361433835</v>
      </c>
      <c r="L26" s="38" t="n">
        <v>2.50330536909114</v>
      </c>
      <c r="M26" s="36" t="n">
        <v>0.457035931275731</v>
      </c>
      <c r="N26" s="37" t="n">
        <f aca="false">IFERROR(1/M26,"")</f>
        <v>2.1880117766861</v>
      </c>
      <c r="O26" s="36" t="n">
        <v>0.482947349799624</v>
      </c>
      <c r="P26" s="38" t="n">
        <v>10.8895792467825</v>
      </c>
      <c r="Q26" s="38" t="n">
        <v>5.43444448345054</v>
      </c>
      <c r="R26" s="34" t="s">
        <v>86</v>
      </c>
      <c r="S26" s="36" t="n">
        <v>0.810342857188946</v>
      </c>
      <c r="T26" s="37" t="n">
        <f aca="false">IFERROR(1/S26,"")</f>
        <v>1.23404555383997</v>
      </c>
    </row>
    <row r="27" customFormat="false" ht="18.75" hidden="false" customHeight="true" outlineLevel="0" collapsed="false">
      <c r="A27" s="42" t="n">
        <v>29</v>
      </c>
      <c r="B27" s="40" t="n">
        <v>46302</v>
      </c>
      <c r="C27" s="51" t="s">
        <v>126</v>
      </c>
      <c r="D27" s="41" t="s">
        <v>92</v>
      </c>
      <c r="E27" s="41" t="s">
        <v>90</v>
      </c>
      <c r="F27" s="42" t="s">
        <v>74</v>
      </c>
      <c r="G27" s="39" t="s">
        <v>89</v>
      </c>
      <c r="H27" s="43" t="n">
        <v>0.45587463984214</v>
      </c>
      <c r="I27" s="43" t="n">
        <v>0.268513430487424</v>
      </c>
      <c r="J27" s="43" t="n">
        <v>0.275611929670436</v>
      </c>
      <c r="K27" s="44" t="n">
        <f aca="false">IFERROR(1/MAX(H27:J27),"")</f>
        <v>2.19358550049259</v>
      </c>
      <c r="L27" s="45" t="n">
        <v>2.38637580265828</v>
      </c>
      <c r="M27" s="43" t="n">
        <v>0.426728192318324</v>
      </c>
      <c r="N27" s="44" t="n">
        <f aca="false">IFERROR(1/M27,"")</f>
        <v>2.34341207822997</v>
      </c>
      <c r="O27" s="43" t="n">
        <v>0.473378218688515</v>
      </c>
      <c r="P27" s="45" t="n">
        <v>10.1284020610985</v>
      </c>
      <c r="Q27" s="45" t="n">
        <v>4.97971812853437</v>
      </c>
      <c r="R27" s="41" t="s">
        <v>86</v>
      </c>
      <c r="S27" s="43" t="n">
        <v>0.815370185648016</v>
      </c>
      <c r="T27" s="44" t="n">
        <f aca="false">IFERROR(1/S27,"")</f>
        <v>1.22643679840372</v>
      </c>
    </row>
    <row r="28" customFormat="false" ht="18.75" hidden="false" customHeight="true" outlineLevel="0" collapsed="false">
      <c r="A28" s="35" t="n">
        <v>29</v>
      </c>
      <c r="B28" s="33" t="n">
        <v>46302</v>
      </c>
      <c r="C28" s="50" t="s">
        <v>126</v>
      </c>
      <c r="D28" s="34" t="s">
        <v>93</v>
      </c>
      <c r="E28" s="34" t="s">
        <v>84</v>
      </c>
      <c r="F28" s="35" t="s">
        <v>74</v>
      </c>
      <c r="G28" s="32" t="s">
        <v>89</v>
      </c>
      <c r="H28" s="36" t="n">
        <v>0.596488740691601</v>
      </c>
      <c r="I28" s="36" t="n">
        <v>0.216740464328827</v>
      </c>
      <c r="J28" s="36" t="n">
        <v>0.186770794979572</v>
      </c>
      <c r="K28" s="37" t="n">
        <f aca="false">IFERROR(1/MAX(H28:J28),"")</f>
        <v>1.67647757917533</v>
      </c>
      <c r="L28" s="38" t="n">
        <v>2.87554924158609</v>
      </c>
      <c r="M28" s="36" t="n">
        <v>0.548367548110498</v>
      </c>
      <c r="N28" s="37" t="n">
        <f aca="false">IFERROR(1/M28,"")</f>
        <v>1.82359441846201</v>
      </c>
      <c r="O28" s="36" t="n">
        <v>0.525980197558623</v>
      </c>
      <c r="P28" s="38" t="n">
        <v>8.6546410912878</v>
      </c>
      <c r="Q28" s="38" t="n">
        <v>4.78536048681559</v>
      </c>
      <c r="R28" s="34" t="s">
        <v>94</v>
      </c>
      <c r="S28" s="36" t="n">
        <v>0.813229205020428</v>
      </c>
      <c r="T28" s="37" t="n">
        <f aca="false">IFERROR(1/S28,"")</f>
        <v>1.22966562664812</v>
      </c>
    </row>
    <row r="29" customFormat="false" ht="18.75" hidden="false" customHeight="true" outlineLevel="0" collapsed="false">
      <c r="A29" s="42" t="n">
        <v>29</v>
      </c>
      <c r="B29" s="40" t="n">
        <v>46302</v>
      </c>
      <c r="C29" s="51" t="s">
        <v>126</v>
      </c>
      <c r="D29" s="41" t="s">
        <v>91</v>
      </c>
      <c r="E29" s="41" t="s">
        <v>95</v>
      </c>
      <c r="F29" s="42" t="s">
        <v>74</v>
      </c>
      <c r="G29" s="39" t="s">
        <v>85</v>
      </c>
      <c r="H29" s="43" t="n">
        <v>0.429158576156502</v>
      </c>
      <c r="I29" s="43" t="n">
        <v>0.256552259128917</v>
      </c>
      <c r="J29" s="43" t="n">
        <v>0.314289164714581</v>
      </c>
      <c r="K29" s="44" t="n">
        <f aca="false">IFERROR(1/MAX(H29:J29),"")</f>
        <v>2.33014101443782</v>
      </c>
      <c r="L29" s="45" t="n">
        <v>2.63595859955331</v>
      </c>
      <c r="M29" s="43" t="n">
        <v>0.49056055220963</v>
      </c>
      <c r="N29" s="44" t="n">
        <f aca="false">IFERROR(1/M29,"")</f>
        <v>2.0384843328631</v>
      </c>
      <c r="O29" s="43" t="n">
        <v>0.53075408371458</v>
      </c>
      <c r="P29" s="45" t="n">
        <v>11.7740050779633</v>
      </c>
      <c r="Q29" s="45" t="n">
        <v>4.85508897566538</v>
      </c>
      <c r="R29" s="41" t="s">
        <v>86</v>
      </c>
      <c r="S29" s="43" t="n">
        <v>0.802088020653686</v>
      </c>
      <c r="T29" s="44" t="n">
        <f aca="false">IFERROR(1/S29,"")</f>
        <v>1.2467459608548</v>
      </c>
    </row>
    <row r="30" customFormat="false" ht="18.75" hidden="false" customHeight="true" outlineLevel="0" collapsed="false">
      <c r="A30" s="35" t="n">
        <v>29</v>
      </c>
      <c r="B30" s="33" t="n">
        <v>46302</v>
      </c>
      <c r="C30" s="50" t="s">
        <v>126</v>
      </c>
      <c r="D30" s="34" t="s">
        <v>96</v>
      </c>
      <c r="E30" s="34" t="s">
        <v>87</v>
      </c>
      <c r="F30" s="35" t="s">
        <v>74</v>
      </c>
      <c r="G30" s="32" t="s">
        <v>89</v>
      </c>
      <c r="H30" s="36" t="n">
        <v>0.480814742760228</v>
      </c>
      <c r="I30" s="36" t="n">
        <v>0.27931563641294</v>
      </c>
      <c r="J30" s="36" t="n">
        <v>0.239869620826833</v>
      </c>
      <c r="K30" s="37" t="n">
        <f aca="false">IFERROR(1/MAX(H30:J30),"")</f>
        <v>2.07980311556021</v>
      </c>
      <c r="L30" s="38" t="n">
        <v>2.17259520529156</v>
      </c>
      <c r="M30" s="36" t="n">
        <v>0.369929389925032</v>
      </c>
      <c r="N30" s="37" t="n">
        <f aca="false">IFERROR(1/M30,"")</f>
        <v>2.70321857963936</v>
      </c>
      <c r="O30" s="36" t="n">
        <v>0.417813967122782</v>
      </c>
      <c r="P30" s="38" t="n">
        <v>10.284274701906</v>
      </c>
      <c r="Q30" s="38" t="n">
        <v>5.72264311342322</v>
      </c>
      <c r="R30" s="34" t="s">
        <v>97</v>
      </c>
      <c r="S30" s="36" t="n">
        <v>0.824713901131381</v>
      </c>
      <c r="T30" s="37" t="n">
        <f aca="false">IFERROR(1/S30,"")</f>
        <v>1.21254170522426</v>
      </c>
    </row>
    <row r="31" customFormat="false" ht="18.75" hidden="false" customHeight="true" outlineLevel="0" collapsed="false">
      <c r="A31" s="42" t="n">
        <v>29</v>
      </c>
      <c r="B31" s="40" t="n">
        <v>46302</v>
      </c>
      <c r="C31" s="51" t="s">
        <v>126</v>
      </c>
      <c r="D31" s="41" t="s">
        <v>98</v>
      </c>
      <c r="E31" s="41" t="s">
        <v>99</v>
      </c>
      <c r="F31" s="42" t="s">
        <v>74</v>
      </c>
      <c r="G31" s="39" t="s">
        <v>89</v>
      </c>
      <c r="H31" s="43" t="n">
        <v>0.627227752522016</v>
      </c>
      <c r="I31" s="43" t="n">
        <v>0.210393608813374</v>
      </c>
      <c r="J31" s="43" t="n">
        <v>0.16237863866461</v>
      </c>
      <c r="K31" s="44" t="n">
        <f aca="false">IFERROR(1/MAX(H31:J31),"")</f>
        <v>1.59431720930572</v>
      </c>
      <c r="L31" s="45" t="n">
        <v>2.82064264752163</v>
      </c>
      <c r="M31" s="43" t="n">
        <v>0.535463747849238</v>
      </c>
      <c r="N31" s="44" t="n">
        <f aca="false">IFERROR(1/M31,"")</f>
        <v>1.8675400603993</v>
      </c>
      <c r="O31" s="43" t="n">
        <v>0.497700426210343</v>
      </c>
      <c r="P31" s="45" t="n">
        <v>10.0399093519217</v>
      </c>
      <c r="Q31" s="45" t="n">
        <v>5.23023835475631</v>
      </c>
      <c r="R31" s="41" t="s">
        <v>94</v>
      </c>
      <c r="S31" s="43" t="n">
        <v>0.83762136133539</v>
      </c>
      <c r="T31" s="44" t="n">
        <f aca="false">IFERROR(1/S31,"")</f>
        <v>1.19385685007571</v>
      </c>
    </row>
    <row r="32" customFormat="false" ht="18.75" hidden="false" customHeight="true" outlineLevel="0" collapsed="false">
      <c r="A32" s="35" t="n">
        <v>29</v>
      </c>
      <c r="B32" s="33" t="n">
        <v>46302</v>
      </c>
      <c r="C32" s="50" t="s">
        <v>126</v>
      </c>
      <c r="D32" s="34" t="s">
        <v>100</v>
      </c>
      <c r="E32" s="34" t="s">
        <v>101</v>
      </c>
      <c r="F32" s="35" t="s">
        <v>74</v>
      </c>
      <c r="G32" s="32" t="s">
        <v>89</v>
      </c>
      <c r="H32" s="36" t="n">
        <v>0.461683183401895</v>
      </c>
      <c r="I32" s="36" t="n">
        <v>0.276778128596004</v>
      </c>
      <c r="J32" s="36" t="n">
        <v>0.2615386880021</v>
      </c>
      <c r="K32" s="37" t="n">
        <f aca="false">IFERROR(1/MAX(H32:J32),"")</f>
        <v>2.16598749088398</v>
      </c>
      <c r="L32" s="38" t="n">
        <v>2.25013883106034</v>
      </c>
      <c r="M32" s="36" t="n">
        <v>0.390698117785273</v>
      </c>
      <c r="N32" s="37" t="n">
        <f aca="false">IFERROR(1/M32,"")</f>
        <v>2.55952090496018</v>
      </c>
      <c r="O32" s="36" t="n">
        <v>0.44128954688148</v>
      </c>
      <c r="P32" s="38" t="n">
        <v>9.77931714094829</v>
      </c>
      <c r="Q32" s="38" t="n">
        <v>6.10414361767881</v>
      </c>
      <c r="R32" s="34" t="s">
        <v>86</v>
      </c>
      <c r="S32" s="36" t="n">
        <v>0.818101938553411</v>
      </c>
      <c r="T32" s="37" t="n">
        <f aca="false">IFERROR(1/S32,"")</f>
        <v>1.22234156023176</v>
      </c>
    </row>
    <row r="33" customFormat="false" ht="18.75" hidden="false" customHeight="true" outlineLevel="0" collapsed="false">
      <c r="A33" s="42" t="n">
        <v>29</v>
      </c>
      <c r="B33" s="40" t="n">
        <v>46302</v>
      </c>
      <c r="C33" s="51" t="s">
        <v>126</v>
      </c>
      <c r="D33" s="41" t="s">
        <v>102</v>
      </c>
      <c r="E33" s="41" t="s">
        <v>103</v>
      </c>
      <c r="F33" s="42" t="s">
        <v>74</v>
      </c>
      <c r="G33" s="39" t="s">
        <v>89</v>
      </c>
      <c r="H33" s="43" t="n">
        <v>0.656706758754522</v>
      </c>
      <c r="I33" s="43" t="n">
        <v>0.203863112994046</v>
      </c>
      <c r="J33" s="43" t="n">
        <v>0.139430128251431</v>
      </c>
      <c r="K33" s="44" t="n">
        <f aca="false">IFERROR(1/MAX(H33:J33),"")</f>
        <v>1.52274966972557</v>
      </c>
      <c r="L33" s="45" t="n">
        <v>2.75170859087279</v>
      </c>
      <c r="M33" s="43" t="n">
        <v>0.518969190642772</v>
      </c>
      <c r="N33" s="44" t="n">
        <f aca="false">IFERROR(1/M33,"")</f>
        <v>1.92689665982184</v>
      </c>
      <c r="O33" s="43" t="n">
        <v>0.463688511809297</v>
      </c>
      <c r="P33" s="45" t="n">
        <v>10.8787237597712</v>
      </c>
      <c r="Q33" s="45" t="n">
        <v>5.24379994482567</v>
      </c>
      <c r="R33" s="41" t="s">
        <v>94</v>
      </c>
      <c r="S33" s="43" t="n">
        <v>0.860569871748569</v>
      </c>
      <c r="T33" s="44" t="n">
        <f aca="false">IFERROR(1/S33,"")</f>
        <v>1.16202069445927</v>
      </c>
    </row>
    <row r="34" customFormat="false" ht="18.75" hidden="false" customHeight="true" outlineLevel="0" collapsed="false">
      <c r="A34" s="35" t="n">
        <v>29</v>
      </c>
      <c r="B34" s="33" t="n">
        <v>46302</v>
      </c>
      <c r="C34" s="50" t="s">
        <v>126</v>
      </c>
      <c r="D34" s="34" t="s">
        <v>104</v>
      </c>
      <c r="E34" s="34" t="s">
        <v>105</v>
      </c>
      <c r="F34" s="35" t="s">
        <v>74</v>
      </c>
      <c r="G34" s="32" t="s">
        <v>85</v>
      </c>
      <c r="H34" s="36" t="n">
        <v>0.38071817580899</v>
      </c>
      <c r="I34" s="36" t="n">
        <v>0.251940433053161</v>
      </c>
      <c r="J34" s="36" t="n">
        <v>0.367341391137849</v>
      </c>
      <c r="K34" s="37" t="n">
        <f aca="false">IFERROR(1/MAX(H34:J34),"")</f>
        <v>2.62661481258439</v>
      </c>
      <c r="L34" s="38" t="n">
        <v>2.76212234300787</v>
      </c>
      <c r="M34" s="36" t="n">
        <v>0.521469668631917</v>
      </c>
      <c r="N34" s="37" t="n">
        <f aca="false">IFERROR(1/M34,"")</f>
        <v>1.9176570760549</v>
      </c>
      <c r="O34" s="36" t="n">
        <v>0.55906624068683</v>
      </c>
      <c r="P34" s="38" t="n">
        <v>10.227620453694</v>
      </c>
      <c r="Q34" s="38" t="n">
        <v>4.45436102424196</v>
      </c>
      <c r="R34" s="34" t="s">
        <v>86</v>
      </c>
      <c r="S34" s="36" t="n">
        <v>0.791783810720465</v>
      </c>
      <c r="T34" s="37" t="n">
        <f aca="false">IFERROR(1/S34,"")</f>
        <v>1.26297101110223</v>
      </c>
    </row>
    <row r="35" customFormat="false" ht="18.75" hidden="false" customHeight="true" outlineLevel="0" collapsed="false">
      <c r="A35" s="42" t="n">
        <v>29</v>
      </c>
      <c r="B35" s="40" t="n">
        <v>46302</v>
      </c>
      <c r="C35" s="51" t="s">
        <v>126</v>
      </c>
      <c r="D35" s="41" t="s">
        <v>88</v>
      </c>
      <c r="E35" s="41" t="s">
        <v>8</v>
      </c>
      <c r="F35" s="42" t="s">
        <v>77</v>
      </c>
      <c r="G35" s="39" t="s">
        <v>85</v>
      </c>
      <c r="H35" s="43" t="n">
        <v>0.274557353862132</v>
      </c>
      <c r="I35" s="43" t="n">
        <v>0.247493001913276</v>
      </c>
      <c r="J35" s="43" t="n">
        <v>0.477949644224592</v>
      </c>
      <c r="K35" s="44" t="n">
        <f aca="false">IFERROR(1/MAX(H35:J35),"")</f>
        <v>2.09227062324183</v>
      </c>
      <c r="L35" s="45" t="n">
        <v>2.70985893209878</v>
      </c>
      <c r="M35" s="43" t="n">
        <v>0.508789222653078</v>
      </c>
      <c r="N35" s="44" t="n">
        <f aca="false">IFERROR(1/M35,"")</f>
        <v>1.96545043699139</v>
      </c>
      <c r="O35" s="43" t="n">
        <v>0.536357668838902</v>
      </c>
      <c r="P35" s="45" t="n">
        <v>9.9300821861279</v>
      </c>
      <c r="Q35" s="45" t="n">
        <v>5.24761972581536</v>
      </c>
      <c r="R35" s="41" t="s">
        <v>86</v>
      </c>
      <c r="S35" s="43" t="n">
        <v>0.796287111479944</v>
      </c>
      <c r="T35" s="44" t="n">
        <f aca="false">IFERROR(1/S35,"")</f>
        <v>1.25582843874171</v>
      </c>
    </row>
    <row r="36" customFormat="false" ht="18.75" hidden="false" customHeight="true" outlineLevel="0" collapsed="false">
      <c r="A36" s="35" t="n">
        <v>29</v>
      </c>
      <c r="B36" s="33" t="n">
        <v>46302</v>
      </c>
      <c r="C36" s="50" t="s">
        <v>126</v>
      </c>
      <c r="D36" s="34" t="s">
        <v>106</v>
      </c>
      <c r="E36" s="34" t="s">
        <v>83</v>
      </c>
      <c r="F36" s="35" t="s">
        <v>74</v>
      </c>
      <c r="G36" s="32" t="s">
        <v>89</v>
      </c>
      <c r="H36" s="36" t="n">
        <v>0.56202545739844</v>
      </c>
      <c r="I36" s="36" t="n">
        <v>0.23566021815145</v>
      </c>
      <c r="J36" s="36" t="n">
        <v>0.202314324450111</v>
      </c>
      <c r="K36" s="37" t="n">
        <f aca="false">IFERROR(1/MAX(H36:J36),"")</f>
        <v>1.77927883307796</v>
      </c>
      <c r="L36" s="38" t="n">
        <v>2.63429225609773</v>
      </c>
      <c r="M36" s="36" t="n">
        <v>0.490148478058131</v>
      </c>
      <c r="N36" s="37" t="n">
        <f aca="false">IFERROR(1/M36,"")</f>
        <v>2.04019811295099</v>
      </c>
      <c r="O36" s="36" t="n">
        <v>0.491997213832433</v>
      </c>
      <c r="P36" s="38" t="n">
        <v>9.26881623737676</v>
      </c>
      <c r="Q36" s="38" t="n">
        <v>4.3982488084192</v>
      </c>
      <c r="R36" s="34" t="s">
        <v>86</v>
      </c>
      <c r="S36" s="36" t="n">
        <v>0.802089784662631</v>
      </c>
      <c r="T36" s="37" t="n">
        <f aca="false">IFERROR(1/S36,"")</f>
        <v>1.24674321892856</v>
      </c>
    </row>
    <row r="37" customFormat="false" ht="18.75" hidden="false" customHeight="true" outlineLevel="0" collapsed="false">
      <c r="A37" s="42" t="n">
        <v>30</v>
      </c>
      <c r="B37" s="40" t="n">
        <v>46306</v>
      </c>
      <c r="C37" s="51" t="s">
        <v>126</v>
      </c>
      <c r="D37" s="41" t="s">
        <v>90</v>
      </c>
      <c r="E37" s="41" t="s">
        <v>88</v>
      </c>
      <c r="F37" s="42" t="s">
        <v>74</v>
      </c>
      <c r="G37" s="39" t="s">
        <v>89</v>
      </c>
      <c r="H37" s="43" t="n">
        <v>0.529167364969504</v>
      </c>
      <c r="I37" s="43" t="n">
        <v>0.244588057354094</v>
      </c>
      <c r="J37" s="43" t="n">
        <v>0.226244577676402</v>
      </c>
      <c r="K37" s="44" t="n">
        <f aca="false">IFERROR(1/MAX(H37:J37),"")</f>
        <v>1.88976128574677</v>
      </c>
      <c r="L37" s="45" t="n">
        <v>2.59763322826835</v>
      </c>
      <c r="M37" s="43" t="n">
        <v>0.480978376203953</v>
      </c>
      <c r="N37" s="44" t="n">
        <f aca="false">IFERROR(1/M37,"")</f>
        <v>2.07909554664878</v>
      </c>
      <c r="O37" s="43" t="n">
        <v>0.497539348904862</v>
      </c>
      <c r="P37" s="45" t="n">
        <v>10.2125920549214</v>
      </c>
      <c r="Q37" s="45" t="n">
        <v>5.32229968763781</v>
      </c>
      <c r="R37" s="41" t="s">
        <v>86</v>
      </c>
      <c r="S37" s="43" t="n">
        <v>0.804688998153705</v>
      </c>
      <c r="T37" s="44" t="n">
        <f aca="false">IFERROR(1/S37,"")</f>
        <v>1.24271613293387</v>
      </c>
    </row>
    <row r="38" customFormat="false" ht="18.75" hidden="false" customHeight="true" outlineLevel="0" collapsed="false">
      <c r="A38" s="35" t="n">
        <v>30</v>
      </c>
      <c r="B38" s="33" t="n">
        <v>46306</v>
      </c>
      <c r="C38" s="50" t="s">
        <v>126</v>
      </c>
      <c r="D38" s="34" t="s">
        <v>103</v>
      </c>
      <c r="E38" s="34" t="s">
        <v>95</v>
      </c>
      <c r="F38" s="35" t="s">
        <v>74</v>
      </c>
      <c r="G38" s="32" t="s">
        <v>85</v>
      </c>
      <c r="H38" s="36" t="n">
        <v>0.450704071466609</v>
      </c>
      <c r="I38" s="36" t="n">
        <v>0.247793005350548</v>
      </c>
      <c r="J38" s="36" t="n">
        <v>0.301502923182843</v>
      </c>
      <c r="K38" s="37" t="n">
        <f aca="false">IFERROR(1/MAX(H38:J38),"")</f>
        <v>2.21875075755575</v>
      </c>
      <c r="L38" s="38" t="n">
        <v>2.76798991420285</v>
      </c>
      <c r="M38" s="36" t="n">
        <v>0.522882745164768</v>
      </c>
      <c r="N38" s="37" t="n">
        <f aca="false">IFERROR(1/M38,"")</f>
        <v>1.9124746594667</v>
      </c>
      <c r="O38" s="36" t="n">
        <v>0.553460051456648</v>
      </c>
      <c r="P38" s="38" t="n">
        <v>11.0631399952655</v>
      </c>
      <c r="Q38" s="38" t="n">
        <v>4.89832132853144</v>
      </c>
      <c r="R38" s="34" t="s">
        <v>86</v>
      </c>
      <c r="S38" s="36" t="n">
        <v>0.791231278024327</v>
      </c>
      <c r="T38" s="37" t="n">
        <f aca="false">IFERROR(1/S38,"")</f>
        <v>1.26385296913054</v>
      </c>
    </row>
    <row r="39" customFormat="false" ht="18.75" hidden="false" customHeight="true" outlineLevel="0" collapsed="false">
      <c r="A39" s="42" t="n">
        <v>30</v>
      </c>
      <c r="B39" s="40" t="n">
        <v>46306</v>
      </c>
      <c r="C39" s="51" t="s">
        <v>126</v>
      </c>
      <c r="D39" s="41" t="s">
        <v>91</v>
      </c>
      <c r="E39" s="41" t="s">
        <v>96</v>
      </c>
      <c r="F39" s="42" t="s">
        <v>74</v>
      </c>
      <c r="G39" s="39" t="s">
        <v>85</v>
      </c>
      <c r="H39" s="43" t="n">
        <v>0.397247154704857</v>
      </c>
      <c r="I39" s="43" t="n">
        <v>0.279620246095401</v>
      </c>
      <c r="J39" s="43" t="n">
        <v>0.323132599199743</v>
      </c>
      <c r="K39" s="44" t="n">
        <f aca="false">IFERROR(1/MAX(H39:J39),"")</f>
        <v>2.51732451235043</v>
      </c>
      <c r="L39" s="45" t="n">
        <v>2.29919416921965</v>
      </c>
      <c r="M39" s="43" t="n">
        <v>0.403747665802002</v>
      </c>
      <c r="N39" s="44" t="n">
        <f aca="false">IFERROR(1/M39,"")</f>
        <v>2.47679450483907</v>
      </c>
      <c r="O39" s="43" t="n">
        <v>0.463473890042686</v>
      </c>
      <c r="P39" s="45" t="n">
        <v>10.8628628235375</v>
      </c>
      <c r="Q39" s="45" t="n">
        <v>5.98545363490173</v>
      </c>
      <c r="R39" s="41" t="s">
        <v>86</v>
      </c>
      <c r="S39" s="43" t="n">
        <v>0.817554706947522</v>
      </c>
      <c r="T39" s="44" t="n">
        <f aca="false">IFERROR(1/S39,"")</f>
        <v>1.22315973659263</v>
      </c>
    </row>
    <row r="40" customFormat="false" ht="18.75" hidden="false" customHeight="true" outlineLevel="0" collapsed="false">
      <c r="A40" s="35" t="n">
        <v>30</v>
      </c>
      <c r="B40" s="33" t="n">
        <v>46306</v>
      </c>
      <c r="C40" s="50" t="s">
        <v>126</v>
      </c>
      <c r="D40" s="34" t="s">
        <v>83</v>
      </c>
      <c r="E40" s="34" t="s">
        <v>92</v>
      </c>
      <c r="F40" s="35" t="s">
        <v>77</v>
      </c>
      <c r="G40" s="32" t="s">
        <v>85</v>
      </c>
      <c r="H40" s="36" t="n">
        <v>0.27393995755703</v>
      </c>
      <c r="I40" s="36" t="n">
        <v>0.255765047680959</v>
      </c>
      <c r="J40" s="36" t="n">
        <v>0.470294994762011</v>
      </c>
      <c r="K40" s="37" t="n">
        <f aca="false">IFERROR(1/MAX(H40:J40),"")</f>
        <v>2.12632498992689</v>
      </c>
      <c r="L40" s="38" t="n">
        <v>2.57120185981326</v>
      </c>
      <c r="M40" s="36" t="n">
        <v>0.474318093757382</v>
      </c>
      <c r="N40" s="37" t="n">
        <f aca="false">IFERROR(1/M40,"")</f>
        <v>2.10828980205741</v>
      </c>
      <c r="O40" s="36" t="n">
        <v>0.509782718557892</v>
      </c>
      <c r="P40" s="38" t="n">
        <v>9.93076815413853</v>
      </c>
      <c r="Q40" s="38" t="n">
        <v>3.9944218784448</v>
      </c>
      <c r="R40" s="34" t="s">
        <v>86</v>
      </c>
      <c r="S40" s="36" t="n">
        <v>0.806465236527464</v>
      </c>
      <c r="T40" s="37" t="n">
        <f aca="false">IFERROR(1/S40,"")</f>
        <v>1.23997905266924</v>
      </c>
    </row>
    <row r="41" customFormat="false" ht="18.75" hidden="false" customHeight="true" outlineLevel="0" collapsed="false">
      <c r="A41" s="42" t="n">
        <v>30</v>
      </c>
      <c r="B41" s="40" t="n">
        <v>46306</v>
      </c>
      <c r="C41" s="51" t="s">
        <v>126</v>
      </c>
      <c r="D41" s="41" t="s">
        <v>99</v>
      </c>
      <c r="E41" s="41" t="s">
        <v>93</v>
      </c>
      <c r="F41" s="42" t="s">
        <v>77</v>
      </c>
      <c r="G41" s="39" t="s">
        <v>85</v>
      </c>
      <c r="H41" s="43" t="n">
        <v>0.320231495630554</v>
      </c>
      <c r="I41" s="43" t="n">
        <v>0.250291422732277</v>
      </c>
      <c r="J41" s="43" t="n">
        <v>0.429477081637169</v>
      </c>
      <c r="K41" s="44" t="n">
        <f aca="false">IFERROR(1/MAX(H41:J41),"")</f>
        <v>2.32841295323139</v>
      </c>
      <c r="L41" s="45" t="n">
        <v>2.75461348283449</v>
      </c>
      <c r="M41" s="43" t="n">
        <v>0.519658985938223</v>
      </c>
      <c r="N41" s="44" t="n">
        <f aca="false">IFERROR(1/M41,"")</f>
        <v>1.92433889735312</v>
      </c>
      <c r="O41" s="43" t="n">
        <v>0.554085665548008</v>
      </c>
      <c r="P41" s="45" t="n">
        <v>9.15348296874151</v>
      </c>
      <c r="Q41" s="45" t="n">
        <v>5.25275179495553</v>
      </c>
      <c r="R41" s="41" t="s">
        <v>86</v>
      </c>
      <c r="S41" s="43" t="n">
        <v>0.792448355214792</v>
      </c>
      <c r="T41" s="44" t="n">
        <f aca="false">IFERROR(1/S41,"")</f>
        <v>1.26191188790966</v>
      </c>
    </row>
    <row r="42" customFormat="false" ht="18.75" hidden="false" customHeight="true" outlineLevel="0" collapsed="false">
      <c r="A42" s="35" t="n">
        <v>30</v>
      </c>
      <c r="B42" s="33" t="n">
        <v>46306</v>
      </c>
      <c r="C42" s="50" t="s">
        <v>126</v>
      </c>
      <c r="D42" s="34" t="s">
        <v>8</v>
      </c>
      <c r="E42" s="34" t="s">
        <v>98</v>
      </c>
      <c r="F42" s="35" t="s">
        <v>74</v>
      </c>
      <c r="G42" s="32" t="s">
        <v>89</v>
      </c>
      <c r="H42" s="36" t="n">
        <v>0.621240755764678</v>
      </c>
      <c r="I42" s="36" t="n">
        <v>0.216805911128329</v>
      </c>
      <c r="J42" s="36" t="n">
        <v>0.161953333106993</v>
      </c>
      <c r="K42" s="37" t="n">
        <f aca="false">IFERROR(1/MAX(H42:J42),"")</f>
        <v>1.60968189984431</v>
      </c>
      <c r="L42" s="38" t="n">
        <v>2.70551332936896</v>
      </c>
      <c r="M42" s="36" t="n">
        <v>0.507733248501614</v>
      </c>
      <c r="N42" s="37" t="n">
        <f aca="false">IFERROR(1/M42,"")</f>
        <v>1.96953814419506</v>
      </c>
      <c r="O42" s="36" t="n">
        <v>0.476609776803223</v>
      </c>
      <c r="P42" s="38" t="n">
        <v>9.60679960840777</v>
      </c>
      <c r="Q42" s="38" t="n">
        <v>5.35065574496114</v>
      </c>
      <c r="R42" s="34" t="s">
        <v>94</v>
      </c>
      <c r="S42" s="36" t="n">
        <v>0.838046666893007</v>
      </c>
      <c r="T42" s="37" t="n">
        <f aca="false">IFERROR(1/S42,"")</f>
        <v>1.19325097217727</v>
      </c>
    </row>
    <row r="43" customFormat="false" ht="18.75" hidden="false" customHeight="true" outlineLevel="0" collapsed="false">
      <c r="A43" s="42" t="n">
        <v>30</v>
      </c>
      <c r="B43" s="40" t="n">
        <v>46306</v>
      </c>
      <c r="C43" s="51" t="s">
        <v>126</v>
      </c>
      <c r="D43" s="41" t="s">
        <v>105</v>
      </c>
      <c r="E43" s="41" t="s">
        <v>100</v>
      </c>
      <c r="F43" s="42" t="s">
        <v>74</v>
      </c>
      <c r="G43" s="39" t="s">
        <v>85</v>
      </c>
      <c r="H43" s="43" t="n">
        <v>0.445596013823509</v>
      </c>
      <c r="I43" s="43" t="n">
        <v>0.264075608958079</v>
      </c>
      <c r="J43" s="43" t="n">
        <v>0.290328377218412</v>
      </c>
      <c r="K43" s="44" t="n">
        <f aca="false">IFERROR(1/MAX(H43:J43),"")</f>
        <v>2.24418524622637</v>
      </c>
      <c r="L43" s="45" t="n">
        <v>2.47781523740472</v>
      </c>
      <c r="M43" s="43" t="n">
        <v>0.450484256514805</v>
      </c>
      <c r="N43" s="44" t="n">
        <f aca="false">IFERROR(1/M43,"")</f>
        <v>2.21983340269547</v>
      </c>
      <c r="O43" s="43" t="n">
        <v>0.495324138928437</v>
      </c>
      <c r="P43" s="45" t="n">
        <v>9.17584430829907</v>
      </c>
      <c r="Q43" s="45" t="n">
        <v>5.5762795486758</v>
      </c>
      <c r="R43" s="41" t="s">
        <v>86</v>
      </c>
      <c r="S43" s="43" t="n">
        <v>0.811682682900119</v>
      </c>
      <c r="T43" s="44" t="n">
        <f aca="false">IFERROR(1/S43,"")</f>
        <v>1.23200854356906</v>
      </c>
    </row>
    <row r="44" customFormat="false" ht="18.75" hidden="false" customHeight="true" outlineLevel="0" collapsed="false">
      <c r="A44" s="35" t="n">
        <v>30</v>
      </c>
      <c r="B44" s="33" t="n">
        <v>46306</v>
      </c>
      <c r="C44" s="50" t="s">
        <v>126</v>
      </c>
      <c r="D44" s="34" t="s">
        <v>102</v>
      </c>
      <c r="E44" s="34" t="s">
        <v>101</v>
      </c>
      <c r="F44" s="35" t="s">
        <v>74</v>
      </c>
      <c r="G44" s="32" t="s">
        <v>89</v>
      </c>
      <c r="H44" s="36" t="n">
        <v>0.63159117064212</v>
      </c>
      <c r="I44" s="36" t="n">
        <v>0.22640729277741</v>
      </c>
      <c r="J44" s="36" t="n">
        <v>0.14200153658047</v>
      </c>
      <c r="K44" s="37" t="n">
        <f aca="false">IFERROR(1/MAX(H44:J44),"")</f>
        <v>1.58330269085828</v>
      </c>
      <c r="L44" s="38" t="n">
        <v>2.42673954317875</v>
      </c>
      <c r="M44" s="36" t="n">
        <v>0.437266039805861</v>
      </c>
      <c r="N44" s="37" t="n">
        <f aca="false">IFERROR(1/M44,"")</f>
        <v>2.28693726236775</v>
      </c>
      <c r="O44" s="36" t="n">
        <v>0.406249530445393</v>
      </c>
      <c r="P44" s="38" t="n">
        <v>10.6947187885902</v>
      </c>
      <c r="Q44" s="38" t="n">
        <v>6.00625852322752</v>
      </c>
      <c r="R44" s="34" t="s">
        <v>94</v>
      </c>
      <c r="S44" s="36" t="n">
        <v>0.85799846341953</v>
      </c>
      <c r="T44" s="37" t="n">
        <f aca="false">IFERROR(1/S44,"")</f>
        <v>1.16550325278501</v>
      </c>
    </row>
    <row r="45" customFormat="false" ht="18.75" hidden="false" customHeight="true" outlineLevel="0" collapsed="false">
      <c r="A45" s="42" t="n">
        <v>30</v>
      </c>
      <c r="B45" s="40" t="n">
        <v>46306</v>
      </c>
      <c r="C45" s="51" t="s">
        <v>126</v>
      </c>
      <c r="D45" s="41" t="s">
        <v>87</v>
      </c>
      <c r="E45" s="41" t="s">
        <v>106</v>
      </c>
      <c r="F45" s="42" t="s">
        <v>74</v>
      </c>
      <c r="G45" s="39" t="s">
        <v>89</v>
      </c>
      <c r="H45" s="43" t="n">
        <v>0.560354063671756</v>
      </c>
      <c r="I45" s="43" t="n">
        <v>0.252012206393277</v>
      </c>
      <c r="J45" s="43" t="n">
        <v>0.187633729934967</v>
      </c>
      <c r="K45" s="44" t="n">
        <f aca="false">IFERROR(1/MAX(H45:J45),"")</f>
        <v>1.78458596953404</v>
      </c>
      <c r="L45" s="45" t="n">
        <v>2.3333808062897</v>
      </c>
      <c r="M45" s="43" t="n">
        <v>0.412794928246641</v>
      </c>
      <c r="N45" s="44" t="n">
        <f aca="false">IFERROR(1/M45,"")</f>
        <v>2.42251038366079</v>
      </c>
      <c r="O45" s="43" t="n">
        <v>0.424801018335001</v>
      </c>
      <c r="P45" s="45" t="n">
        <v>9.67790540549142</v>
      </c>
      <c r="Q45" s="45" t="n">
        <v>5.64659962889452</v>
      </c>
      <c r="R45" s="41" t="s">
        <v>86</v>
      </c>
      <c r="S45" s="43" t="n">
        <v>0.816709013712443</v>
      </c>
      <c r="T45" s="44" t="n">
        <f aca="false">IFERROR(1/S45,"")</f>
        <v>1.22442630509781</v>
      </c>
    </row>
    <row r="46" customFormat="false" ht="18.75" hidden="false" customHeight="true" outlineLevel="0" collapsed="false">
      <c r="A46" s="35" t="n">
        <v>30</v>
      </c>
      <c r="B46" s="33" t="n">
        <v>46306</v>
      </c>
      <c r="C46" s="50" t="s">
        <v>126</v>
      </c>
      <c r="D46" s="34" t="s">
        <v>84</v>
      </c>
      <c r="E46" s="34" t="s">
        <v>104</v>
      </c>
      <c r="F46" s="35" t="s">
        <v>74</v>
      </c>
      <c r="G46" s="32" t="s">
        <v>85</v>
      </c>
      <c r="H46" s="36" t="n">
        <v>0.55353873460418</v>
      </c>
      <c r="I46" s="36" t="n">
        <v>0.221590122629108</v>
      </c>
      <c r="J46" s="36" t="n">
        <v>0.224871142766712</v>
      </c>
      <c r="K46" s="37" t="n">
        <f aca="false">IFERROR(1/MAX(H46:J46),"")</f>
        <v>1.80655830836314</v>
      </c>
      <c r="L46" s="38" t="n">
        <v>3.00706457823106</v>
      </c>
      <c r="M46" s="36" t="n">
        <v>0.57839887539768</v>
      </c>
      <c r="N46" s="37" t="n">
        <f aca="false">IFERROR(1/M46,"")</f>
        <v>1.72891069214553</v>
      </c>
      <c r="O46" s="36" t="n">
        <v>0.570580072753365</v>
      </c>
      <c r="P46" s="38" t="n">
        <v>10.4981565422564</v>
      </c>
      <c r="Q46" s="38" t="n">
        <v>3.59726943969148</v>
      </c>
      <c r="R46" s="34" t="s">
        <v>107</v>
      </c>
      <c r="S46" s="36" t="n">
        <v>0.800682581123056</v>
      </c>
      <c r="T46" s="37" t="n">
        <f aca="false">IFERROR(1/S46,"")</f>
        <v>1.24893437621358</v>
      </c>
    </row>
    <row r="47" customFormat="false" ht="18.75" hidden="false" customHeight="true" outlineLevel="0" collapsed="false">
      <c r="A47" s="42" t="n">
        <v>31</v>
      </c>
      <c r="B47" s="40" t="n">
        <v>46313</v>
      </c>
      <c r="C47" s="51" t="s">
        <v>126</v>
      </c>
      <c r="D47" s="41" t="s">
        <v>92</v>
      </c>
      <c r="E47" s="41" t="s">
        <v>102</v>
      </c>
      <c r="F47" s="42" t="s">
        <v>77</v>
      </c>
      <c r="G47" s="39" t="s">
        <v>85</v>
      </c>
      <c r="H47" s="43" t="n">
        <v>0.307972686723041</v>
      </c>
      <c r="I47" s="43" t="n">
        <v>0.278389639274704</v>
      </c>
      <c r="J47" s="43" t="n">
        <v>0.413637674002255</v>
      </c>
      <c r="K47" s="44" t="n">
        <f aca="false">IFERROR(1/MAX(H47:J47),"")</f>
        <v>2.41757475890494</v>
      </c>
      <c r="L47" s="45" t="n">
        <v>2.30165466235664</v>
      </c>
      <c r="M47" s="43" t="n">
        <v>0.404400149911206</v>
      </c>
      <c r="N47" s="44" t="n">
        <f aca="false">IFERROR(1/M47,"")</f>
        <v>2.47279829203716</v>
      </c>
      <c r="O47" s="43" t="n">
        <v>0.462160628033405</v>
      </c>
      <c r="P47" s="45" t="n">
        <v>10.6872040063917</v>
      </c>
      <c r="Q47" s="45" t="n">
        <v>4.90351222596992</v>
      </c>
      <c r="R47" s="41" t="s">
        <v>86</v>
      </c>
      <c r="S47" s="43" t="n">
        <v>0.817506204392828</v>
      </c>
      <c r="T47" s="44" t="n">
        <f aca="false">IFERROR(1/S47,"")</f>
        <v>1.22323230652752</v>
      </c>
    </row>
    <row r="48" customFormat="false" ht="18.75" hidden="false" customHeight="true" outlineLevel="0" collapsed="false">
      <c r="A48" s="35" t="n">
        <v>31</v>
      </c>
      <c r="B48" s="33" t="n">
        <v>46313</v>
      </c>
      <c r="C48" s="50" t="s">
        <v>126</v>
      </c>
      <c r="D48" s="34" t="s">
        <v>90</v>
      </c>
      <c r="E48" s="34" t="s">
        <v>99</v>
      </c>
      <c r="F48" s="35" t="s">
        <v>74</v>
      </c>
      <c r="G48" s="32" t="s">
        <v>89</v>
      </c>
      <c r="H48" s="36" t="n">
        <v>0.625594703486607</v>
      </c>
      <c r="I48" s="36" t="n">
        <v>0.209473972762562</v>
      </c>
      <c r="J48" s="36" t="n">
        <v>0.164931323750832</v>
      </c>
      <c r="K48" s="37" t="n">
        <f aca="false">IFERROR(1/MAX(H48:J48),"")</f>
        <v>1.59847900633866</v>
      </c>
      <c r="L48" s="38" t="n">
        <v>2.85703667505715</v>
      </c>
      <c r="M48" s="36" t="n">
        <v>0.54404249712721</v>
      </c>
      <c r="N48" s="37" t="n">
        <f aca="false">IFERROR(1/M48,"")</f>
        <v>1.83809170291007</v>
      </c>
      <c r="O48" s="36" t="n">
        <v>0.506285283107282</v>
      </c>
      <c r="P48" s="38" t="n">
        <v>10.4853894957292</v>
      </c>
      <c r="Q48" s="38" t="n">
        <v>4.85974728020066</v>
      </c>
      <c r="R48" s="34" t="s">
        <v>94</v>
      </c>
      <c r="S48" s="36" t="n">
        <v>0.835068676249169</v>
      </c>
      <c r="T48" s="37" t="n">
        <f aca="false">IFERROR(1/S48,"")</f>
        <v>1.1975062991126</v>
      </c>
    </row>
    <row r="49" customFormat="false" ht="18.75" hidden="false" customHeight="true" outlineLevel="0" collapsed="false">
      <c r="A49" s="42" t="n">
        <v>31</v>
      </c>
      <c r="B49" s="40" t="n">
        <v>46313</v>
      </c>
      <c r="C49" s="51" t="s">
        <v>126</v>
      </c>
      <c r="D49" s="41" t="s">
        <v>103</v>
      </c>
      <c r="E49" s="41" t="s">
        <v>8</v>
      </c>
      <c r="F49" s="42" t="s">
        <v>77</v>
      </c>
      <c r="G49" s="39" t="s">
        <v>85</v>
      </c>
      <c r="H49" s="43" t="n">
        <v>0.298687171929437</v>
      </c>
      <c r="I49" s="43" t="n">
        <v>0.24959390007113</v>
      </c>
      <c r="J49" s="43" t="n">
        <v>0.451718927999434</v>
      </c>
      <c r="K49" s="44" t="n">
        <f aca="false">IFERROR(1/MAX(H49:J49),"")</f>
        <v>2.21376599034445</v>
      </c>
      <c r="L49" s="45" t="n">
        <v>2.72980127051212</v>
      </c>
      <c r="M49" s="43" t="n">
        <v>0.513648699095637</v>
      </c>
      <c r="N49" s="44" t="n">
        <f aca="false">IFERROR(1/M49,"")</f>
        <v>1.94685589929589</v>
      </c>
      <c r="O49" s="43" t="n">
        <v>0.545824247784222</v>
      </c>
      <c r="P49" s="45" t="n">
        <v>9.90899976971014</v>
      </c>
      <c r="Q49" s="45" t="n">
        <v>5.28895874252242</v>
      </c>
      <c r="R49" s="41" t="s">
        <v>86</v>
      </c>
      <c r="S49" s="43" t="n">
        <v>0.794614900463626</v>
      </c>
      <c r="T49" s="44" t="n">
        <f aca="false">IFERROR(1/S49,"")</f>
        <v>1.25847124112138</v>
      </c>
    </row>
    <row r="50" customFormat="false" ht="18.75" hidden="false" customHeight="true" outlineLevel="0" collapsed="false">
      <c r="A50" s="35" t="n">
        <v>31</v>
      </c>
      <c r="B50" s="33" t="n">
        <v>46313</v>
      </c>
      <c r="C50" s="50" t="s">
        <v>126</v>
      </c>
      <c r="D50" s="34" t="s">
        <v>93</v>
      </c>
      <c r="E50" s="34" t="s">
        <v>83</v>
      </c>
      <c r="F50" s="35" t="s">
        <v>74</v>
      </c>
      <c r="G50" s="32" t="s">
        <v>108</v>
      </c>
      <c r="H50" s="36" t="n">
        <v>0.717744160077261</v>
      </c>
      <c r="I50" s="36" t="n">
        <v>0.171872064016699</v>
      </c>
      <c r="J50" s="36" t="n">
        <v>0.11038377590604</v>
      </c>
      <c r="K50" s="37" t="n">
        <f aca="false">IFERROR(1/MAX(H50:J50),"")</f>
        <v>1.39325410866785</v>
      </c>
      <c r="L50" s="38" t="n">
        <v>3.06309088692094</v>
      </c>
      <c r="M50" s="36" t="n">
        <v>0.590839684053257</v>
      </c>
      <c r="N50" s="37" t="n">
        <f aca="false">IFERROR(1/M50,"")</f>
        <v>1.69250649032211</v>
      </c>
      <c r="O50" s="36" t="n">
        <v>0.482117753830597</v>
      </c>
      <c r="P50" s="38" t="n">
        <v>9.59322502541779</v>
      </c>
      <c r="Q50" s="38" t="n">
        <v>4.36745118386712</v>
      </c>
      <c r="R50" s="34" t="s">
        <v>94</v>
      </c>
      <c r="S50" s="36" t="n">
        <v>0.88961622409396</v>
      </c>
      <c r="T50" s="37" t="n">
        <f aca="false">IFERROR(1/S50,"")</f>
        <v>1.12408021899383</v>
      </c>
    </row>
    <row r="51" customFormat="false" ht="18.75" hidden="false" customHeight="true" outlineLevel="0" collapsed="false">
      <c r="A51" s="42" t="n">
        <v>31</v>
      </c>
      <c r="B51" s="40" t="n">
        <v>46313</v>
      </c>
      <c r="C51" s="51" t="s">
        <v>126</v>
      </c>
      <c r="D51" s="41" t="s">
        <v>101</v>
      </c>
      <c r="E51" s="41" t="s">
        <v>106</v>
      </c>
      <c r="F51" s="42" t="s">
        <v>74</v>
      </c>
      <c r="G51" s="39" t="s">
        <v>89</v>
      </c>
      <c r="H51" s="43" t="n">
        <v>0.544433707233567</v>
      </c>
      <c r="I51" s="43" t="n">
        <v>0.257265112714017</v>
      </c>
      <c r="J51" s="43" t="n">
        <v>0.198301180052416</v>
      </c>
      <c r="K51" s="44" t="n">
        <f aca="false">IFERROR(1/MAX(H51:J51),"")</f>
        <v>1.83677091758573</v>
      </c>
      <c r="L51" s="45" t="n">
        <v>2.31032330860285</v>
      </c>
      <c r="M51" s="43" t="n">
        <v>0.406698082366596</v>
      </c>
      <c r="N51" s="44" t="n">
        <f aca="false">IFERROR(1/M51,"")</f>
        <v>2.45882644486778</v>
      </c>
      <c r="O51" s="43" t="n">
        <v>0.426702263682028</v>
      </c>
      <c r="P51" s="45" t="n">
        <v>9.16783308584303</v>
      </c>
      <c r="Q51" s="45" t="n">
        <v>6.74637113331316</v>
      </c>
      <c r="R51" s="41" t="s">
        <v>86</v>
      </c>
      <c r="S51" s="43" t="n">
        <v>0.81721381816444</v>
      </c>
      <c r="T51" s="44" t="n">
        <f aca="false">IFERROR(1/S51,"")</f>
        <v>1.22366995977395</v>
      </c>
    </row>
    <row r="52" customFormat="false" ht="18.75" hidden="false" customHeight="true" outlineLevel="0" collapsed="false">
      <c r="A52" s="35" t="n">
        <v>31</v>
      </c>
      <c r="B52" s="33" t="n">
        <v>46313</v>
      </c>
      <c r="C52" s="50" t="s">
        <v>126</v>
      </c>
      <c r="D52" s="34" t="s">
        <v>98</v>
      </c>
      <c r="E52" s="34" t="s">
        <v>88</v>
      </c>
      <c r="F52" s="35" t="s">
        <v>74</v>
      </c>
      <c r="G52" s="32" t="s">
        <v>89</v>
      </c>
      <c r="H52" s="36" t="n">
        <v>0.531355529264127</v>
      </c>
      <c r="I52" s="36" t="n">
        <v>0.245965059707496</v>
      </c>
      <c r="J52" s="36" t="n">
        <v>0.222679411028377</v>
      </c>
      <c r="K52" s="37" t="n">
        <f aca="false">IFERROR(1/MAX(H52:J52),"")</f>
        <v>1.88197909859882</v>
      </c>
      <c r="L52" s="38" t="n">
        <v>2.56220252720489</v>
      </c>
      <c r="M52" s="36" t="n">
        <v>0.472042864755615</v>
      </c>
      <c r="N52" s="37" t="n">
        <f aca="false">IFERROR(1/M52,"")</f>
        <v>2.11845168026789</v>
      </c>
      <c r="O52" s="36" t="n">
        <v>0.489094793156981</v>
      </c>
      <c r="P52" s="38" t="n">
        <v>9.8018986059923</v>
      </c>
      <c r="Q52" s="38" t="n">
        <v>5.76139433214632</v>
      </c>
      <c r="R52" s="34" t="s">
        <v>86</v>
      </c>
      <c r="S52" s="36" t="n">
        <v>0.806965764910911</v>
      </c>
      <c r="T52" s="37" t="n">
        <f aca="false">IFERROR(1/S52,"")</f>
        <v>1.23920994357227</v>
      </c>
    </row>
    <row r="53" customFormat="false" ht="18.75" hidden="false" customHeight="true" outlineLevel="0" collapsed="false">
      <c r="A53" s="42" t="n">
        <v>31</v>
      </c>
      <c r="B53" s="40" t="n">
        <v>46313</v>
      </c>
      <c r="C53" s="51" t="s">
        <v>126</v>
      </c>
      <c r="D53" s="41" t="s">
        <v>105</v>
      </c>
      <c r="E53" s="41" t="s">
        <v>96</v>
      </c>
      <c r="F53" s="42" t="s">
        <v>74</v>
      </c>
      <c r="G53" s="39" t="s">
        <v>85</v>
      </c>
      <c r="H53" s="43" t="n">
        <v>0.398057052040988</v>
      </c>
      <c r="I53" s="43" t="n">
        <v>0.275904826469972</v>
      </c>
      <c r="J53" s="43" t="n">
        <v>0.32603812148904</v>
      </c>
      <c r="K53" s="44" t="n">
        <f aca="false">IFERROR(1/MAX(H53:J53),"")</f>
        <v>2.5122026977606</v>
      </c>
      <c r="L53" s="45" t="n">
        <v>2.35201825261864</v>
      </c>
      <c r="M53" s="43" t="n">
        <v>0.417706852250393</v>
      </c>
      <c r="N53" s="44" t="n">
        <f aca="false">IFERROR(1/M53,"")</f>
        <v>2.39402345116559</v>
      </c>
      <c r="O53" s="43" t="n">
        <v>0.474947378010008</v>
      </c>
      <c r="P53" s="45" t="n">
        <v>9.4834497733598</v>
      </c>
      <c r="Q53" s="45" t="n">
        <v>6.19306262601546</v>
      </c>
      <c r="R53" s="41" t="s">
        <v>86</v>
      </c>
      <c r="S53" s="43" t="n">
        <v>0.816415073797958</v>
      </c>
      <c r="T53" s="44" t="n">
        <f aca="false">IFERROR(1/S53,"")</f>
        <v>1.22486714429219</v>
      </c>
    </row>
    <row r="54" customFormat="false" ht="18.75" hidden="false" customHeight="true" outlineLevel="0" collapsed="false">
      <c r="A54" s="35" t="n">
        <v>31</v>
      </c>
      <c r="B54" s="33" t="n">
        <v>46313</v>
      </c>
      <c r="C54" s="50" t="s">
        <v>126</v>
      </c>
      <c r="D54" s="34" t="s">
        <v>95</v>
      </c>
      <c r="E54" s="34" t="s">
        <v>100</v>
      </c>
      <c r="F54" s="35" t="s">
        <v>74</v>
      </c>
      <c r="G54" s="32" t="s">
        <v>85</v>
      </c>
      <c r="H54" s="36" t="n">
        <v>0.499352864426719</v>
      </c>
      <c r="I54" s="36" t="n">
        <v>0.25012926221857</v>
      </c>
      <c r="J54" s="36" t="n">
        <v>0.250517873354711</v>
      </c>
      <c r="K54" s="37" t="n">
        <f aca="false">IFERROR(1/MAX(H54:J54),"")</f>
        <v>2.00259189691051</v>
      </c>
      <c r="L54" s="38" t="n">
        <v>2.59562425812747</v>
      </c>
      <c r="M54" s="36" t="n">
        <v>0.480472970183316</v>
      </c>
      <c r="N54" s="37" t="n">
        <f aca="false">IFERROR(1/M54,"")</f>
        <v>2.08128253212344</v>
      </c>
      <c r="O54" s="36" t="n">
        <v>0.507105364735342</v>
      </c>
      <c r="P54" s="38" t="n">
        <v>10.6369449016658</v>
      </c>
      <c r="Q54" s="38" t="n">
        <v>4.59111012700891</v>
      </c>
      <c r="R54" s="34" t="s">
        <v>86</v>
      </c>
      <c r="S54" s="36" t="n">
        <v>0.804854995294494</v>
      </c>
      <c r="T54" s="37" t="n">
        <f aca="false">IFERROR(1/S54,"")</f>
        <v>1.24245982921943</v>
      </c>
    </row>
    <row r="55" customFormat="false" ht="18.75" hidden="false" customHeight="true" outlineLevel="0" collapsed="false">
      <c r="A55" s="42" t="n">
        <v>31</v>
      </c>
      <c r="B55" s="40" t="n">
        <v>46313</v>
      </c>
      <c r="C55" s="51" t="s">
        <v>126</v>
      </c>
      <c r="D55" s="41" t="s">
        <v>104</v>
      </c>
      <c r="E55" s="41" t="s">
        <v>91</v>
      </c>
      <c r="F55" s="42" t="s">
        <v>74</v>
      </c>
      <c r="G55" s="39" t="s">
        <v>85</v>
      </c>
      <c r="H55" s="43" t="n">
        <v>0.377280149274393</v>
      </c>
      <c r="I55" s="43" t="n">
        <v>0.255309996658155</v>
      </c>
      <c r="J55" s="43" t="n">
        <v>0.367409854067452</v>
      </c>
      <c r="K55" s="44" t="n">
        <f aca="false">IFERROR(1/MAX(H55:J55),"")</f>
        <v>2.65055026595823</v>
      </c>
      <c r="L55" s="45" t="n">
        <v>2.69955802385597</v>
      </c>
      <c r="M55" s="43" t="n">
        <v>0.50626798943668</v>
      </c>
      <c r="N55" s="44" t="n">
        <f aca="false">IFERROR(1/M55,"")</f>
        <v>1.97523845248974</v>
      </c>
      <c r="O55" s="43" t="n">
        <v>0.547172390182232</v>
      </c>
      <c r="P55" s="45" t="n">
        <v>11.7467495513048</v>
      </c>
      <c r="Q55" s="45" t="n">
        <v>4.35078629660046</v>
      </c>
      <c r="R55" s="41" t="s">
        <v>86</v>
      </c>
      <c r="S55" s="43" t="n">
        <v>0.797177066122731</v>
      </c>
      <c r="T55" s="44" t="n">
        <f aca="false">IFERROR(1/S55,"")</f>
        <v>1.25442645366574</v>
      </c>
    </row>
    <row r="56" customFormat="false" ht="18.75" hidden="false" customHeight="true" outlineLevel="0" collapsed="false">
      <c r="A56" s="35" t="n">
        <v>31</v>
      </c>
      <c r="B56" s="33" t="n">
        <v>46313</v>
      </c>
      <c r="C56" s="50" t="s">
        <v>126</v>
      </c>
      <c r="D56" s="34" t="s">
        <v>87</v>
      </c>
      <c r="E56" s="34" t="s">
        <v>84</v>
      </c>
      <c r="F56" s="35" t="s">
        <v>74</v>
      </c>
      <c r="G56" s="32" t="s">
        <v>89</v>
      </c>
      <c r="H56" s="36" t="n">
        <v>0.543637274095709</v>
      </c>
      <c r="I56" s="36" t="n">
        <v>0.242975950374775</v>
      </c>
      <c r="J56" s="36" t="n">
        <v>0.213386775529516</v>
      </c>
      <c r="K56" s="37" t="n">
        <f aca="false">IFERROR(1/MAX(H56:J56),"")</f>
        <v>1.83946180228979</v>
      </c>
      <c r="L56" s="38" t="n">
        <v>2.57003934336465</v>
      </c>
      <c r="M56" s="36" t="n">
        <v>0.474025729061622</v>
      </c>
      <c r="N56" s="37" t="n">
        <f aca="false">IFERROR(1/M56,"")</f>
        <v>2.10959013127746</v>
      </c>
      <c r="O56" s="36" t="n">
        <v>0.485956331360988</v>
      </c>
      <c r="P56" s="38" t="n">
        <v>9.51547885632095</v>
      </c>
      <c r="Q56" s="38" t="n">
        <v>4.56993437703801</v>
      </c>
      <c r="R56" s="34" t="s">
        <v>86</v>
      </c>
      <c r="S56" s="36" t="n">
        <v>0.806462810671217</v>
      </c>
      <c r="T56" s="37" t="n">
        <f aca="false">IFERROR(1/S56,"")</f>
        <v>1.239982782551</v>
      </c>
    </row>
    <row r="57" customFormat="false" ht="18.75" hidden="false" customHeight="true" outlineLevel="0" collapsed="false">
      <c r="A57" s="42" t="n">
        <v>32</v>
      </c>
      <c r="B57" s="40" t="n">
        <v>46320</v>
      </c>
      <c r="C57" s="51" t="s">
        <v>126</v>
      </c>
      <c r="D57" s="41" t="s">
        <v>83</v>
      </c>
      <c r="E57" s="41" t="s">
        <v>98</v>
      </c>
      <c r="F57" s="42" t="s">
        <v>77</v>
      </c>
      <c r="G57" s="39" t="s">
        <v>85</v>
      </c>
      <c r="H57" s="43" t="n">
        <v>0.263879551007815</v>
      </c>
      <c r="I57" s="43" t="n">
        <v>0.254317073785885</v>
      </c>
      <c r="J57" s="43" t="n">
        <v>0.4818033752063</v>
      </c>
      <c r="K57" s="44" t="n">
        <f aca="false">IFERROR(1/MAX(H57:J57),"")</f>
        <v>2.07553548077951</v>
      </c>
      <c r="L57" s="45" t="n">
        <v>2.5683976057661</v>
      </c>
      <c r="M57" s="43" t="n">
        <v>0.473609417185516</v>
      </c>
      <c r="N57" s="44" t="n">
        <f aca="false">IFERROR(1/M57,"")</f>
        <v>2.11144450197512</v>
      </c>
      <c r="O57" s="43" t="n">
        <v>0.506317715794563</v>
      </c>
      <c r="P57" s="45" t="n">
        <v>9.35890246506531</v>
      </c>
      <c r="Q57" s="45" t="n">
        <v>4.35322636755219</v>
      </c>
      <c r="R57" s="41" t="s">
        <v>86</v>
      </c>
      <c r="S57" s="43" t="n">
        <v>0.806632140245642</v>
      </c>
      <c r="T57" s="44" t="n">
        <f aca="false">IFERROR(1/S57,"")</f>
        <v>1.2397224832815</v>
      </c>
    </row>
    <row r="58" customFormat="false" ht="18.75" hidden="false" customHeight="true" outlineLevel="0" collapsed="false">
      <c r="A58" s="35" t="n">
        <v>32</v>
      </c>
      <c r="B58" s="33" t="n">
        <v>46320</v>
      </c>
      <c r="C58" s="50" t="s">
        <v>126</v>
      </c>
      <c r="D58" s="34" t="s">
        <v>99</v>
      </c>
      <c r="E58" s="34" t="s">
        <v>105</v>
      </c>
      <c r="F58" s="35" t="s">
        <v>74</v>
      </c>
      <c r="G58" s="32" t="s">
        <v>85</v>
      </c>
      <c r="H58" s="36" t="n">
        <v>0.38584176131359</v>
      </c>
      <c r="I58" s="36" t="n">
        <v>0.251757542803976</v>
      </c>
      <c r="J58" s="36" t="n">
        <v>0.362400695882433</v>
      </c>
      <c r="K58" s="37" t="n">
        <f aca="false">IFERROR(1/MAX(H58:J58),"")</f>
        <v>2.59173604380076</v>
      </c>
      <c r="L58" s="38" t="n">
        <v>2.76438241000845</v>
      </c>
      <c r="M58" s="36" t="n">
        <v>0.52201402041122</v>
      </c>
      <c r="N58" s="37" t="n">
        <f aca="false">IFERROR(1/M58,"")</f>
        <v>1.915657359571</v>
      </c>
      <c r="O58" s="36" t="n">
        <v>0.559380753123951</v>
      </c>
      <c r="P58" s="38" t="n">
        <v>9.17905747386316</v>
      </c>
      <c r="Q58" s="38" t="n">
        <v>5.3529542616011</v>
      </c>
      <c r="R58" s="34" t="s">
        <v>86</v>
      </c>
      <c r="S58" s="36" t="n">
        <v>0.791578815920128</v>
      </c>
      <c r="T58" s="37" t="n">
        <f aca="false">IFERROR(1/S58,"")</f>
        <v>1.26329808212162</v>
      </c>
    </row>
    <row r="59" customFormat="false" ht="18.75" hidden="false" customHeight="true" outlineLevel="0" collapsed="false">
      <c r="A59" s="42" t="n">
        <v>32</v>
      </c>
      <c r="B59" s="40" t="n">
        <v>46320</v>
      </c>
      <c r="C59" s="51" t="s">
        <v>126</v>
      </c>
      <c r="D59" s="41" t="s">
        <v>96</v>
      </c>
      <c r="E59" s="41" t="s">
        <v>104</v>
      </c>
      <c r="F59" s="42" t="s">
        <v>74</v>
      </c>
      <c r="G59" s="39" t="s">
        <v>89</v>
      </c>
      <c r="H59" s="43" t="n">
        <v>0.637996516603916</v>
      </c>
      <c r="I59" s="43" t="n">
        <v>0.210521677170073</v>
      </c>
      <c r="J59" s="43" t="n">
        <v>0.151481806226011</v>
      </c>
      <c r="K59" s="44" t="n">
        <f aca="false">IFERROR(1/MAX(H59:J59),"")</f>
        <v>1.56740667695655</v>
      </c>
      <c r="L59" s="45" t="n">
        <v>2.73494789568359</v>
      </c>
      <c r="M59" s="43" t="n">
        <v>0.514907700207952</v>
      </c>
      <c r="N59" s="44" t="n">
        <f aca="false">IFERROR(1/M59,"")</f>
        <v>1.94209564082289</v>
      </c>
      <c r="O59" s="43" t="n">
        <v>0.472621115082822</v>
      </c>
      <c r="P59" s="45" t="n">
        <v>11.9421269263237</v>
      </c>
      <c r="Q59" s="45" t="n">
        <v>4.55103469665805</v>
      </c>
      <c r="R59" s="41" t="s">
        <v>94</v>
      </c>
      <c r="S59" s="43" t="n">
        <v>0.848518193773989</v>
      </c>
      <c r="T59" s="44" t="n">
        <f aca="false">IFERROR(1/S59,"")</f>
        <v>1.17852511276424</v>
      </c>
    </row>
    <row r="60" customFormat="false" ht="18.75" hidden="false" customHeight="true" outlineLevel="0" collapsed="false">
      <c r="A60" s="35" t="n">
        <v>32</v>
      </c>
      <c r="B60" s="33" t="n">
        <v>46320</v>
      </c>
      <c r="C60" s="50" t="s">
        <v>126</v>
      </c>
      <c r="D60" s="34" t="s">
        <v>8</v>
      </c>
      <c r="E60" s="34" t="s">
        <v>90</v>
      </c>
      <c r="F60" s="35" t="s">
        <v>74</v>
      </c>
      <c r="G60" s="32" t="s">
        <v>89</v>
      </c>
      <c r="H60" s="36" t="n">
        <v>0.629029529027885</v>
      </c>
      <c r="I60" s="36" t="n">
        <v>0.212404248719823</v>
      </c>
      <c r="J60" s="36" t="n">
        <v>0.158566222252292</v>
      </c>
      <c r="K60" s="37" t="n">
        <f aca="false">IFERROR(1/MAX(H60:J60),"")</f>
        <v>1.58975048682599</v>
      </c>
      <c r="L60" s="38" t="n">
        <v>2.75620511028053</v>
      </c>
      <c r="M60" s="36" t="n">
        <v>0.520051900177917</v>
      </c>
      <c r="N60" s="37" t="n">
        <f aca="false">IFERROR(1/M60,"")</f>
        <v>1.92288500370422</v>
      </c>
      <c r="O60" s="36" t="n">
        <v>0.482877171661068</v>
      </c>
      <c r="P60" s="38" t="n">
        <v>9.95916031959148</v>
      </c>
      <c r="Q60" s="38" t="n">
        <v>5.00210112306001</v>
      </c>
      <c r="R60" s="34" t="s">
        <v>94</v>
      </c>
      <c r="S60" s="36" t="n">
        <v>0.841433777747708</v>
      </c>
      <c r="T60" s="37" t="n">
        <f aca="false">IFERROR(1/S60,"")</f>
        <v>1.18844765499756</v>
      </c>
    </row>
    <row r="61" customFormat="false" ht="18.75" hidden="false" customHeight="true" outlineLevel="0" collapsed="false">
      <c r="A61" s="42" t="n">
        <v>32</v>
      </c>
      <c r="B61" s="40" t="n">
        <v>46320</v>
      </c>
      <c r="C61" s="51" t="s">
        <v>126</v>
      </c>
      <c r="D61" s="41" t="s">
        <v>100</v>
      </c>
      <c r="E61" s="41" t="s">
        <v>93</v>
      </c>
      <c r="F61" s="42" t="s">
        <v>74</v>
      </c>
      <c r="G61" s="39" t="s">
        <v>85</v>
      </c>
      <c r="H61" s="43" t="n">
        <v>0.424688896181804</v>
      </c>
      <c r="I61" s="43" t="n">
        <v>0.267687943243933</v>
      </c>
      <c r="J61" s="43" t="n">
        <v>0.307623160574263</v>
      </c>
      <c r="K61" s="44" t="n">
        <f aca="false">IFERROR(1/MAX(H61:J61),"")</f>
        <v>2.35466481226745</v>
      </c>
      <c r="L61" s="45" t="n">
        <v>2.45092372936798</v>
      </c>
      <c r="M61" s="43" t="n">
        <v>0.443538154956882</v>
      </c>
      <c r="N61" s="44" t="n">
        <f aca="false">IFERROR(1/M61,"")</f>
        <v>2.25459746545867</v>
      </c>
      <c r="O61" s="43" t="n">
        <v>0.493083394256738</v>
      </c>
      <c r="P61" s="45" t="n">
        <v>9.27490106578722</v>
      </c>
      <c r="Q61" s="45" t="n">
        <v>5.44467804406142</v>
      </c>
      <c r="R61" s="41" t="s">
        <v>86</v>
      </c>
      <c r="S61" s="43" t="n">
        <v>0.81292921818265</v>
      </c>
      <c r="T61" s="44" t="n">
        <f aca="false">IFERROR(1/S61,"")</f>
        <v>1.23011939740038</v>
      </c>
    </row>
    <row r="62" customFormat="false" ht="18.75" hidden="false" customHeight="true" outlineLevel="0" collapsed="false">
      <c r="A62" s="35" t="n">
        <v>32</v>
      </c>
      <c r="B62" s="33" t="n">
        <v>46320</v>
      </c>
      <c r="C62" s="50" t="s">
        <v>126</v>
      </c>
      <c r="D62" s="34" t="s">
        <v>95</v>
      </c>
      <c r="E62" s="34" t="s">
        <v>87</v>
      </c>
      <c r="F62" s="35" t="s">
        <v>74</v>
      </c>
      <c r="G62" s="32" t="s">
        <v>89</v>
      </c>
      <c r="H62" s="36" t="n">
        <v>0.48396440421835</v>
      </c>
      <c r="I62" s="36" t="n">
        <v>0.259502081945547</v>
      </c>
      <c r="J62" s="36" t="n">
        <v>0.256533513836103</v>
      </c>
      <c r="K62" s="37" t="n">
        <f aca="false">IFERROR(1/MAX(H62:J62),"")</f>
        <v>2.06626766614189</v>
      </c>
      <c r="L62" s="38" t="n">
        <v>2.47036904628869</v>
      </c>
      <c r="M62" s="36" t="n">
        <v>0.448564804931194</v>
      </c>
      <c r="N62" s="37" t="n">
        <f aca="false">IFERROR(1/M62,"")</f>
        <v>2.22933228154935</v>
      </c>
      <c r="O62" s="36" t="n">
        <v>0.484739135333548</v>
      </c>
      <c r="P62" s="38" t="n">
        <v>11.0145032035762</v>
      </c>
      <c r="Q62" s="38" t="n">
        <v>4.64728192570394</v>
      </c>
      <c r="R62" s="34" t="s">
        <v>86</v>
      </c>
      <c r="S62" s="36" t="n">
        <v>0.812006019704946</v>
      </c>
      <c r="T62" s="37" t="n">
        <f aca="false">IFERROR(1/S62,"")</f>
        <v>1.23151796382417</v>
      </c>
    </row>
    <row r="63" customFormat="false" ht="18.75" hidden="false" customHeight="true" outlineLevel="0" collapsed="false">
      <c r="A63" s="42" t="n">
        <v>32</v>
      </c>
      <c r="B63" s="40" t="n">
        <v>46320</v>
      </c>
      <c r="C63" s="51" t="s">
        <v>126</v>
      </c>
      <c r="D63" s="41" t="s">
        <v>102</v>
      </c>
      <c r="E63" s="41" t="s">
        <v>91</v>
      </c>
      <c r="F63" s="42" t="s">
        <v>74</v>
      </c>
      <c r="G63" s="39" t="s">
        <v>89</v>
      </c>
      <c r="H63" s="43" t="n">
        <v>0.661764499713578</v>
      </c>
      <c r="I63" s="43" t="n">
        <v>0.205916025561594</v>
      </c>
      <c r="J63" s="43" t="n">
        <v>0.132319474724828</v>
      </c>
      <c r="K63" s="44" t="n">
        <f aca="false">IFERROR(1/MAX(H63:J63),"")</f>
        <v>1.51111158188875</v>
      </c>
      <c r="L63" s="45" t="n">
        <v>2.65728379368933</v>
      </c>
      <c r="M63" s="43" t="n">
        <v>0.495865253059697</v>
      </c>
      <c r="N63" s="44" t="n">
        <f aca="false">IFERROR(1/M63,"")</f>
        <v>2.01667689726106</v>
      </c>
      <c r="O63" s="43" t="n">
        <v>0.438918074144141</v>
      </c>
      <c r="P63" s="45" t="n">
        <v>11.8213861873285</v>
      </c>
      <c r="Q63" s="45" t="n">
        <v>5.47124794992913</v>
      </c>
      <c r="R63" s="41" t="s">
        <v>94</v>
      </c>
      <c r="S63" s="43" t="n">
        <v>0.867680525275172</v>
      </c>
      <c r="T63" s="44" t="n">
        <f aca="false">IFERROR(1/S63,"")</f>
        <v>1.15249791930373</v>
      </c>
    </row>
    <row r="64" customFormat="false" ht="18.75" hidden="false" customHeight="true" outlineLevel="0" collapsed="false">
      <c r="A64" s="35" t="n">
        <v>32</v>
      </c>
      <c r="B64" s="33" t="n">
        <v>46320</v>
      </c>
      <c r="C64" s="50" t="s">
        <v>126</v>
      </c>
      <c r="D64" s="34" t="s">
        <v>88</v>
      </c>
      <c r="E64" s="34" t="s">
        <v>103</v>
      </c>
      <c r="F64" s="35" t="s">
        <v>74</v>
      </c>
      <c r="G64" s="32" t="s">
        <v>85</v>
      </c>
      <c r="H64" s="36" t="n">
        <v>0.452673038785135</v>
      </c>
      <c r="I64" s="36" t="n">
        <v>0.250690833200746</v>
      </c>
      <c r="J64" s="36" t="n">
        <v>0.296636128014119</v>
      </c>
      <c r="K64" s="37" t="n">
        <f aca="false">IFERROR(1/MAX(H64:J64),"")</f>
        <v>2.20909997795265</v>
      </c>
      <c r="L64" s="38" t="n">
        <v>2.70625491000414</v>
      </c>
      <c r="M64" s="36" t="n">
        <v>0.507907788698148</v>
      </c>
      <c r="N64" s="37" t="n">
        <f aca="false">IFERROR(1/M64,"")</f>
        <v>1.968861321389</v>
      </c>
      <c r="O64" s="36" t="n">
        <v>0.541001846704999</v>
      </c>
      <c r="P64" s="38" t="n">
        <v>10.1400401459026</v>
      </c>
      <c r="Q64" s="38" t="n">
        <v>5.58553789536609</v>
      </c>
      <c r="R64" s="34" t="s">
        <v>86</v>
      </c>
      <c r="S64" s="36" t="n">
        <v>0.796602678188079</v>
      </c>
      <c r="T64" s="37" t="n">
        <f aca="false">IFERROR(1/S64,"")</f>
        <v>1.25533095403917</v>
      </c>
    </row>
    <row r="65" customFormat="false" ht="18.75" hidden="false" customHeight="true" outlineLevel="0" collapsed="false">
      <c r="A65" s="42" t="n">
        <v>32</v>
      </c>
      <c r="B65" s="40" t="n">
        <v>46320</v>
      </c>
      <c r="C65" s="51" t="s">
        <v>126</v>
      </c>
      <c r="D65" s="41" t="s">
        <v>84</v>
      </c>
      <c r="E65" s="41" t="s">
        <v>101</v>
      </c>
      <c r="F65" s="42" t="s">
        <v>74</v>
      </c>
      <c r="G65" s="39" t="s">
        <v>85</v>
      </c>
      <c r="H65" s="43" t="n">
        <v>0.412156902484691</v>
      </c>
      <c r="I65" s="43" t="n">
        <v>0.267311110721739</v>
      </c>
      <c r="J65" s="43" t="n">
        <v>0.32053198679357</v>
      </c>
      <c r="K65" s="44" t="n">
        <f aca="false">IFERROR(1/MAX(H65:J65),"")</f>
        <v>2.42626047015467</v>
      </c>
      <c r="L65" s="45" t="n">
        <v>2.47173979572159</v>
      </c>
      <c r="M65" s="43" t="n">
        <v>0.448917905296588</v>
      </c>
      <c r="N65" s="44" t="n">
        <f aca="false">IFERROR(1/M65,"")</f>
        <v>2.22757878044389</v>
      </c>
      <c r="O65" s="43" t="n">
        <v>0.499099930854435</v>
      </c>
      <c r="P65" s="45" t="n">
        <v>9.06329880699849</v>
      </c>
      <c r="Q65" s="45" t="n">
        <v>5.38112808540543</v>
      </c>
      <c r="R65" s="41" t="s">
        <v>86</v>
      </c>
      <c r="S65" s="43" t="n">
        <v>0.811989400170914</v>
      </c>
      <c r="T65" s="44" t="n">
        <f aca="false">IFERROR(1/S65,"")</f>
        <v>1.23154317013192</v>
      </c>
    </row>
    <row r="66" customFormat="false" ht="18.75" hidden="false" customHeight="true" outlineLevel="0" collapsed="false">
      <c r="A66" s="35" t="n">
        <v>32</v>
      </c>
      <c r="B66" s="33" t="n">
        <v>46320</v>
      </c>
      <c r="C66" s="50" t="s">
        <v>126</v>
      </c>
      <c r="D66" s="34" t="s">
        <v>106</v>
      </c>
      <c r="E66" s="34" t="s">
        <v>92</v>
      </c>
      <c r="F66" s="35" t="s">
        <v>77</v>
      </c>
      <c r="G66" s="32" t="s">
        <v>85</v>
      </c>
      <c r="H66" s="36" t="n">
        <v>0.34677540710245</v>
      </c>
      <c r="I66" s="36" t="n">
        <v>0.279811780739644</v>
      </c>
      <c r="J66" s="36" t="n">
        <v>0.373412812157906</v>
      </c>
      <c r="K66" s="37" t="n">
        <f aca="false">IFERROR(1/MAX(H66:J66),"")</f>
        <v>2.67800130965278</v>
      </c>
      <c r="L66" s="38" t="n">
        <v>2.30873821965801</v>
      </c>
      <c r="M66" s="36" t="n">
        <v>0.406277261539216</v>
      </c>
      <c r="N66" s="37" t="n">
        <f aca="false">IFERROR(1/M66,"")</f>
        <v>2.46137329027821</v>
      </c>
      <c r="O66" s="36" t="n">
        <v>0.467089364929079</v>
      </c>
      <c r="P66" s="38" t="n">
        <v>9.34669158746421</v>
      </c>
      <c r="Q66" s="38" t="n">
        <v>5.42147649767468</v>
      </c>
      <c r="R66" s="34" t="s">
        <v>86</v>
      </c>
      <c r="S66" s="36" t="n">
        <v>0.817392633118308</v>
      </c>
      <c r="T66" s="37" t="n">
        <f aca="false">IFERROR(1/S66,"")</f>
        <v>1.22340226652772</v>
      </c>
    </row>
    <row r="67" customFormat="false" ht="18.75" hidden="false" customHeight="true" outlineLevel="0" collapsed="false">
      <c r="A67" s="42" t="n">
        <v>33</v>
      </c>
      <c r="B67" s="40" t="n">
        <v>46323</v>
      </c>
      <c r="C67" s="51" t="s">
        <v>126</v>
      </c>
      <c r="D67" s="41" t="s">
        <v>90</v>
      </c>
      <c r="E67" s="41" t="s">
        <v>96</v>
      </c>
      <c r="F67" s="42" t="s">
        <v>74</v>
      </c>
      <c r="G67" s="39" t="s">
        <v>89</v>
      </c>
      <c r="H67" s="43" t="n">
        <v>0.437855750545641</v>
      </c>
      <c r="I67" s="43" t="n">
        <v>0.278339610453099</v>
      </c>
      <c r="J67" s="43" t="n">
        <v>0.28380463900126</v>
      </c>
      <c r="K67" s="44" t="n">
        <f aca="false">IFERROR(1/MAX(H67:J67),"")</f>
        <v>2.28385718071268</v>
      </c>
      <c r="L67" s="45" t="n">
        <v>2.2703873953297</v>
      </c>
      <c r="M67" s="43" t="n">
        <v>0.396093893217481</v>
      </c>
      <c r="N67" s="44" t="n">
        <f aca="false">IFERROR(1/M67,"")</f>
        <v>2.52465391949614</v>
      </c>
      <c r="O67" s="43" t="n">
        <v>0.451207343807505</v>
      </c>
      <c r="P67" s="45" t="n">
        <v>10.0435886298779</v>
      </c>
      <c r="Q67" s="45" t="n">
        <v>5.6241155138033</v>
      </c>
      <c r="R67" s="41" t="s">
        <v>86</v>
      </c>
      <c r="S67" s="43" t="n">
        <v>0.817934677836534</v>
      </c>
      <c r="T67" s="44" t="n">
        <f aca="false">IFERROR(1/S67,"")</f>
        <v>1.22259151873232</v>
      </c>
    </row>
    <row r="68" customFormat="false" ht="18.75" hidden="false" customHeight="true" outlineLevel="0" collapsed="false">
      <c r="A68" s="35" t="n">
        <v>33</v>
      </c>
      <c r="B68" s="33" t="n">
        <v>46323</v>
      </c>
      <c r="C68" s="50" t="s">
        <v>126</v>
      </c>
      <c r="D68" s="34" t="s">
        <v>103</v>
      </c>
      <c r="E68" s="34" t="s">
        <v>87</v>
      </c>
      <c r="F68" s="35" t="s">
        <v>74</v>
      </c>
      <c r="G68" s="32" t="s">
        <v>85</v>
      </c>
      <c r="H68" s="36" t="n">
        <v>0.451622690447422</v>
      </c>
      <c r="I68" s="36" t="n">
        <v>0.266599119882747</v>
      </c>
      <c r="J68" s="36" t="n">
        <v>0.281778189669831</v>
      </c>
      <c r="K68" s="37" t="n">
        <f aca="false">IFERROR(1/MAX(H68:J68),"")</f>
        <v>2.21423772797886</v>
      </c>
      <c r="L68" s="38" t="n">
        <v>2.4252262528599</v>
      </c>
      <c r="M68" s="36" t="n">
        <v>0.436868529260041</v>
      </c>
      <c r="N68" s="37" t="n">
        <f aca="false">IFERROR(1/M68,"")</f>
        <v>2.28901816684708</v>
      </c>
      <c r="O68" s="36" t="n">
        <v>0.482801438085528</v>
      </c>
      <c r="P68" s="38" t="n">
        <v>10.1824614888365</v>
      </c>
      <c r="Q68" s="38" t="n">
        <v>5.43151143677134</v>
      </c>
      <c r="R68" s="34" t="s">
        <v>86</v>
      </c>
      <c r="S68" s="36" t="n">
        <v>0.813978564329431</v>
      </c>
      <c r="T68" s="37" t="n">
        <f aca="false">IFERROR(1/S68,"")</f>
        <v>1.22853358039449</v>
      </c>
    </row>
    <row r="69" customFormat="false" ht="18.75" hidden="false" customHeight="true" outlineLevel="0" collapsed="false">
      <c r="A69" s="42" t="n">
        <v>33</v>
      </c>
      <c r="B69" s="40" t="n">
        <v>46323</v>
      </c>
      <c r="C69" s="51" t="s">
        <v>126</v>
      </c>
      <c r="D69" s="41" t="s">
        <v>91</v>
      </c>
      <c r="E69" s="41" t="s">
        <v>83</v>
      </c>
      <c r="F69" s="42" t="s">
        <v>74</v>
      </c>
      <c r="G69" s="39" t="s">
        <v>108</v>
      </c>
      <c r="H69" s="43" t="n">
        <v>0.652621885693369</v>
      </c>
      <c r="I69" s="43" t="n">
        <v>0.200522086107634</v>
      </c>
      <c r="J69" s="43" t="n">
        <v>0.146856028198997</v>
      </c>
      <c r="K69" s="44" t="n">
        <f aca="false">IFERROR(1/MAX(H69:J69),"")</f>
        <v>1.53228082281912</v>
      </c>
      <c r="L69" s="45" t="n">
        <v>2.87674431948416</v>
      </c>
      <c r="M69" s="43" t="n">
        <v>0.548653173872806</v>
      </c>
      <c r="N69" s="44" t="n">
        <f aca="false">IFERROR(1/M69,"")</f>
        <v>1.82264506544499</v>
      </c>
      <c r="O69" s="43" t="n">
        <v>0.49340637223671</v>
      </c>
      <c r="P69" s="45" t="n">
        <v>10.9932636862388</v>
      </c>
      <c r="Q69" s="45" t="n">
        <v>4.28153450948214</v>
      </c>
      <c r="R69" s="41" t="s">
        <v>94</v>
      </c>
      <c r="S69" s="43" t="n">
        <v>0.853143971801003</v>
      </c>
      <c r="T69" s="44" t="n">
        <f aca="false">IFERROR(1/S69,"")</f>
        <v>1.17213510621071</v>
      </c>
    </row>
    <row r="70" customFormat="false" ht="18.75" hidden="false" customHeight="true" outlineLevel="0" collapsed="false">
      <c r="A70" s="35" t="n">
        <v>33</v>
      </c>
      <c r="B70" s="33" t="n">
        <v>46323</v>
      </c>
      <c r="C70" s="50" t="s">
        <v>126</v>
      </c>
      <c r="D70" s="34" t="s">
        <v>101</v>
      </c>
      <c r="E70" s="34" t="s">
        <v>95</v>
      </c>
      <c r="F70" s="35" t="s">
        <v>74</v>
      </c>
      <c r="G70" s="32" t="s">
        <v>85</v>
      </c>
      <c r="H70" s="36" t="n">
        <v>0.433323322665609</v>
      </c>
      <c r="I70" s="36" t="n">
        <v>0.26786967721078</v>
      </c>
      <c r="J70" s="36" t="n">
        <v>0.298807000123611</v>
      </c>
      <c r="K70" s="37" t="n">
        <f aca="false">IFERROR(1/MAX(H70:J70),"")</f>
        <v>2.30774562017215</v>
      </c>
      <c r="L70" s="38" t="n">
        <v>2.43584834219288</v>
      </c>
      <c r="M70" s="36" t="n">
        <v>0.439629113862875</v>
      </c>
      <c r="N70" s="37" t="n">
        <f aca="false">IFERROR(1/M70,"")</f>
        <v>2.27464462308543</v>
      </c>
      <c r="O70" s="36" t="n">
        <v>0.488522288223722</v>
      </c>
      <c r="P70" s="38" t="n">
        <v>10.6936482644563</v>
      </c>
      <c r="Q70" s="38" t="n">
        <v>5.59714506205062</v>
      </c>
      <c r="R70" s="34" t="s">
        <v>86</v>
      </c>
      <c r="S70" s="36" t="n">
        <v>0.81356357802561</v>
      </c>
      <c r="T70" s="37" t="n">
        <f aca="false">IFERROR(1/S70,"")</f>
        <v>1.22916023653227</v>
      </c>
    </row>
    <row r="71" customFormat="false" ht="18.75" hidden="false" customHeight="true" outlineLevel="0" collapsed="false">
      <c r="A71" s="42" t="n">
        <v>33</v>
      </c>
      <c r="B71" s="40" t="n">
        <v>46323</v>
      </c>
      <c r="C71" s="51" t="s">
        <v>126</v>
      </c>
      <c r="D71" s="41" t="s">
        <v>99</v>
      </c>
      <c r="E71" s="41" t="s">
        <v>106</v>
      </c>
      <c r="F71" s="42" t="s">
        <v>74</v>
      </c>
      <c r="G71" s="39" t="s">
        <v>85</v>
      </c>
      <c r="H71" s="43" t="n">
        <v>0.461792939476874</v>
      </c>
      <c r="I71" s="43" t="n">
        <v>0.254127917591347</v>
      </c>
      <c r="J71" s="43" t="n">
        <v>0.284079142931779</v>
      </c>
      <c r="K71" s="44" t="n">
        <f aca="false">IFERROR(1/MAX(H71:J71),"")</f>
        <v>2.16547269244267</v>
      </c>
      <c r="L71" s="45" t="n">
        <v>2.62109663493381</v>
      </c>
      <c r="M71" s="43" t="n">
        <v>0.486854756348318</v>
      </c>
      <c r="N71" s="44" t="n">
        <f aca="false">IFERROR(1/M71,"")</f>
        <v>2.05400067876621</v>
      </c>
      <c r="O71" s="43" t="n">
        <v>0.522025142088135</v>
      </c>
      <c r="P71" s="45" t="n">
        <v>9.01349632264351</v>
      </c>
      <c r="Q71" s="45" t="n">
        <v>5.37865592895108</v>
      </c>
      <c r="R71" s="41" t="s">
        <v>86</v>
      </c>
      <c r="S71" s="43" t="n">
        <v>0.803135807045643</v>
      </c>
      <c r="T71" s="44" t="n">
        <f aca="false">IFERROR(1/S71,"")</f>
        <v>1.24511943214004</v>
      </c>
    </row>
    <row r="72" customFormat="false" ht="18.75" hidden="false" customHeight="true" outlineLevel="0" collapsed="false">
      <c r="A72" s="35" t="n">
        <v>33</v>
      </c>
      <c r="B72" s="33" t="n">
        <v>46323</v>
      </c>
      <c r="C72" s="50" t="s">
        <v>126</v>
      </c>
      <c r="D72" s="34" t="s">
        <v>98</v>
      </c>
      <c r="E72" s="34" t="s">
        <v>100</v>
      </c>
      <c r="F72" s="35" t="s">
        <v>74</v>
      </c>
      <c r="G72" s="32" t="s">
        <v>89</v>
      </c>
      <c r="H72" s="36" t="n">
        <v>0.488756030674576</v>
      </c>
      <c r="I72" s="36" t="n">
        <v>0.264725942875028</v>
      </c>
      <c r="J72" s="36" t="n">
        <v>0.246518026450396</v>
      </c>
      <c r="K72" s="37" t="n">
        <f aca="false">IFERROR(1/MAX(H72:J72),"")</f>
        <v>2.04601055995117</v>
      </c>
      <c r="L72" s="38" t="n">
        <v>2.37050716654742</v>
      </c>
      <c r="M72" s="36" t="n">
        <v>0.422567875865997</v>
      </c>
      <c r="N72" s="37" t="n">
        <f aca="false">IFERROR(1/M72,"")</f>
        <v>2.36648372276438</v>
      </c>
      <c r="O72" s="36" t="n">
        <v>0.461237576053878</v>
      </c>
      <c r="P72" s="38" t="n">
        <v>9.34662017383915</v>
      </c>
      <c r="Q72" s="38" t="n">
        <v>5.4611173279539</v>
      </c>
      <c r="R72" s="34" t="s">
        <v>86</v>
      </c>
      <c r="S72" s="36" t="n">
        <v>0.815832856021549</v>
      </c>
      <c r="T72" s="37" t="n">
        <f aca="false">IFERROR(1/S72,"")</f>
        <v>1.22574126871594</v>
      </c>
    </row>
    <row r="73" customFormat="false" ht="18.75" hidden="false" customHeight="true" outlineLevel="0" collapsed="false">
      <c r="A73" s="42" t="n">
        <v>33</v>
      </c>
      <c r="B73" s="40" t="n">
        <v>46323</v>
      </c>
      <c r="C73" s="51" t="s">
        <v>126</v>
      </c>
      <c r="D73" s="41" t="s">
        <v>105</v>
      </c>
      <c r="E73" s="41" t="s">
        <v>92</v>
      </c>
      <c r="F73" s="42" t="s">
        <v>74</v>
      </c>
      <c r="G73" s="39" t="s">
        <v>85</v>
      </c>
      <c r="H73" s="43" t="n">
        <v>0.428918087517414</v>
      </c>
      <c r="I73" s="43" t="n">
        <v>0.265920880638504</v>
      </c>
      <c r="J73" s="43" t="n">
        <v>0.305161031844082</v>
      </c>
      <c r="K73" s="44" t="n">
        <f aca="false">IFERROR(1/MAX(H73:J73),"")</f>
        <v>2.33144749336177</v>
      </c>
      <c r="L73" s="45" t="n">
        <v>2.47388343938105</v>
      </c>
      <c r="M73" s="43" t="n">
        <v>0.449470793477639</v>
      </c>
      <c r="N73" s="44" t="n">
        <f aca="false">IFERROR(1/M73,"")</f>
        <v>2.22483866473907</v>
      </c>
      <c r="O73" s="43" t="n">
        <v>0.497335239804342</v>
      </c>
      <c r="P73" s="45" t="n">
        <v>9.51495231900231</v>
      </c>
      <c r="Q73" s="45" t="n">
        <v>5.46727650937947</v>
      </c>
      <c r="R73" s="41" t="s">
        <v>86</v>
      </c>
      <c r="S73" s="43" t="n">
        <v>0.81188038578858</v>
      </c>
      <c r="T73" s="44" t="n">
        <f aca="false">IFERROR(1/S73,"")</f>
        <v>1.23170853429191</v>
      </c>
    </row>
    <row r="74" customFormat="false" ht="18.75" hidden="false" customHeight="true" outlineLevel="0" collapsed="false">
      <c r="A74" s="35" t="n">
        <v>33</v>
      </c>
      <c r="B74" s="33" t="n">
        <v>46323</v>
      </c>
      <c r="C74" s="50" t="s">
        <v>126</v>
      </c>
      <c r="D74" s="34" t="s">
        <v>104</v>
      </c>
      <c r="E74" s="34" t="s">
        <v>93</v>
      </c>
      <c r="F74" s="35" t="s">
        <v>77</v>
      </c>
      <c r="G74" s="32" t="s">
        <v>85</v>
      </c>
      <c r="H74" s="36" t="n">
        <v>0.315487972235046</v>
      </c>
      <c r="I74" s="36" t="n">
        <v>0.249894435047321</v>
      </c>
      <c r="J74" s="36" t="n">
        <v>0.434617592717633</v>
      </c>
      <c r="K74" s="37" t="n">
        <f aca="false">IFERROR(1/MAX(H74:J74),"")</f>
        <v>2.30087326596025</v>
      </c>
      <c r="L74" s="38" t="n">
        <v>2.75468111347333</v>
      </c>
      <c r="M74" s="36" t="n">
        <v>0.519675369504936</v>
      </c>
      <c r="N74" s="37" t="n">
        <f aca="false">IFERROR(1/M74,"")</f>
        <v>1.92427822960446</v>
      </c>
      <c r="O74" s="36" t="n">
        <v>0.553409569229142</v>
      </c>
      <c r="P74" s="38" t="n">
        <v>10.171936206916</v>
      </c>
      <c r="Q74" s="38" t="n">
        <v>4.35001254319889</v>
      </c>
      <c r="R74" s="34" t="s">
        <v>86</v>
      </c>
      <c r="S74" s="36" t="n">
        <v>0.792440264810426</v>
      </c>
      <c r="T74" s="37" t="n">
        <f aca="false">IFERROR(1/S74,"")</f>
        <v>1.26192477137596</v>
      </c>
    </row>
    <row r="75" customFormat="false" ht="18.75" hidden="false" customHeight="true" outlineLevel="0" collapsed="false">
      <c r="A75" s="42" t="n">
        <v>33</v>
      </c>
      <c r="B75" s="40" t="n">
        <v>46323</v>
      </c>
      <c r="C75" s="51" t="s">
        <v>126</v>
      </c>
      <c r="D75" s="41" t="s">
        <v>88</v>
      </c>
      <c r="E75" s="41" t="s">
        <v>102</v>
      </c>
      <c r="F75" s="42" t="s">
        <v>77</v>
      </c>
      <c r="G75" s="39" t="s">
        <v>85</v>
      </c>
      <c r="H75" s="43" t="n">
        <v>0.269291234031585</v>
      </c>
      <c r="I75" s="43" t="n">
        <v>0.261058765675232</v>
      </c>
      <c r="J75" s="43" t="n">
        <v>0.469650000293183</v>
      </c>
      <c r="K75" s="44" t="n">
        <f aca="false">IFERROR(1/MAX(H75:J75),"")</f>
        <v>2.12924518125357</v>
      </c>
      <c r="L75" s="45" t="n">
        <v>2.4793369072593</v>
      </c>
      <c r="M75" s="43" t="n">
        <v>0.450876436744286</v>
      </c>
      <c r="N75" s="44" t="n">
        <f aca="false">IFERROR(1/M75,"")</f>
        <v>2.21790255268352</v>
      </c>
      <c r="O75" s="43" t="n">
        <v>0.490426497242812</v>
      </c>
      <c r="P75" s="45" t="n">
        <v>10.6453010649116</v>
      </c>
      <c r="Q75" s="45" t="n">
        <v>5.23855710434931</v>
      </c>
      <c r="R75" s="41" t="s">
        <v>86</v>
      </c>
      <c r="S75" s="43" t="n">
        <v>0.811591560087066</v>
      </c>
      <c r="T75" s="44" t="n">
        <f aca="false">IFERROR(1/S75,"")</f>
        <v>1.23214686940895</v>
      </c>
    </row>
    <row r="76" customFormat="false" ht="18.75" hidden="false" customHeight="true" outlineLevel="0" collapsed="false">
      <c r="A76" s="35" t="n">
        <v>33</v>
      </c>
      <c r="B76" s="33" t="n">
        <v>46323</v>
      </c>
      <c r="C76" s="50" t="s">
        <v>126</v>
      </c>
      <c r="D76" s="34" t="s">
        <v>84</v>
      </c>
      <c r="E76" s="34" t="s">
        <v>8</v>
      </c>
      <c r="F76" s="35" t="s">
        <v>77</v>
      </c>
      <c r="G76" s="32" t="s">
        <v>85</v>
      </c>
      <c r="H76" s="36" t="n">
        <v>0.246718409100986</v>
      </c>
      <c r="I76" s="36" t="n">
        <v>0.234466675867208</v>
      </c>
      <c r="J76" s="36" t="n">
        <v>0.518814915031806</v>
      </c>
      <c r="K76" s="37" t="n">
        <f aca="false">IFERROR(1/MAX(H76:J76),"")</f>
        <v>1.92746964481292</v>
      </c>
      <c r="L76" s="38" t="n">
        <v>2.85365494616413</v>
      </c>
      <c r="M76" s="36" t="n">
        <v>0.543241188635287</v>
      </c>
      <c r="N76" s="37" t="n">
        <f aca="false">IFERROR(1/M76,"")</f>
        <v>1.8408029820275</v>
      </c>
      <c r="O76" s="36" t="n">
        <v>0.553361531307425</v>
      </c>
      <c r="P76" s="38" t="n">
        <v>9.07464781713678</v>
      </c>
      <c r="Q76" s="38" t="n">
        <v>4.42360386461224</v>
      </c>
      <c r="R76" s="34" t="s">
        <v>86</v>
      </c>
      <c r="S76" s="36" t="n">
        <v>0.782905714894701</v>
      </c>
      <c r="T76" s="37" t="n">
        <f aca="false">IFERROR(1/S76,"")</f>
        <v>1.27729301367343</v>
      </c>
    </row>
    <row r="77" customFormat="false" ht="18.75" hidden="false" customHeight="true" outlineLevel="0" collapsed="false">
      <c r="A77" s="42" t="n">
        <v>34</v>
      </c>
      <c r="B77" s="40" t="n">
        <v>46330</v>
      </c>
      <c r="C77" s="51" t="s">
        <v>126</v>
      </c>
      <c r="D77" s="41" t="s">
        <v>92</v>
      </c>
      <c r="E77" s="41" t="s">
        <v>84</v>
      </c>
      <c r="F77" s="42" t="s">
        <v>74</v>
      </c>
      <c r="G77" s="39" t="s">
        <v>89</v>
      </c>
      <c r="H77" s="43" t="n">
        <v>0.560829226403294</v>
      </c>
      <c r="I77" s="43" t="n">
        <v>0.23249850589652</v>
      </c>
      <c r="J77" s="43" t="n">
        <v>0.206672267700187</v>
      </c>
      <c r="K77" s="44" t="n">
        <f aca="false">IFERROR(1/MAX(H77:J77),"")</f>
        <v>1.7830739785321</v>
      </c>
      <c r="L77" s="45" t="n">
        <v>2.70807606961655</v>
      </c>
      <c r="M77" s="43" t="n">
        <v>0.508356106741066</v>
      </c>
      <c r="N77" s="44" t="n">
        <f aca="false">IFERROR(1/M77,"")</f>
        <v>1.96712498726676</v>
      </c>
      <c r="O77" s="43" t="n">
        <v>0.508199065873314</v>
      </c>
      <c r="P77" s="45" t="n">
        <v>9.47344198257393</v>
      </c>
      <c r="Q77" s="45" t="n">
        <v>4.44354036086511</v>
      </c>
      <c r="R77" s="41" t="s">
        <v>86</v>
      </c>
      <c r="S77" s="43" t="n">
        <v>0.796352310445417</v>
      </c>
      <c r="T77" s="44" t="n">
        <f aca="false">IFERROR(1/S77,"")</f>
        <v>1.2557256215414</v>
      </c>
    </row>
    <row r="78" customFormat="false" ht="18.75" hidden="false" customHeight="true" outlineLevel="0" collapsed="false">
      <c r="A78" s="35" t="n">
        <v>34</v>
      </c>
      <c r="B78" s="33" t="n">
        <v>46330</v>
      </c>
      <c r="C78" s="50" t="s">
        <v>126</v>
      </c>
      <c r="D78" s="34" t="s">
        <v>93</v>
      </c>
      <c r="E78" s="34" t="s">
        <v>90</v>
      </c>
      <c r="F78" s="35" t="s">
        <v>74</v>
      </c>
      <c r="G78" s="32" t="s">
        <v>89</v>
      </c>
      <c r="H78" s="36" t="n">
        <v>0.488625056631443</v>
      </c>
      <c r="I78" s="36" t="n">
        <v>0.25596404955589</v>
      </c>
      <c r="J78" s="36" t="n">
        <v>0.255410893812668</v>
      </c>
      <c r="K78" s="37" t="n">
        <f aca="false">IFERROR(1/MAX(H78:J78),"")</f>
        <v>2.04655898511213</v>
      </c>
      <c r="L78" s="38" t="n">
        <v>2.51978078877051</v>
      </c>
      <c r="M78" s="36" t="n">
        <v>0.461251976009507</v>
      </c>
      <c r="N78" s="37" t="n">
        <f aca="false">IFERROR(1/M78,"")</f>
        <v>2.16801239238352</v>
      </c>
      <c r="O78" s="36" t="n">
        <v>0.494111806149052</v>
      </c>
      <c r="P78" s="38" t="n">
        <v>9.27214757509669</v>
      </c>
      <c r="Q78" s="38" t="n">
        <v>5.38231465701601</v>
      </c>
      <c r="R78" s="34" t="s">
        <v>86</v>
      </c>
      <c r="S78" s="36" t="n">
        <v>0.809484746602207</v>
      </c>
      <c r="T78" s="37" t="n">
        <f aca="false">IFERROR(1/S78,"")</f>
        <v>1.23535372864958</v>
      </c>
    </row>
    <row r="79" customFormat="false" ht="18.75" hidden="false" customHeight="true" outlineLevel="0" collapsed="false">
      <c r="A79" s="42" t="n">
        <v>34</v>
      </c>
      <c r="B79" s="40" t="n">
        <v>46330</v>
      </c>
      <c r="C79" s="51" t="s">
        <v>126</v>
      </c>
      <c r="D79" s="41" t="s">
        <v>91</v>
      </c>
      <c r="E79" s="41" t="s">
        <v>88</v>
      </c>
      <c r="F79" s="42" t="s">
        <v>74</v>
      </c>
      <c r="G79" s="39" t="s">
        <v>85</v>
      </c>
      <c r="H79" s="43" t="n">
        <v>0.485510779136609</v>
      </c>
      <c r="I79" s="43" t="n">
        <v>0.251637820008903</v>
      </c>
      <c r="J79" s="43" t="n">
        <v>0.262851400854488</v>
      </c>
      <c r="K79" s="44" t="n">
        <f aca="false">IFERROR(1/MAX(H79:J79),"")</f>
        <v>2.05968650537134</v>
      </c>
      <c r="L79" s="45" t="n">
        <v>2.60819890439792</v>
      </c>
      <c r="M79" s="43" t="n">
        <v>0.483628179778975</v>
      </c>
      <c r="N79" s="44" t="n">
        <f aca="false">IFERROR(1/M79,"")</f>
        <v>2.06770416160823</v>
      </c>
      <c r="O79" s="43" t="n">
        <v>0.513669327911794</v>
      </c>
      <c r="P79" s="45" t="n">
        <v>10.9437434750104</v>
      </c>
      <c r="Q79" s="45" t="n">
        <v>5.61849519842743</v>
      </c>
      <c r="R79" s="41" t="s">
        <v>86</v>
      </c>
      <c r="S79" s="43" t="n">
        <v>0.804015977316446</v>
      </c>
      <c r="T79" s="44" t="n">
        <f aca="false">IFERROR(1/S79,"")</f>
        <v>1.24375637824722</v>
      </c>
    </row>
    <row r="80" customFormat="false" ht="18.75" hidden="false" customHeight="true" outlineLevel="0" collapsed="false">
      <c r="A80" s="35" t="n">
        <v>34</v>
      </c>
      <c r="B80" s="33" t="n">
        <v>46330</v>
      </c>
      <c r="C80" s="50" t="s">
        <v>126</v>
      </c>
      <c r="D80" s="34" t="s">
        <v>83</v>
      </c>
      <c r="E80" s="34" t="s">
        <v>95</v>
      </c>
      <c r="F80" s="35" t="s">
        <v>77</v>
      </c>
      <c r="G80" s="32" t="s">
        <v>85</v>
      </c>
      <c r="H80" s="36" t="n">
        <v>0.268212555734817</v>
      </c>
      <c r="I80" s="36" t="n">
        <v>0.240733916109163</v>
      </c>
      <c r="J80" s="36" t="n">
        <v>0.49105352815602</v>
      </c>
      <c r="K80" s="37" t="n">
        <f aca="false">IFERROR(1/MAX(H80:J80),"")</f>
        <v>2.0364378680979</v>
      </c>
      <c r="L80" s="38" t="n">
        <v>2.81274382608719</v>
      </c>
      <c r="M80" s="36" t="n">
        <v>0.533581201490536</v>
      </c>
      <c r="N80" s="37" t="n">
        <f aca="false">IFERROR(1/M80,"")</f>
        <v>1.87412899331263</v>
      </c>
      <c r="O80" s="36" t="n">
        <v>0.553403221302399</v>
      </c>
      <c r="P80" s="38" t="n">
        <v>10.6266699824491</v>
      </c>
      <c r="Q80" s="38" t="n">
        <v>3.63274744734093</v>
      </c>
      <c r="R80" s="34" t="s">
        <v>86</v>
      </c>
      <c r="S80" s="36" t="n">
        <v>0.78699690589814</v>
      </c>
      <c r="T80" s="37" t="n">
        <f aca="false">IFERROR(1/S80,"")</f>
        <v>1.27065302608627</v>
      </c>
    </row>
    <row r="81" customFormat="false" ht="18.75" hidden="false" customHeight="true" outlineLevel="0" collapsed="false">
      <c r="A81" s="42" t="n">
        <v>34</v>
      </c>
      <c r="B81" s="40" t="n">
        <v>46330</v>
      </c>
      <c r="C81" s="51" t="s">
        <v>126</v>
      </c>
      <c r="D81" s="41" t="s">
        <v>96</v>
      </c>
      <c r="E81" s="41" t="s">
        <v>103</v>
      </c>
      <c r="F81" s="42" t="s">
        <v>74</v>
      </c>
      <c r="G81" s="39" t="s">
        <v>89</v>
      </c>
      <c r="H81" s="43" t="n">
        <v>0.514548977154803</v>
      </c>
      <c r="I81" s="43" t="n">
        <v>0.253881503931163</v>
      </c>
      <c r="J81" s="43" t="n">
        <v>0.231569518914034</v>
      </c>
      <c r="K81" s="44" t="n">
        <f aca="false">IFERROR(1/MAX(H81:J81),"")</f>
        <v>1.94344959255287</v>
      </c>
      <c r="L81" s="45" t="n">
        <v>2.47669390575004</v>
      </c>
      <c r="M81" s="43" t="n">
        <v>0.45019609475357</v>
      </c>
      <c r="N81" s="44" t="n">
        <f aca="false">IFERROR(1/M81,"")</f>
        <v>2.22125427486745</v>
      </c>
      <c r="O81" s="43" t="n">
        <v>0.476525716331916</v>
      </c>
      <c r="P81" s="45" t="n">
        <v>10.3085688953249</v>
      </c>
      <c r="Q81" s="45" t="n">
        <v>5.9210852505259</v>
      </c>
      <c r="R81" s="41" t="s">
        <v>86</v>
      </c>
      <c r="S81" s="43" t="n">
        <v>0.81167391761352</v>
      </c>
      <c r="T81" s="44" t="n">
        <f aca="false">IFERROR(1/S81,"")</f>
        <v>1.23202184805962</v>
      </c>
    </row>
    <row r="82" customFormat="false" ht="18.75" hidden="false" customHeight="true" outlineLevel="0" collapsed="false">
      <c r="A82" s="35" t="n">
        <v>34</v>
      </c>
      <c r="B82" s="33" t="n">
        <v>46330</v>
      </c>
      <c r="C82" s="50" t="s">
        <v>126</v>
      </c>
      <c r="D82" s="34" t="s">
        <v>8</v>
      </c>
      <c r="E82" s="34" t="s">
        <v>105</v>
      </c>
      <c r="F82" s="35" t="s">
        <v>74</v>
      </c>
      <c r="G82" s="32" t="s">
        <v>108</v>
      </c>
      <c r="H82" s="36" t="n">
        <v>0.684039405587102</v>
      </c>
      <c r="I82" s="36" t="n">
        <v>0.186901425211006</v>
      </c>
      <c r="J82" s="36" t="n">
        <v>0.129059169201892</v>
      </c>
      <c r="K82" s="37" t="n">
        <f aca="false">IFERROR(1/MAX(H82:J82),"")</f>
        <v>1.46190408305749</v>
      </c>
      <c r="L82" s="38" t="n">
        <v>2.97003562737953</v>
      </c>
      <c r="M82" s="36" t="n">
        <v>0.57009025941437</v>
      </c>
      <c r="N82" s="37" t="n">
        <f aca="false">IFERROR(1/M82,"")</f>
        <v>1.75410820214199</v>
      </c>
      <c r="O82" s="36" t="n">
        <v>0.490456907670505</v>
      </c>
      <c r="P82" s="38" t="n">
        <v>9.68180843361123</v>
      </c>
      <c r="Q82" s="38" t="n">
        <v>5.49412372624122</v>
      </c>
      <c r="R82" s="34" t="s">
        <v>94</v>
      </c>
      <c r="S82" s="36" t="n">
        <v>0.870940830798108</v>
      </c>
      <c r="T82" s="37" t="n">
        <f aca="false">IFERROR(1/S82,"")</f>
        <v>1.14818362469426</v>
      </c>
    </row>
    <row r="83" customFormat="false" ht="18.75" hidden="false" customHeight="true" outlineLevel="0" collapsed="false">
      <c r="A83" s="42" t="n">
        <v>34</v>
      </c>
      <c r="B83" s="40" t="n">
        <v>46330</v>
      </c>
      <c r="C83" s="51" t="s">
        <v>126</v>
      </c>
      <c r="D83" s="41" t="s">
        <v>100</v>
      </c>
      <c r="E83" s="41" t="s">
        <v>99</v>
      </c>
      <c r="F83" s="42" t="s">
        <v>74</v>
      </c>
      <c r="G83" s="39" t="s">
        <v>89</v>
      </c>
      <c r="H83" s="43" t="n">
        <v>0.598493345102832</v>
      </c>
      <c r="I83" s="43" t="n">
        <v>0.220000443716259</v>
      </c>
      <c r="J83" s="43" t="n">
        <v>0.181506211180909</v>
      </c>
      <c r="K83" s="44" t="n">
        <f aca="false">IFERROR(1/MAX(H83:J83),"")</f>
        <v>1.67086235491588</v>
      </c>
      <c r="L83" s="45" t="n">
        <v>2.78156440588364</v>
      </c>
      <c r="M83" s="43" t="n">
        <v>0.526147900307121</v>
      </c>
      <c r="N83" s="44" t="n">
        <f aca="false">IFERROR(1/M83,"")</f>
        <v>1.90060627328606</v>
      </c>
      <c r="O83" s="43" t="n">
        <v>0.505599498703513</v>
      </c>
      <c r="P83" s="45" t="n">
        <v>10.4952338129081</v>
      </c>
      <c r="Q83" s="45" t="n">
        <v>4.89536078048706</v>
      </c>
      <c r="R83" s="41" t="s">
        <v>94</v>
      </c>
      <c r="S83" s="43" t="n">
        <v>0.818493788819091</v>
      </c>
      <c r="T83" s="44" t="n">
        <f aca="false">IFERROR(1/S83,"")</f>
        <v>1.22175636963939</v>
      </c>
    </row>
    <row r="84" customFormat="false" ht="18.75" hidden="false" customHeight="true" outlineLevel="0" collapsed="false">
      <c r="A84" s="35" t="n">
        <v>34</v>
      </c>
      <c r="B84" s="33" t="n">
        <v>46330</v>
      </c>
      <c r="C84" s="50" t="s">
        <v>126</v>
      </c>
      <c r="D84" s="34" t="s">
        <v>102</v>
      </c>
      <c r="E84" s="34" t="s">
        <v>104</v>
      </c>
      <c r="F84" s="35" t="s">
        <v>74</v>
      </c>
      <c r="G84" s="32" t="s">
        <v>108</v>
      </c>
      <c r="H84" s="36" t="n">
        <v>0.770290783786222</v>
      </c>
      <c r="I84" s="36" t="n">
        <v>0.14852375044515</v>
      </c>
      <c r="J84" s="36" t="n">
        <v>0.081185465768628</v>
      </c>
      <c r="K84" s="37" t="n">
        <f aca="false">IFERROR(1/MAX(H84:J84),"")</f>
        <v>1.29821104062116</v>
      </c>
      <c r="L84" s="38" t="n">
        <v>3.14205511113359</v>
      </c>
      <c r="M84" s="36" t="n">
        <v>0.607955069493217</v>
      </c>
      <c r="N84" s="37" t="n">
        <f aca="false">IFERROR(1/M84,"")</f>
        <v>1.64485839526527</v>
      </c>
      <c r="O84" s="36" t="n">
        <v>0.445792544492652</v>
      </c>
      <c r="P84" s="38" t="n">
        <v>12.7235437884781</v>
      </c>
      <c r="Q84" s="38" t="n">
        <v>4.07959772364133</v>
      </c>
      <c r="R84" s="34" t="s">
        <v>94</v>
      </c>
      <c r="S84" s="36" t="n">
        <v>0.918814534231372</v>
      </c>
      <c r="T84" s="37" t="n">
        <f aca="false">IFERROR(1/S84,"")</f>
        <v>1.08835892635998</v>
      </c>
    </row>
    <row r="85" customFormat="false" ht="18.75" hidden="false" customHeight="true" outlineLevel="0" collapsed="false">
      <c r="A85" s="42" t="n">
        <v>34</v>
      </c>
      <c r="B85" s="40" t="n">
        <v>46330</v>
      </c>
      <c r="C85" s="51" t="s">
        <v>126</v>
      </c>
      <c r="D85" s="41" t="s">
        <v>87</v>
      </c>
      <c r="E85" s="41" t="s">
        <v>101</v>
      </c>
      <c r="F85" s="42" t="s">
        <v>74</v>
      </c>
      <c r="G85" s="39" t="s">
        <v>89</v>
      </c>
      <c r="H85" s="43" t="n">
        <v>0.462671613359736</v>
      </c>
      <c r="I85" s="43" t="n">
        <v>0.283663484857175</v>
      </c>
      <c r="J85" s="43" t="n">
        <v>0.253664901783089</v>
      </c>
      <c r="K85" s="44" t="n">
        <f aca="false">IFERROR(1/MAX(H85:J85),"")</f>
        <v>2.1613601766886</v>
      </c>
      <c r="L85" s="45" t="n">
        <v>2.15268551101328</v>
      </c>
      <c r="M85" s="43" t="n">
        <v>0.364574078032196</v>
      </c>
      <c r="N85" s="44" t="n">
        <f aca="false">IFERROR(1/M85,"")</f>
        <v>2.74292677471076</v>
      </c>
      <c r="O85" s="43" t="n">
        <v>0.418258926774453</v>
      </c>
      <c r="P85" s="45" t="n">
        <v>10.0915819973945</v>
      </c>
      <c r="Q85" s="45" t="n">
        <v>6.17744662837342</v>
      </c>
      <c r="R85" s="41" t="s">
        <v>97</v>
      </c>
      <c r="S85" s="43" t="n">
        <v>0.828574420119051</v>
      </c>
      <c r="T85" s="44" t="n">
        <f aca="false">IFERROR(1/S85,"")</f>
        <v>1.20689219425374</v>
      </c>
    </row>
    <row r="86" customFormat="false" ht="18.75" hidden="false" customHeight="true" outlineLevel="0" collapsed="false">
      <c r="A86" s="35" t="n">
        <v>34</v>
      </c>
      <c r="B86" s="33" t="n">
        <v>46330</v>
      </c>
      <c r="C86" s="50" t="s">
        <v>126</v>
      </c>
      <c r="D86" s="34" t="s">
        <v>106</v>
      </c>
      <c r="E86" s="34" t="s">
        <v>98</v>
      </c>
      <c r="F86" s="35" t="s">
        <v>77</v>
      </c>
      <c r="G86" s="32" t="s">
        <v>85</v>
      </c>
      <c r="H86" s="36" t="n">
        <v>0.335892621237886</v>
      </c>
      <c r="I86" s="36" t="n">
        <v>0.280141945003855</v>
      </c>
      <c r="J86" s="36" t="n">
        <v>0.383965433758259</v>
      </c>
      <c r="K86" s="37" t="n">
        <f aca="false">IFERROR(1/MAX(H86:J86),"")</f>
        <v>2.60440110509945</v>
      </c>
      <c r="L86" s="38" t="n">
        <v>2.30012060329465</v>
      </c>
      <c r="M86" s="36" t="n">
        <v>0.403993335583998</v>
      </c>
      <c r="N86" s="37" t="n">
        <f aca="false">IFERROR(1/M86,"")</f>
        <v>2.47528835730529</v>
      </c>
      <c r="O86" s="36" t="n">
        <v>0.464706683838156</v>
      </c>
      <c r="P86" s="38" t="n">
        <v>8.81834543299445</v>
      </c>
      <c r="Q86" s="38" t="n">
        <v>5.89072006745317</v>
      </c>
      <c r="R86" s="34" t="s">
        <v>86</v>
      </c>
      <c r="S86" s="36" t="n">
        <v>0.817543006461994</v>
      </c>
      <c r="T86" s="37" t="n">
        <f aca="false">IFERROR(1/S86,"")</f>
        <v>1.22317724217055</v>
      </c>
    </row>
    <row r="87" customFormat="false" ht="18.75" hidden="false" customHeight="true" outlineLevel="0" collapsed="false">
      <c r="A87" s="42" t="n">
        <v>35</v>
      </c>
      <c r="B87" s="40" t="n">
        <v>46344</v>
      </c>
      <c r="C87" s="51" t="s">
        <v>126</v>
      </c>
      <c r="D87" s="41" t="s">
        <v>101</v>
      </c>
      <c r="E87" s="41" t="s">
        <v>93</v>
      </c>
      <c r="F87" s="42" t="s">
        <v>74</v>
      </c>
      <c r="G87" s="39" t="s">
        <v>85</v>
      </c>
      <c r="H87" s="43" t="n">
        <v>0.411581103777085</v>
      </c>
      <c r="I87" s="43" t="n">
        <v>0.276400828648805</v>
      </c>
      <c r="J87" s="43" t="n">
        <v>0.312018067574111</v>
      </c>
      <c r="K87" s="44" t="n">
        <f aca="false">IFERROR(1/MAX(H87:J87),"")</f>
        <v>2.42965478935497</v>
      </c>
      <c r="L87" s="45" t="n">
        <v>2.33261304057584</v>
      </c>
      <c r="M87" s="43" t="n">
        <v>0.412590963764319</v>
      </c>
      <c r="N87" s="44" t="n">
        <f aca="false">IFERROR(1/M87,"")</f>
        <v>2.42370795248735</v>
      </c>
      <c r="O87" s="43" t="n">
        <v>0.46925641905771</v>
      </c>
      <c r="P87" s="45" t="n">
        <v>9.1375667691395</v>
      </c>
      <c r="Q87" s="45" t="n">
        <v>6.57846383259717</v>
      </c>
      <c r="R87" s="41" t="s">
        <v>86</v>
      </c>
      <c r="S87" s="43" t="n">
        <v>0.816887829063282</v>
      </c>
      <c r="T87" s="44" t="n">
        <f aca="false">IFERROR(1/S87,"")</f>
        <v>1.22415828027049</v>
      </c>
    </row>
    <row r="88" customFormat="false" ht="18.75" hidden="false" customHeight="true" outlineLevel="0" collapsed="false">
      <c r="A88" s="35" t="n">
        <v>35</v>
      </c>
      <c r="B88" s="33" t="n">
        <v>46344</v>
      </c>
      <c r="C88" s="50" t="s">
        <v>126</v>
      </c>
      <c r="D88" s="34" t="s">
        <v>99</v>
      </c>
      <c r="E88" s="34" t="s">
        <v>88</v>
      </c>
      <c r="F88" s="35" t="s">
        <v>74</v>
      </c>
      <c r="G88" s="32" t="s">
        <v>85</v>
      </c>
      <c r="H88" s="36" t="n">
        <v>0.396012732313812</v>
      </c>
      <c r="I88" s="36" t="n">
        <v>0.250068041588119</v>
      </c>
      <c r="J88" s="36" t="n">
        <v>0.35391922609807</v>
      </c>
      <c r="K88" s="37" t="n">
        <f aca="false">IFERROR(1/MAX(H88:J88),"")</f>
        <v>2.525171335167</v>
      </c>
      <c r="L88" s="38" t="n">
        <v>2.79282859678933</v>
      </c>
      <c r="M88" s="36" t="n">
        <v>0.528836149655343</v>
      </c>
      <c r="N88" s="37" t="n">
        <f aca="false">IFERROR(1/M88,"")</f>
        <v>1.89094486194207</v>
      </c>
      <c r="O88" s="36" t="n">
        <v>0.56434970264234</v>
      </c>
      <c r="P88" s="38" t="n">
        <v>9.86732376758761</v>
      </c>
      <c r="Q88" s="38" t="n">
        <v>5.17404969611861</v>
      </c>
      <c r="R88" s="34" t="s">
        <v>86</v>
      </c>
      <c r="S88" s="36" t="n">
        <v>0.788944613855901</v>
      </c>
      <c r="T88" s="37" t="n">
        <f aca="false">IFERROR(1/S88,"")</f>
        <v>1.26751609991047</v>
      </c>
    </row>
    <row r="89" customFormat="false" ht="18.75" hidden="false" customHeight="true" outlineLevel="0" collapsed="false">
      <c r="A89" s="42" t="n">
        <v>35</v>
      </c>
      <c r="B89" s="40" t="n">
        <v>46344</v>
      </c>
      <c r="C89" s="51" t="s">
        <v>126</v>
      </c>
      <c r="D89" s="41" t="s">
        <v>96</v>
      </c>
      <c r="E89" s="41" t="s">
        <v>102</v>
      </c>
      <c r="F89" s="42" t="s">
        <v>77</v>
      </c>
      <c r="G89" s="39" t="s">
        <v>85</v>
      </c>
      <c r="H89" s="43" t="n">
        <v>0.327687390070479</v>
      </c>
      <c r="I89" s="43" t="n">
        <v>0.288417548798244</v>
      </c>
      <c r="J89" s="43" t="n">
        <v>0.383895061131278</v>
      </c>
      <c r="K89" s="44" t="n">
        <f aca="false">IFERROR(1/MAX(H89:J89),"")</f>
        <v>2.60487852345159</v>
      </c>
      <c r="L89" s="45" t="n">
        <v>2.18935820090862</v>
      </c>
      <c r="M89" s="43" t="n">
        <v>0.374431475150112</v>
      </c>
      <c r="N89" s="44" t="n">
        <f aca="false">IFERROR(1/M89,"")</f>
        <v>2.67071564856852</v>
      </c>
      <c r="O89" s="43" t="n">
        <v>0.440082416626655</v>
      </c>
      <c r="P89" s="45" t="n">
        <v>10.667032934305</v>
      </c>
      <c r="Q89" s="45" t="n">
        <v>5.54546822322733</v>
      </c>
      <c r="R89" s="41" t="s">
        <v>97</v>
      </c>
      <c r="S89" s="43" t="n">
        <v>0.821440879668821</v>
      </c>
      <c r="T89" s="44" t="n">
        <f aca="false">IFERROR(1/S89,"")</f>
        <v>1.21737306329723</v>
      </c>
    </row>
    <row r="90" customFormat="false" ht="18.75" hidden="false" customHeight="true" outlineLevel="0" collapsed="false">
      <c r="A90" s="35" t="n">
        <v>35</v>
      </c>
      <c r="B90" s="33" t="n">
        <v>46344</v>
      </c>
      <c r="C90" s="50" t="s">
        <v>126</v>
      </c>
      <c r="D90" s="34" t="s">
        <v>8</v>
      </c>
      <c r="E90" s="34" t="s">
        <v>92</v>
      </c>
      <c r="F90" s="35" t="s">
        <v>74</v>
      </c>
      <c r="G90" s="32" t="s">
        <v>89</v>
      </c>
      <c r="H90" s="36" t="n">
        <v>0.633817361932326</v>
      </c>
      <c r="I90" s="36" t="n">
        <v>0.211700939793445</v>
      </c>
      <c r="J90" s="36" t="n">
        <v>0.154481698274229</v>
      </c>
      <c r="K90" s="37" t="n">
        <f aca="false">IFERROR(1/MAX(H90:J90),"")</f>
        <v>1.57774157046012</v>
      </c>
      <c r="L90" s="38" t="n">
        <v>2.73767907722122</v>
      </c>
      <c r="M90" s="36" t="n">
        <v>0.515569988483493</v>
      </c>
      <c r="N90" s="37" t="n">
        <f aca="false">IFERROR(1/M90,"")</f>
        <v>1.93960087347485</v>
      </c>
      <c r="O90" s="36" t="n">
        <v>0.475883683960431</v>
      </c>
      <c r="P90" s="38" t="n">
        <v>10.1679718707939</v>
      </c>
      <c r="Q90" s="38" t="n">
        <v>4.94449975350159</v>
      </c>
      <c r="R90" s="34" t="s">
        <v>94</v>
      </c>
      <c r="S90" s="36" t="n">
        <v>0.845518301725771</v>
      </c>
      <c r="T90" s="37" t="n">
        <f aca="false">IFERROR(1/S90,"")</f>
        <v>1.18270651026586</v>
      </c>
    </row>
    <row r="91" customFormat="false" ht="18.75" hidden="false" customHeight="true" outlineLevel="0" collapsed="false">
      <c r="A91" s="42" t="n">
        <v>35</v>
      </c>
      <c r="B91" s="40" t="n">
        <v>46344</v>
      </c>
      <c r="C91" s="51" t="s">
        <v>126</v>
      </c>
      <c r="D91" s="41" t="s">
        <v>105</v>
      </c>
      <c r="E91" s="41" t="s">
        <v>103</v>
      </c>
      <c r="F91" s="42" t="s">
        <v>74</v>
      </c>
      <c r="G91" s="39" t="s">
        <v>85</v>
      </c>
      <c r="H91" s="43" t="n">
        <v>0.461009677352878</v>
      </c>
      <c r="I91" s="43" t="n">
        <v>0.250869873803684</v>
      </c>
      <c r="J91" s="43" t="n">
        <v>0.288120448843439</v>
      </c>
      <c r="K91" s="44" t="n">
        <f aca="false">IFERROR(1/MAX(H91:J91),"")</f>
        <v>2.1691518619349</v>
      </c>
      <c r="L91" s="45" t="n">
        <v>2.68492191663363</v>
      </c>
      <c r="M91" s="43" t="n">
        <v>0.502676063596337</v>
      </c>
      <c r="N91" s="44" t="n">
        <f aca="false">IFERROR(1/M91,"")</f>
        <v>1.98935273115178</v>
      </c>
      <c r="O91" s="43" t="n">
        <v>0.535127577286278</v>
      </c>
      <c r="P91" s="45" t="n">
        <v>9.44227643237272</v>
      </c>
      <c r="Q91" s="45" t="n">
        <v>5.82072340832982</v>
      </c>
      <c r="R91" s="41" t="s">
        <v>86</v>
      </c>
      <c r="S91" s="43" t="n">
        <v>0.798332835461199</v>
      </c>
      <c r="T91" s="44" t="n">
        <f aca="false">IFERROR(1/S91,"")</f>
        <v>1.2526103845175</v>
      </c>
    </row>
    <row r="92" customFormat="false" ht="18.75" hidden="false" customHeight="true" outlineLevel="0" collapsed="false">
      <c r="A92" s="35" t="n">
        <v>35</v>
      </c>
      <c r="B92" s="33" t="n">
        <v>46344</v>
      </c>
      <c r="C92" s="50" t="s">
        <v>126</v>
      </c>
      <c r="D92" s="34" t="s">
        <v>95</v>
      </c>
      <c r="E92" s="34" t="s">
        <v>90</v>
      </c>
      <c r="F92" s="35" t="s">
        <v>74</v>
      </c>
      <c r="G92" s="32" t="s">
        <v>85</v>
      </c>
      <c r="H92" s="36" t="n">
        <v>0.47633065914055</v>
      </c>
      <c r="I92" s="36" t="n">
        <v>0.252837825049394</v>
      </c>
      <c r="J92" s="36" t="n">
        <v>0.270831515810055</v>
      </c>
      <c r="K92" s="37" t="n">
        <f aca="false">IFERROR(1/MAX(H92:J92),"")</f>
        <v>2.09938197512693</v>
      </c>
      <c r="L92" s="38" t="n">
        <v>2.61030329598986</v>
      </c>
      <c r="M92" s="36" t="n">
        <v>0.484155207711208</v>
      </c>
      <c r="N92" s="37" t="n">
        <f aca="false">IFERROR(1/M92,"")</f>
        <v>2.06545335890818</v>
      </c>
      <c r="O92" s="36" t="n">
        <v>0.516465291965736</v>
      </c>
      <c r="P92" s="38" t="n">
        <v>10.8530209792781</v>
      </c>
      <c r="Q92" s="38" t="n">
        <v>4.55701834737457</v>
      </c>
      <c r="R92" s="34" t="s">
        <v>86</v>
      </c>
      <c r="S92" s="36" t="n">
        <v>0.803878603641571</v>
      </c>
      <c r="T92" s="37" t="n">
        <f aca="false">IFERROR(1/S92,"")</f>
        <v>1.24396892201136</v>
      </c>
    </row>
    <row r="93" customFormat="false" ht="18.75" hidden="false" customHeight="true" outlineLevel="0" collapsed="false">
      <c r="A93" s="42" t="n">
        <v>35</v>
      </c>
      <c r="B93" s="40" t="n">
        <v>46344</v>
      </c>
      <c r="C93" s="51" t="s">
        <v>126</v>
      </c>
      <c r="D93" s="41" t="s">
        <v>104</v>
      </c>
      <c r="E93" s="41" t="s">
        <v>83</v>
      </c>
      <c r="F93" s="42" t="s">
        <v>74</v>
      </c>
      <c r="G93" s="39" t="s">
        <v>85</v>
      </c>
      <c r="H93" s="43" t="n">
        <v>0.564030517973121</v>
      </c>
      <c r="I93" s="43" t="n">
        <v>0.221160150309844</v>
      </c>
      <c r="J93" s="43" t="n">
        <v>0.214809331717035</v>
      </c>
      <c r="K93" s="44" t="n">
        <f aca="false">IFERROR(1/MAX(H93:J93),"")</f>
        <v>1.772953711075</v>
      </c>
      <c r="L93" s="45" t="n">
        <v>2.96058587347899</v>
      </c>
      <c r="M93" s="43" t="n">
        <v>0.567929871254082</v>
      </c>
      <c r="N93" s="44" t="n">
        <f aca="false">IFERROR(1/M93,"")</f>
        <v>1.76078077702065</v>
      </c>
      <c r="O93" s="43" t="n">
        <v>0.557594923433604</v>
      </c>
      <c r="P93" s="45" t="n">
        <v>10.6688268284647</v>
      </c>
      <c r="Q93" s="45" t="n">
        <v>3.27858850240711</v>
      </c>
      <c r="R93" s="41" t="s">
        <v>107</v>
      </c>
      <c r="S93" s="43" t="n">
        <v>0.793659691646755</v>
      </c>
      <c r="T93" s="44" t="n">
        <f aca="false">IFERROR(1/S93,"")</f>
        <v>1.25998587369999</v>
      </c>
    </row>
    <row r="94" customFormat="false" ht="18.75" hidden="false" customHeight="true" outlineLevel="0" collapsed="false">
      <c r="A94" s="35" t="n">
        <v>35</v>
      </c>
      <c r="B94" s="33" t="n">
        <v>46344</v>
      </c>
      <c r="C94" s="50" t="s">
        <v>126</v>
      </c>
      <c r="D94" s="34" t="s">
        <v>87</v>
      </c>
      <c r="E94" s="34" t="s">
        <v>98</v>
      </c>
      <c r="F94" s="35" t="s">
        <v>74</v>
      </c>
      <c r="G94" s="32" t="s">
        <v>89</v>
      </c>
      <c r="H94" s="36" t="n">
        <v>0.43460291668005</v>
      </c>
      <c r="I94" s="36" t="n">
        <v>0.281465074144889</v>
      </c>
      <c r="J94" s="36" t="n">
        <v>0.283932009175062</v>
      </c>
      <c r="K94" s="37" t="n">
        <f aca="false">IFERROR(1/MAX(H94:J94),"")</f>
        <v>2.30095096378792</v>
      </c>
      <c r="L94" s="38" t="n">
        <v>2.23138948258918</v>
      </c>
      <c r="M94" s="36" t="n">
        <v>0.38569080586405</v>
      </c>
      <c r="N94" s="37" t="n">
        <f aca="false">IFERROR(1/M94,"")</f>
        <v>2.59275042286719</v>
      </c>
      <c r="O94" s="36" t="n">
        <v>0.442958602803409</v>
      </c>
      <c r="P94" s="38" t="n">
        <v>9.78664614747687</v>
      </c>
      <c r="Q94" s="38" t="n">
        <v>5.48611006113152</v>
      </c>
      <c r="R94" s="34" t="s">
        <v>86</v>
      </c>
      <c r="S94" s="36" t="n">
        <v>0.818227419757298</v>
      </c>
      <c r="T94" s="37" t="n">
        <f aca="false">IFERROR(1/S94,"")</f>
        <v>1.22215410514673</v>
      </c>
    </row>
    <row r="95" customFormat="false" ht="18.75" hidden="false" customHeight="true" outlineLevel="0" collapsed="false">
      <c r="A95" s="42" t="n">
        <v>35</v>
      </c>
      <c r="B95" s="40" t="n">
        <v>46344</v>
      </c>
      <c r="C95" s="51" t="s">
        <v>126</v>
      </c>
      <c r="D95" s="41" t="s">
        <v>84</v>
      </c>
      <c r="E95" s="41" t="s">
        <v>100</v>
      </c>
      <c r="F95" s="42" t="s">
        <v>74</v>
      </c>
      <c r="G95" s="39" t="s">
        <v>85</v>
      </c>
      <c r="H95" s="43" t="n">
        <v>0.409262197705236</v>
      </c>
      <c r="I95" s="43" t="n">
        <v>0.260347362496456</v>
      </c>
      <c r="J95" s="43" t="n">
        <v>0.330390439798309</v>
      </c>
      <c r="K95" s="44" t="n">
        <f aca="false">IFERROR(1/MAX(H95:J95),"")</f>
        <v>2.44342137047369</v>
      </c>
      <c r="L95" s="45" t="n">
        <v>2.59170805752595</v>
      </c>
      <c r="M95" s="43" t="n">
        <v>0.479487399801998</v>
      </c>
      <c r="N95" s="44" t="n">
        <f aca="false">IFERROR(1/M95,"")</f>
        <v>2.08556053905263</v>
      </c>
      <c r="O95" s="43" t="n">
        <v>0.524154698500133</v>
      </c>
      <c r="P95" s="45" t="n">
        <v>8.99234094496629</v>
      </c>
      <c r="Q95" s="45" t="n">
        <v>4.48183376525556</v>
      </c>
      <c r="R95" s="41" t="s">
        <v>86</v>
      </c>
      <c r="S95" s="43" t="n">
        <v>0.805172443928332</v>
      </c>
      <c r="T95" s="44" t="n">
        <f aca="false">IFERROR(1/S95,"")</f>
        <v>1.24196997493</v>
      </c>
    </row>
    <row r="96" customFormat="false" ht="18.75" hidden="false" customHeight="true" outlineLevel="0" collapsed="false">
      <c r="A96" s="35" t="n">
        <v>35</v>
      </c>
      <c r="B96" s="33" t="n">
        <v>46344</v>
      </c>
      <c r="C96" s="50" t="s">
        <v>126</v>
      </c>
      <c r="D96" s="34" t="s">
        <v>106</v>
      </c>
      <c r="E96" s="34" t="s">
        <v>91</v>
      </c>
      <c r="F96" s="35" t="s">
        <v>74</v>
      </c>
      <c r="G96" s="32" t="s">
        <v>85</v>
      </c>
      <c r="H96" s="36" t="n">
        <v>0.384725446429843</v>
      </c>
      <c r="I96" s="36" t="n">
        <v>0.274351942929105</v>
      </c>
      <c r="J96" s="36" t="n">
        <v>0.340922610641052</v>
      </c>
      <c r="K96" s="37" t="n">
        <f aca="false">IFERROR(1/MAX(H96:J96),"")</f>
        <v>2.59925619498204</v>
      </c>
      <c r="L96" s="38" t="n">
        <v>2.38311631570531</v>
      </c>
      <c r="M96" s="36" t="n">
        <v>0.425874202020864</v>
      </c>
      <c r="N96" s="37" t="n">
        <f aca="false">IFERROR(1/M96,"")</f>
        <v>2.34811123861175</v>
      </c>
      <c r="O96" s="36" t="n">
        <v>0.482615294393247</v>
      </c>
      <c r="P96" s="38" t="n">
        <v>9.95562469971074</v>
      </c>
      <c r="Q96" s="38" t="n">
        <v>5.84890877412019</v>
      </c>
      <c r="R96" s="34" t="s">
        <v>86</v>
      </c>
      <c r="S96" s="36" t="n">
        <v>0.815510660319285</v>
      </c>
      <c r="T96" s="37" t="n">
        <f aca="false">IFERROR(1/S96,"")</f>
        <v>1.22622554021364</v>
      </c>
    </row>
    <row r="97" customFormat="false" ht="18.75" hidden="false" customHeight="true" outlineLevel="0" collapsed="false">
      <c r="A97" s="42" t="n">
        <v>36</v>
      </c>
      <c r="B97" s="40" t="n">
        <v>46348</v>
      </c>
      <c r="C97" s="51" t="s">
        <v>126</v>
      </c>
      <c r="D97" s="41" t="s">
        <v>92</v>
      </c>
      <c r="E97" s="41" t="s">
        <v>104</v>
      </c>
      <c r="F97" s="42" t="s">
        <v>74</v>
      </c>
      <c r="G97" s="39" t="s">
        <v>89</v>
      </c>
      <c r="H97" s="43" t="n">
        <v>0.621033556243381</v>
      </c>
      <c r="I97" s="43" t="n">
        <v>0.212247706539126</v>
      </c>
      <c r="J97" s="43" t="n">
        <v>0.166718737217494</v>
      </c>
      <c r="K97" s="44" t="n">
        <f aca="false">IFERROR(1/MAX(H97:J97),"")</f>
        <v>1.61021894863295</v>
      </c>
      <c r="L97" s="45" t="n">
        <v>2.81929852135591</v>
      </c>
      <c r="M97" s="43" t="n">
        <v>0.535144464495277</v>
      </c>
      <c r="N97" s="44" t="n">
        <f aca="false">IFERROR(1/M97,"")</f>
        <v>1.86865429121677</v>
      </c>
      <c r="O97" s="43" t="n">
        <v>0.501073756540422</v>
      </c>
      <c r="P97" s="45" t="n">
        <v>11.7511706688223</v>
      </c>
      <c r="Q97" s="45" t="n">
        <v>4.04491891836917</v>
      </c>
      <c r="R97" s="41" t="s">
        <v>94</v>
      </c>
      <c r="S97" s="43" t="n">
        <v>0.833281262782507</v>
      </c>
      <c r="T97" s="44" t="n">
        <f aca="false">IFERROR(1/S97,"")</f>
        <v>1.20007498627868</v>
      </c>
    </row>
    <row r="98" customFormat="false" ht="18.75" hidden="false" customHeight="true" outlineLevel="0" collapsed="false">
      <c r="A98" s="35" t="n">
        <v>36</v>
      </c>
      <c r="B98" s="33" t="n">
        <v>46348</v>
      </c>
      <c r="C98" s="50" t="s">
        <v>126</v>
      </c>
      <c r="D98" s="34" t="s">
        <v>90</v>
      </c>
      <c r="E98" s="34" t="s">
        <v>101</v>
      </c>
      <c r="F98" s="35" t="s">
        <v>74</v>
      </c>
      <c r="G98" s="32" t="s">
        <v>89</v>
      </c>
      <c r="H98" s="36" t="n">
        <v>0.4868461579774</v>
      </c>
      <c r="I98" s="36" t="n">
        <v>0.269734450064841</v>
      </c>
      <c r="J98" s="36" t="n">
        <v>0.243419391957759</v>
      </c>
      <c r="K98" s="37" t="n">
        <f aca="false">IFERROR(1/MAX(H98:J98),"")</f>
        <v>2.0540369552355</v>
      </c>
      <c r="L98" s="38" t="n">
        <v>2.29692455771935</v>
      </c>
      <c r="M98" s="36" t="n">
        <v>0.403146009840653</v>
      </c>
      <c r="N98" s="37" t="n">
        <f aca="false">IFERROR(1/M98,"")</f>
        <v>2.48049087821869</v>
      </c>
      <c r="O98" s="36" t="n">
        <v>0.445065720633014</v>
      </c>
      <c r="P98" s="38" t="n">
        <v>9.8613069588725</v>
      </c>
      <c r="Q98" s="38" t="n">
        <v>6.05810900353791</v>
      </c>
      <c r="R98" s="34" t="s">
        <v>86</v>
      </c>
      <c r="S98" s="36" t="n">
        <v>0.817525625138665</v>
      </c>
      <c r="T98" s="37" t="n">
        <f aca="false">IFERROR(1/S98,"")</f>
        <v>1.22320324800875</v>
      </c>
    </row>
    <row r="99" customFormat="false" ht="18.75" hidden="false" customHeight="true" outlineLevel="0" collapsed="false">
      <c r="A99" s="42" t="n">
        <v>36</v>
      </c>
      <c r="B99" s="40" t="n">
        <v>46348</v>
      </c>
      <c r="C99" s="51" t="s">
        <v>126</v>
      </c>
      <c r="D99" s="41" t="s">
        <v>103</v>
      </c>
      <c r="E99" s="41" t="s">
        <v>99</v>
      </c>
      <c r="F99" s="42" t="s">
        <v>74</v>
      </c>
      <c r="G99" s="39" t="s">
        <v>89</v>
      </c>
      <c r="H99" s="43" t="n">
        <v>0.607499625661995</v>
      </c>
      <c r="I99" s="43" t="n">
        <v>0.209152407511355</v>
      </c>
      <c r="J99" s="43" t="n">
        <v>0.18334796682665</v>
      </c>
      <c r="K99" s="44" t="n">
        <f aca="false">IFERROR(1/MAX(H99:J99),"")</f>
        <v>1.64609154929157</v>
      </c>
      <c r="L99" s="45" t="n">
        <v>3.00150473973117</v>
      </c>
      <c r="M99" s="43" t="n">
        <v>0.577160704707041</v>
      </c>
      <c r="N99" s="44" t="n">
        <f aca="false">IFERROR(1/M99,"")</f>
        <v>1.7326196878001</v>
      </c>
      <c r="O99" s="43" t="n">
        <v>0.545385015443542</v>
      </c>
      <c r="P99" s="45" t="n">
        <v>10.557795882013</v>
      </c>
      <c r="Q99" s="45" t="n">
        <v>5.14950532542976</v>
      </c>
      <c r="R99" s="41" t="s">
        <v>94</v>
      </c>
      <c r="S99" s="43" t="n">
        <v>0.81665203317335</v>
      </c>
      <c r="T99" s="44" t="n">
        <f aca="false">IFERROR(1/S99,"")</f>
        <v>1.22451173740938</v>
      </c>
    </row>
    <row r="100" customFormat="false" ht="18.75" hidden="false" customHeight="true" outlineLevel="0" collapsed="false">
      <c r="A100" s="35" t="n">
        <v>36</v>
      </c>
      <c r="B100" s="33" t="n">
        <v>46348</v>
      </c>
      <c r="C100" s="50" t="s">
        <v>126</v>
      </c>
      <c r="D100" s="34" t="s">
        <v>93</v>
      </c>
      <c r="E100" s="34" t="s">
        <v>87</v>
      </c>
      <c r="F100" s="35" t="s">
        <v>74</v>
      </c>
      <c r="G100" s="32" t="s">
        <v>89</v>
      </c>
      <c r="H100" s="36" t="n">
        <v>0.495364724417786</v>
      </c>
      <c r="I100" s="36" t="n">
        <v>0.262635362042403</v>
      </c>
      <c r="J100" s="36" t="n">
        <v>0.241999913539811</v>
      </c>
      <c r="K100" s="37" t="n">
        <f aca="false">IFERROR(1/MAX(H100:J100),"")</f>
        <v>2.01871459695747</v>
      </c>
      <c r="L100" s="38" t="n">
        <v>2.3863296335817</v>
      </c>
      <c r="M100" s="36" t="n">
        <v>0.426716421581789</v>
      </c>
      <c r="N100" s="37" t="n">
        <f aca="false">IFERROR(1/M100,"")</f>
        <v>2.34347671995635</v>
      </c>
      <c r="O100" s="36" t="n">
        <v>0.462764286656838</v>
      </c>
      <c r="P100" s="38" t="n">
        <v>9.41040620372095</v>
      </c>
      <c r="Q100" s="38" t="n">
        <v>5.48760555865297</v>
      </c>
      <c r="R100" s="34" t="s">
        <v>86</v>
      </c>
      <c r="S100" s="36" t="n">
        <v>0.815334192867596</v>
      </c>
      <c r="T100" s="37" t="n">
        <f aca="false">IFERROR(1/S100,"")</f>
        <v>1.22649093923428</v>
      </c>
    </row>
    <row r="101" customFormat="false" ht="18.75" hidden="false" customHeight="true" outlineLevel="0" collapsed="false">
      <c r="A101" s="42" t="n">
        <v>36</v>
      </c>
      <c r="B101" s="40" t="n">
        <v>46348</v>
      </c>
      <c r="C101" s="51" t="s">
        <v>126</v>
      </c>
      <c r="D101" s="41" t="s">
        <v>91</v>
      </c>
      <c r="E101" s="41" t="s">
        <v>84</v>
      </c>
      <c r="F101" s="42" t="s">
        <v>74</v>
      </c>
      <c r="G101" s="39" t="s">
        <v>85</v>
      </c>
      <c r="H101" s="43" t="n">
        <v>0.526040686642669</v>
      </c>
      <c r="I101" s="43" t="n">
        <v>0.237840850811097</v>
      </c>
      <c r="J101" s="43" t="n">
        <v>0.236118462546234</v>
      </c>
      <c r="K101" s="44" t="n">
        <f aca="false">IFERROR(1/MAX(H101:J101),"")</f>
        <v>1.90099364059131</v>
      </c>
      <c r="L101" s="45" t="n">
        <v>2.74943656050994</v>
      </c>
      <c r="M101" s="43" t="n">
        <v>0.518410362731073</v>
      </c>
      <c r="N101" s="44" t="n">
        <f aca="false">IFERROR(1/M101,"")</f>
        <v>1.92897378580905</v>
      </c>
      <c r="O101" s="43" t="n">
        <v>0.530267302887112</v>
      </c>
      <c r="P101" s="45" t="n">
        <v>9.97918812109776</v>
      </c>
      <c r="Q101" s="45" t="n">
        <v>4.73975110853456</v>
      </c>
      <c r="R101" s="41" t="s">
        <v>86</v>
      </c>
      <c r="S101" s="43" t="n">
        <v>0.792842002562072</v>
      </c>
      <c r="T101" s="44" t="n">
        <f aca="false">IFERROR(1/S101,"")</f>
        <v>1.26128534659932</v>
      </c>
    </row>
    <row r="102" customFormat="false" ht="18.75" hidden="false" customHeight="true" outlineLevel="0" collapsed="false">
      <c r="A102" s="35" t="n">
        <v>36</v>
      </c>
      <c r="B102" s="33" t="n">
        <v>46348</v>
      </c>
      <c r="C102" s="50" t="s">
        <v>126</v>
      </c>
      <c r="D102" s="34" t="s">
        <v>83</v>
      </c>
      <c r="E102" s="34" t="s">
        <v>96</v>
      </c>
      <c r="F102" s="35" t="s">
        <v>77</v>
      </c>
      <c r="G102" s="32" t="s">
        <v>109</v>
      </c>
      <c r="H102" s="36" t="n">
        <v>0.251137103882167</v>
      </c>
      <c r="I102" s="36" t="n">
        <v>0.258344646651702</v>
      </c>
      <c r="J102" s="36" t="n">
        <v>0.490518249466131</v>
      </c>
      <c r="K102" s="37" t="n">
        <f aca="false">IFERROR(1/MAX(H102:J102),"")</f>
        <v>2.03866013362067</v>
      </c>
      <c r="L102" s="38" t="n">
        <v>2.47248431678923</v>
      </c>
      <c r="M102" s="36" t="n">
        <v>0.449110525660203</v>
      </c>
      <c r="N102" s="37" t="n">
        <f aca="false">IFERROR(1/M102,"")</f>
        <v>2.22662338748346</v>
      </c>
      <c r="O102" s="36" t="n">
        <v>0.483325354102893</v>
      </c>
      <c r="P102" s="38" t="n">
        <v>9.98674909672334</v>
      </c>
      <c r="Q102" s="38" t="n">
        <v>4.49232524112953</v>
      </c>
      <c r="R102" s="34" t="s">
        <v>86</v>
      </c>
      <c r="S102" s="36" t="n">
        <v>0.811900149705938</v>
      </c>
      <c r="T102" s="37" t="n">
        <f aca="false">IFERROR(1/S102,"")</f>
        <v>1.2316785510659</v>
      </c>
    </row>
    <row r="103" customFormat="false" ht="18.75" hidden="false" customHeight="true" outlineLevel="0" collapsed="false">
      <c r="A103" s="42" t="n">
        <v>36</v>
      </c>
      <c r="B103" s="40" t="n">
        <v>46348</v>
      </c>
      <c r="C103" s="51" t="s">
        <v>126</v>
      </c>
      <c r="D103" s="41" t="s">
        <v>98</v>
      </c>
      <c r="E103" s="41" t="s">
        <v>95</v>
      </c>
      <c r="F103" s="42" t="s">
        <v>74</v>
      </c>
      <c r="G103" s="39" t="s">
        <v>85</v>
      </c>
      <c r="H103" s="43" t="n">
        <v>0.476039001962594</v>
      </c>
      <c r="I103" s="43" t="n">
        <v>0.254996214901869</v>
      </c>
      <c r="J103" s="43" t="n">
        <v>0.268964783135538</v>
      </c>
      <c r="K103" s="44" t="n">
        <f aca="false">IFERROR(1/MAX(H103:J103),"")</f>
        <v>2.10066821390105</v>
      </c>
      <c r="L103" s="45" t="n">
        <v>2.57101564696522</v>
      </c>
      <c r="M103" s="43" t="n">
        <v>0.474271112347176</v>
      </c>
      <c r="N103" s="44" t="n">
        <f aca="false">IFERROR(1/M103,"")</f>
        <v>2.10849864975116</v>
      </c>
      <c r="O103" s="43" t="n">
        <v>0.508346551426494</v>
      </c>
      <c r="P103" s="45" t="n">
        <v>10.5195040463261</v>
      </c>
      <c r="Q103" s="45" t="n">
        <v>4.97107141788019</v>
      </c>
      <c r="R103" s="41" t="s">
        <v>86</v>
      </c>
      <c r="S103" s="43" t="n">
        <v>0.806472465331955</v>
      </c>
      <c r="T103" s="44" t="n">
        <f aca="false">IFERROR(1/S103,"")</f>
        <v>1.23996793813461</v>
      </c>
    </row>
    <row r="104" customFormat="false" ht="18.75" hidden="false" customHeight="true" outlineLevel="0" collapsed="false">
      <c r="A104" s="35" t="n">
        <v>36</v>
      </c>
      <c r="B104" s="33" t="n">
        <v>46348</v>
      </c>
      <c r="C104" s="50" t="s">
        <v>126</v>
      </c>
      <c r="D104" s="34" t="s">
        <v>100</v>
      </c>
      <c r="E104" s="34" t="s">
        <v>106</v>
      </c>
      <c r="F104" s="35" t="s">
        <v>74</v>
      </c>
      <c r="G104" s="32" t="s">
        <v>89</v>
      </c>
      <c r="H104" s="36" t="n">
        <v>0.561107830937974</v>
      </c>
      <c r="I104" s="36" t="n">
        <v>0.246092514258452</v>
      </c>
      <c r="J104" s="36" t="n">
        <v>0.192799654803574</v>
      </c>
      <c r="K104" s="37" t="n">
        <f aca="false">IFERROR(1/MAX(H104:J104),"")</f>
        <v>1.78218863623477</v>
      </c>
      <c r="L104" s="38" t="n">
        <v>2.43436682135142</v>
      </c>
      <c r="M104" s="36" t="n">
        <v>0.439246005560194</v>
      </c>
      <c r="N104" s="37" t="n">
        <f aca="false">IFERROR(1/M104,"")</f>
        <v>2.27662855744048</v>
      </c>
      <c r="O104" s="36" t="n">
        <v>0.447973894068609</v>
      </c>
      <c r="P104" s="38" t="n">
        <v>9.38627553481385</v>
      </c>
      <c r="Q104" s="38" t="n">
        <v>5.56528728423703</v>
      </c>
      <c r="R104" s="34" t="s">
        <v>86</v>
      </c>
      <c r="S104" s="36" t="n">
        <v>0.813486283268034</v>
      </c>
      <c r="T104" s="37" t="n">
        <f aca="false">IFERROR(1/S104,"")</f>
        <v>1.22927702724462</v>
      </c>
    </row>
    <row r="105" customFormat="false" ht="18.75" hidden="false" customHeight="true" outlineLevel="0" collapsed="false">
      <c r="A105" s="42" t="n">
        <v>36</v>
      </c>
      <c r="B105" s="40" t="n">
        <v>46348</v>
      </c>
      <c r="C105" s="51" t="s">
        <v>126</v>
      </c>
      <c r="D105" s="41" t="s">
        <v>102</v>
      </c>
      <c r="E105" s="41" t="s">
        <v>8</v>
      </c>
      <c r="F105" s="42" t="s">
        <v>74</v>
      </c>
      <c r="G105" s="39" t="s">
        <v>85</v>
      </c>
      <c r="H105" s="43" t="n">
        <v>0.472840254933894</v>
      </c>
      <c r="I105" s="43" t="n">
        <v>0.259237381684227</v>
      </c>
      <c r="J105" s="43" t="n">
        <v>0.267922363381879</v>
      </c>
      <c r="K105" s="44" t="n">
        <f aca="false">IFERROR(1/MAX(H105:J105),"")</f>
        <v>2.11487915752817</v>
      </c>
      <c r="L105" s="45" t="n">
        <v>2.50319753705225</v>
      </c>
      <c r="M105" s="43" t="n">
        <v>0.457007738244829</v>
      </c>
      <c r="N105" s="44" t="n">
        <f aca="false">IFERROR(1/M105,"")</f>
        <v>2.1881467562028</v>
      </c>
      <c r="O105" s="43" t="n">
        <v>0.49476544140954</v>
      </c>
      <c r="P105" s="45" t="n">
        <v>10.4983105237845</v>
      </c>
      <c r="Q105" s="45" t="n">
        <v>4.96177542801807</v>
      </c>
      <c r="R105" s="41" t="s">
        <v>86</v>
      </c>
      <c r="S105" s="43" t="n">
        <v>0.810387873219712</v>
      </c>
      <c r="T105" s="44" t="n">
        <f aca="false">IFERROR(1/S105,"")</f>
        <v>1.23397700415598</v>
      </c>
    </row>
    <row r="106" customFormat="false" ht="18.75" hidden="false" customHeight="true" outlineLevel="0" collapsed="false">
      <c r="A106" s="35" t="n">
        <v>36</v>
      </c>
      <c r="B106" s="33" t="n">
        <v>46348</v>
      </c>
      <c r="C106" s="50" t="s">
        <v>126</v>
      </c>
      <c r="D106" s="34" t="s">
        <v>88</v>
      </c>
      <c r="E106" s="34" t="s">
        <v>105</v>
      </c>
      <c r="F106" s="35" t="s">
        <v>74</v>
      </c>
      <c r="G106" s="32" t="s">
        <v>85</v>
      </c>
      <c r="H106" s="36" t="n">
        <v>0.467958923516958</v>
      </c>
      <c r="I106" s="36" t="n">
        <v>0.251622884044523</v>
      </c>
      <c r="J106" s="36" t="n">
        <v>0.28041819243852</v>
      </c>
      <c r="K106" s="37" t="n">
        <f aca="false">IFERROR(1/MAX(H106:J106),"")</f>
        <v>2.13693969651112</v>
      </c>
      <c r="L106" s="38" t="n">
        <v>2.65424128520837</v>
      </c>
      <c r="M106" s="36" t="n">
        <v>0.495101926078863</v>
      </c>
      <c r="N106" s="37" t="n">
        <f aca="false">IFERROR(1/M106,"")</f>
        <v>2.01978612347534</v>
      </c>
      <c r="O106" s="36" t="n">
        <v>0.527447006264652</v>
      </c>
      <c r="P106" s="38" t="n">
        <v>9.56971703125792</v>
      </c>
      <c r="Q106" s="38" t="n">
        <v>5.80278756676232</v>
      </c>
      <c r="R106" s="34" t="s">
        <v>86</v>
      </c>
      <c r="S106" s="36" t="n">
        <v>0.800710738168361</v>
      </c>
      <c r="T106" s="37" t="n">
        <f aca="false">IFERROR(1/S106,"")</f>
        <v>1.24889045735482</v>
      </c>
    </row>
    <row r="107" customFormat="false" ht="18.75" hidden="false" customHeight="true" outlineLevel="0" collapsed="false">
      <c r="A107" s="42" t="n">
        <v>37</v>
      </c>
      <c r="B107" s="40" t="n">
        <v>46355</v>
      </c>
      <c r="C107" s="51" t="s">
        <v>126</v>
      </c>
      <c r="D107" s="41" t="s">
        <v>90</v>
      </c>
      <c r="E107" s="41" t="s">
        <v>84</v>
      </c>
      <c r="F107" s="42" t="s">
        <v>74</v>
      </c>
      <c r="G107" s="39" t="s">
        <v>89</v>
      </c>
      <c r="H107" s="43" t="n">
        <v>0.570232177381576</v>
      </c>
      <c r="I107" s="43" t="n">
        <v>0.228519664863641</v>
      </c>
      <c r="J107" s="43" t="n">
        <v>0.201248157754783</v>
      </c>
      <c r="K107" s="44" t="n">
        <f aca="false">IFERROR(1/MAX(H107:J107),"")</f>
        <v>1.75367164405182</v>
      </c>
      <c r="L107" s="45" t="n">
        <v>2.74816656179674</v>
      </c>
      <c r="M107" s="43" t="n">
        <v>0.518105278463434</v>
      </c>
      <c r="N107" s="44" t="n">
        <f aca="false">IFERROR(1/M107,"")</f>
        <v>1.93010965448131</v>
      </c>
      <c r="O107" s="43" t="n">
        <v>0.512403756353808</v>
      </c>
      <c r="P107" s="45" t="n">
        <v>9.29803866586191</v>
      </c>
      <c r="Q107" s="45" t="n">
        <v>4.47749044497203</v>
      </c>
      <c r="R107" s="41" t="s">
        <v>94</v>
      </c>
      <c r="S107" s="43" t="n">
        <v>0.798751842245217</v>
      </c>
      <c r="T107" s="44" t="n">
        <f aca="false">IFERROR(1/S107,"")</f>
        <v>1.25195329401569</v>
      </c>
    </row>
    <row r="108" customFormat="false" ht="18.75" hidden="false" customHeight="true" outlineLevel="0" collapsed="false">
      <c r="A108" s="35" t="n">
        <v>37</v>
      </c>
      <c r="B108" s="33" t="n">
        <v>46355</v>
      </c>
      <c r="C108" s="50" t="s">
        <v>126</v>
      </c>
      <c r="D108" s="34" t="s">
        <v>93</v>
      </c>
      <c r="E108" s="34" t="s">
        <v>103</v>
      </c>
      <c r="F108" s="35" t="s">
        <v>74</v>
      </c>
      <c r="G108" s="32" t="s">
        <v>85</v>
      </c>
      <c r="H108" s="36" t="n">
        <v>0.529264446484816</v>
      </c>
      <c r="I108" s="36" t="n">
        <v>0.238583431831998</v>
      </c>
      <c r="J108" s="36" t="n">
        <v>0.232152121683186</v>
      </c>
      <c r="K108" s="37" t="n">
        <f aca="false">IFERROR(1/MAX(H108:J108),"")</f>
        <v>1.88941465205464</v>
      </c>
      <c r="L108" s="38" t="n">
        <v>2.72030942204493</v>
      </c>
      <c r="M108" s="36" t="n">
        <v>0.511340573361787</v>
      </c>
      <c r="N108" s="37" t="n">
        <f aca="false">IFERROR(1/M108,"")</f>
        <v>1.95564375700825</v>
      </c>
      <c r="O108" s="36" t="n">
        <v>0.523197700898735</v>
      </c>
      <c r="P108" s="38" t="n">
        <v>9.39400532971583</v>
      </c>
      <c r="Q108" s="38" t="n">
        <v>5.68640259518407</v>
      </c>
      <c r="R108" s="34" t="s">
        <v>86</v>
      </c>
      <c r="S108" s="36" t="n">
        <v>0.795363508730971</v>
      </c>
      <c r="T108" s="37" t="n">
        <f aca="false">IFERROR(1/S108,"")</f>
        <v>1.2572867487918</v>
      </c>
    </row>
    <row r="109" customFormat="false" ht="18.75" hidden="false" customHeight="true" outlineLevel="0" collapsed="false">
      <c r="A109" s="42" t="n">
        <v>37</v>
      </c>
      <c r="B109" s="40" t="n">
        <v>46355</v>
      </c>
      <c r="C109" s="51" t="s">
        <v>126</v>
      </c>
      <c r="D109" s="41" t="s">
        <v>83</v>
      </c>
      <c r="E109" s="41" t="s">
        <v>102</v>
      </c>
      <c r="F109" s="42" t="s">
        <v>77</v>
      </c>
      <c r="G109" s="39" t="s">
        <v>109</v>
      </c>
      <c r="H109" s="43" t="n">
        <v>0.153956677898085</v>
      </c>
      <c r="I109" s="43" t="n">
        <v>0.212181613505321</v>
      </c>
      <c r="J109" s="43" t="n">
        <v>0.633861708596595</v>
      </c>
      <c r="K109" s="44" t="n">
        <f aca="false">IFERROR(1/MAX(H109:J109),"")</f>
        <v>1.57763118743055</v>
      </c>
      <c r="L109" s="45" t="n">
        <v>2.7255079096725</v>
      </c>
      <c r="M109" s="43" t="n">
        <v>0.512612939713594</v>
      </c>
      <c r="N109" s="44" t="n">
        <f aca="false">IFERROR(1/M109,"")</f>
        <v>1.95078961635014</v>
      </c>
      <c r="O109" s="43" t="n">
        <v>0.473202399823418</v>
      </c>
      <c r="P109" s="45" t="n">
        <v>10.5518644262434</v>
      </c>
      <c r="Q109" s="45" t="n">
        <v>4.03169130190527</v>
      </c>
      <c r="R109" s="41" t="s">
        <v>110</v>
      </c>
      <c r="S109" s="43" t="n">
        <v>0.846043322101916</v>
      </c>
      <c r="T109" s="44" t="n">
        <f aca="false">IFERROR(1/S109,"")</f>
        <v>1.18197257028824</v>
      </c>
    </row>
    <row r="110" customFormat="false" ht="18.75" hidden="false" customHeight="true" outlineLevel="0" collapsed="false">
      <c r="A110" s="35" t="n">
        <v>37</v>
      </c>
      <c r="B110" s="33" t="n">
        <v>46355</v>
      </c>
      <c r="C110" s="50" t="s">
        <v>126</v>
      </c>
      <c r="D110" s="34" t="s">
        <v>101</v>
      </c>
      <c r="E110" s="34" t="s">
        <v>105</v>
      </c>
      <c r="F110" s="35" t="s">
        <v>74</v>
      </c>
      <c r="G110" s="32" t="s">
        <v>89</v>
      </c>
      <c r="H110" s="36" t="n">
        <v>0.476731662111688</v>
      </c>
      <c r="I110" s="36" t="n">
        <v>0.26577471489324</v>
      </c>
      <c r="J110" s="36" t="n">
        <v>0.257493622995072</v>
      </c>
      <c r="K110" s="37" t="n">
        <f aca="false">IFERROR(1/MAX(H110:J110),"")</f>
        <v>2.09761607939043</v>
      </c>
      <c r="L110" s="38" t="n">
        <v>2.38425330498823</v>
      </c>
      <c r="M110" s="36" t="n">
        <v>0.426172458642485</v>
      </c>
      <c r="N110" s="37" t="n">
        <f aca="false">IFERROR(1/M110,"")</f>
        <v>2.34646791391768</v>
      </c>
      <c r="O110" s="36" t="n">
        <v>0.467756718010159</v>
      </c>
      <c r="P110" s="38" t="n">
        <v>9.31723152472559</v>
      </c>
      <c r="Q110" s="38" t="n">
        <v>6.69226170439411</v>
      </c>
      <c r="R110" s="34" t="s">
        <v>86</v>
      </c>
      <c r="S110" s="36" t="n">
        <v>0.815420504773993</v>
      </c>
      <c r="T110" s="37" t="n">
        <f aca="false">IFERROR(1/S110,"")</f>
        <v>1.22636111570087</v>
      </c>
    </row>
    <row r="111" customFormat="false" ht="18.75" hidden="false" customHeight="true" outlineLevel="0" collapsed="false">
      <c r="A111" s="42" t="n">
        <v>37</v>
      </c>
      <c r="B111" s="40" t="n">
        <v>46355</v>
      </c>
      <c r="C111" s="51" t="s">
        <v>126</v>
      </c>
      <c r="D111" s="41" t="s">
        <v>99</v>
      </c>
      <c r="E111" s="41" t="s">
        <v>8</v>
      </c>
      <c r="F111" s="42" t="s">
        <v>77</v>
      </c>
      <c r="G111" s="39" t="s">
        <v>85</v>
      </c>
      <c r="H111" s="43" t="n">
        <v>0.204689724287008</v>
      </c>
      <c r="I111" s="43" t="n">
        <v>0.218944244685762</v>
      </c>
      <c r="J111" s="43" t="n">
        <v>0.57636603102723</v>
      </c>
      <c r="K111" s="44" t="n">
        <f aca="false">IFERROR(1/MAX(H111:J111),"")</f>
        <v>1.73500856429333</v>
      </c>
      <c r="L111" s="45" t="n">
        <v>2.94588068717593</v>
      </c>
      <c r="M111" s="43" t="n">
        <v>0.564585162467323</v>
      </c>
      <c r="N111" s="44" t="n">
        <f aca="false">IFERROR(1/M111,"")</f>
        <v>1.77121197381428</v>
      </c>
      <c r="O111" s="43" t="n">
        <v>0.549480123685872</v>
      </c>
      <c r="P111" s="45" t="n">
        <v>9.87874085004432</v>
      </c>
      <c r="Q111" s="45" t="n">
        <v>4.83857529610865</v>
      </c>
      <c r="R111" s="41" t="s">
        <v>110</v>
      </c>
      <c r="S111" s="43" t="n">
        <v>0.795310275712992</v>
      </c>
      <c r="T111" s="44" t="n">
        <f aca="false">IFERROR(1/S111,"")</f>
        <v>1.25737090358037</v>
      </c>
    </row>
    <row r="112" customFormat="false" ht="18.75" hidden="false" customHeight="true" outlineLevel="0" collapsed="false">
      <c r="A112" s="35" t="n">
        <v>37</v>
      </c>
      <c r="B112" s="33" t="n">
        <v>46355</v>
      </c>
      <c r="C112" s="50" t="s">
        <v>126</v>
      </c>
      <c r="D112" s="34" t="s">
        <v>98</v>
      </c>
      <c r="E112" s="34" t="s">
        <v>96</v>
      </c>
      <c r="F112" s="35" t="s">
        <v>74</v>
      </c>
      <c r="G112" s="32" t="s">
        <v>89</v>
      </c>
      <c r="H112" s="36" t="n">
        <v>0.440231034863097</v>
      </c>
      <c r="I112" s="36" t="n">
        <v>0.280404026988705</v>
      </c>
      <c r="J112" s="36" t="n">
        <v>0.279364938148197</v>
      </c>
      <c r="K112" s="37" t="n">
        <f aca="false">IFERROR(1/MAX(H112:J112),"")</f>
        <v>2.27153453711181</v>
      </c>
      <c r="L112" s="38" t="n">
        <v>2.23747587183696</v>
      </c>
      <c r="M112" s="36" t="n">
        <v>0.387317358672917</v>
      </c>
      <c r="N112" s="37" t="n">
        <f aca="false">IFERROR(1/M112,"")</f>
        <v>2.58186207668653</v>
      </c>
      <c r="O112" s="36" t="n">
        <v>0.443247118714511</v>
      </c>
      <c r="P112" s="38" t="n">
        <v>9.65616988429619</v>
      </c>
      <c r="Q112" s="38" t="n">
        <v>6.06671719248149</v>
      </c>
      <c r="R112" s="34" t="s">
        <v>86</v>
      </c>
      <c r="S112" s="36" t="n">
        <v>0.818197312008934</v>
      </c>
      <c r="T112" s="37" t="n">
        <f aca="false">IFERROR(1/S112,"")</f>
        <v>1.22219907756075</v>
      </c>
    </row>
    <row r="113" customFormat="false" ht="18.75" hidden="false" customHeight="true" outlineLevel="0" collapsed="false">
      <c r="A113" s="42" t="n">
        <v>37</v>
      </c>
      <c r="B113" s="40" t="n">
        <v>46355</v>
      </c>
      <c r="C113" s="51" t="s">
        <v>126</v>
      </c>
      <c r="D113" s="41" t="s">
        <v>100</v>
      </c>
      <c r="E113" s="41" t="s">
        <v>91</v>
      </c>
      <c r="F113" s="42" t="s">
        <v>74</v>
      </c>
      <c r="G113" s="39" t="s">
        <v>89</v>
      </c>
      <c r="H113" s="43" t="n">
        <v>0.48664916245173</v>
      </c>
      <c r="I113" s="43" t="n">
        <v>0.260249364276429</v>
      </c>
      <c r="J113" s="43" t="n">
        <v>0.253101473271841</v>
      </c>
      <c r="K113" s="44" t="n">
        <f aca="false">IFERROR(1/MAX(H113:J113),"")</f>
        <v>2.05486842916161</v>
      </c>
      <c r="L113" s="45" t="n">
        <v>2.45037967354876</v>
      </c>
      <c r="M113" s="43" t="n">
        <v>0.443397732230266</v>
      </c>
      <c r="N113" s="44" t="n">
        <f aca="false">IFERROR(1/M113,"")</f>
        <v>2.25531148968682</v>
      </c>
      <c r="O113" s="43" t="n">
        <v>0.479611479914901</v>
      </c>
      <c r="P113" s="45" t="n">
        <v>10.8041745965732</v>
      </c>
      <c r="Q113" s="45" t="n">
        <v>5.4668666006485</v>
      </c>
      <c r="R113" s="41" t="s">
        <v>86</v>
      </c>
      <c r="S113" s="43" t="n">
        <v>0.812907100379441</v>
      </c>
      <c r="T113" s="44" t="n">
        <f aca="false">IFERROR(1/S113,"")</f>
        <v>1.23015286683218</v>
      </c>
    </row>
    <row r="114" customFormat="false" ht="18.75" hidden="false" customHeight="true" outlineLevel="0" collapsed="false">
      <c r="A114" s="35" t="n">
        <v>37</v>
      </c>
      <c r="B114" s="33" t="n">
        <v>46355</v>
      </c>
      <c r="C114" s="50" t="s">
        <v>126</v>
      </c>
      <c r="D114" s="34" t="s">
        <v>95</v>
      </c>
      <c r="E114" s="34" t="s">
        <v>92</v>
      </c>
      <c r="F114" s="35" t="s">
        <v>74</v>
      </c>
      <c r="G114" s="32" t="s">
        <v>85</v>
      </c>
      <c r="H114" s="36" t="n">
        <v>0.48214574649626</v>
      </c>
      <c r="I114" s="36" t="n">
        <v>0.253305372164891</v>
      </c>
      <c r="J114" s="36" t="n">
        <v>0.264548881338849</v>
      </c>
      <c r="K114" s="37" t="n">
        <f aca="false">IFERROR(1/MAX(H114:J114),"")</f>
        <v>2.07406164477645</v>
      </c>
      <c r="L114" s="38" t="n">
        <v>2.58618052367809</v>
      </c>
      <c r="M114" s="36" t="n">
        <v>0.478096892671608</v>
      </c>
      <c r="N114" s="37" t="n">
        <f aca="false">IFERROR(1/M114,"")</f>
        <v>2.09162622750379</v>
      </c>
      <c r="O114" s="36" t="n">
        <v>0.509962510421435</v>
      </c>
      <c r="P114" s="38" t="n">
        <v>11.0738599449208</v>
      </c>
      <c r="Q114" s="38" t="n">
        <v>4.51316856291483</v>
      </c>
      <c r="R114" s="34" t="s">
        <v>86</v>
      </c>
      <c r="S114" s="36" t="n">
        <v>0.805494171589327</v>
      </c>
      <c r="T114" s="37" t="n">
        <f aca="false">IFERROR(1/S114,"")</f>
        <v>1.24147391163227</v>
      </c>
    </row>
    <row r="115" customFormat="false" ht="18.75" hidden="false" customHeight="true" outlineLevel="0" collapsed="false">
      <c r="A115" s="42" t="n">
        <v>37</v>
      </c>
      <c r="B115" s="40" t="n">
        <v>46355</v>
      </c>
      <c r="C115" s="51" t="s">
        <v>126</v>
      </c>
      <c r="D115" s="41" t="s">
        <v>87</v>
      </c>
      <c r="E115" s="41" t="s">
        <v>104</v>
      </c>
      <c r="F115" s="42" t="s">
        <v>74</v>
      </c>
      <c r="G115" s="39" t="s">
        <v>89</v>
      </c>
      <c r="H115" s="43" t="n">
        <v>0.602922415323591</v>
      </c>
      <c r="I115" s="43" t="n">
        <v>0.223455538268462</v>
      </c>
      <c r="J115" s="43" t="n">
        <v>0.173622046407947</v>
      </c>
      <c r="K115" s="44" t="n">
        <f aca="false">IFERROR(1/MAX(H115:J115),"")</f>
        <v>1.65858819407684</v>
      </c>
      <c r="L115" s="45" t="n">
        <v>2.67261032705449</v>
      </c>
      <c r="M115" s="43" t="n">
        <v>0.499648586698491</v>
      </c>
      <c r="N115" s="44" t="n">
        <f aca="false">IFERROR(1/M115,"")</f>
        <v>2.00140664183134</v>
      </c>
      <c r="O115" s="43" t="n">
        <v>0.47995223338206</v>
      </c>
      <c r="P115" s="45" t="n">
        <v>11.8807216633663</v>
      </c>
      <c r="Q115" s="45" t="n">
        <v>4.16008632670338</v>
      </c>
      <c r="R115" s="41" t="s">
        <v>94</v>
      </c>
      <c r="S115" s="43" t="n">
        <v>0.826377953592053</v>
      </c>
      <c r="T115" s="44" t="n">
        <f aca="false">IFERROR(1/S115,"")</f>
        <v>1.21010004641733</v>
      </c>
    </row>
    <row r="116" customFormat="false" ht="18.75" hidden="false" customHeight="true" outlineLevel="0" collapsed="false">
      <c r="A116" s="35" t="n">
        <v>37</v>
      </c>
      <c r="B116" s="33" t="n">
        <v>46355</v>
      </c>
      <c r="C116" s="50" t="s">
        <v>126</v>
      </c>
      <c r="D116" s="34" t="s">
        <v>106</v>
      </c>
      <c r="E116" s="34" t="s">
        <v>88</v>
      </c>
      <c r="F116" s="35" t="s">
        <v>74</v>
      </c>
      <c r="G116" s="32" t="s">
        <v>85</v>
      </c>
      <c r="H116" s="36" t="n">
        <v>0.39824234144277</v>
      </c>
      <c r="I116" s="36" t="n">
        <v>0.268534544742998</v>
      </c>
      <c r="J116" s="36" t="n">
        <v>0.333223113814233</v>
      </c>
      <c r="K116" s="37" t="n">
        <f aca="false">IFERROR(1/MAX(H116:J116),"")</f>
        <v>2.51103385033635</v>
      </c>
      <c r="L116" s="38" t="n">
        <v>2.46442380193085</v>
      </c>
      <c r="M116" s="36" t="n">
        <v>0.447029478795471</v>
      </c>
      <c r="N116" s="37" t="n">
        <f aca="false">IFERROR(1/M116,"")</f>
        <v>2.23698894018023</v>
      </c>
      <c r="O116" s="36" t="n">
        <v>0.498909604020243</v>
      </c>
      <c r="P116" s="38" t="n">
        <v>9.3218942207859</v>
      </c>
      <c r="Q116" s="38" t="n">
        <v>5.75315409127398</v>
      </c>
      <c r="R116" s="34" t="s">
        <v>86</v>
      </c>
      <c r="S116" s="36" t="n">
        <v>0.812334561999908</v>
      </c>
      <c r="T116" s="37" t="n">
        <f aca="false">IFERROR(1/S116,"")</f>
        <v>1.2310198861145</v>
      </c>
    </row>
    <row r="117" customFormat="false" ht="18.75" hidden="false" customHeight="true" outlineLevel="0" collapsed="false">
      <c r="A117" s="42" t="n">
        <v>38</v>
      </c>
      <c r="B117" s="40" t="n">
        <v>46358</v>
      </c>
      <c r="C117" s="51" t="s">
        <v>126</v>
      </c>
      <c r="D117" s="41" t="s">
        <v>92</v>
      </c>
      <c r="E117" s="41" t="s">
        <v>87</v>
      </c>
      <c r="F117" s="42" t="s">
        <v>74</v>
      </c>
      <c r="G117" s="39" t="s">
        <v>89</v>
      </c>
      <c r="H117" s="43" t="n">
        <v>0.462807258596752</v>
      </c>
      <c r="I117" s="43" t="n">
        <v>0.276096933886394</v>
      </c>
      <c r="J117" s="43" t="n">
        <v>0.261095807516854</v>
      </c>
      <c r="K117" s="44" t="n">
        <f aca="false">IFERROR(1/MAX(H117:J117),"")</f>
        <v>2.16072669869534</v>
      </c>
      <c r="L117" s="45" t="n">
        <v>2.25768459776645</v>
      </c>
      <c r="M117" s="43" t="n">
        <v>0.392710397955451</v>
      </c>
      <c r="N117" s="44" t="n">
        <f aca="false">IFERROR(1/M117,"")</f>
        <v>2.54640571068719</v>
      </c>
      <c r="O117" s="43" t="n">
        <v>0.442743147432094</v>
      </c>
      <c r="P117" s="45" t="n">
        <v>10.2678973375738</v>
      </c>
      <c r="Q117" s="45" t="n">
        <v>5.0745066669905</v>
      </c>
      <c r="R117" s="41" t="s">
        <v>86</v>
      </c>
      <c r="S117" s="43" t="n">
        <v>0.818040378332609</v>
      </c>
      <c r="T117" s="44" t="n">
        <f aca="false">IFERROR(1/S117,"")</f>
        <v>1.22243354544219</v>
      </c>
    </row>
    <row r="118" customFormat="false" ht="18.75" hidden="false" customHeight="true" outlineLevel="0" collapsed="false">
      <c r="A118" s="35" t="n">
        <v>38</v>
      </c>
      <c r="B118" s="33" t="n">
        <v>46358</v>
      </c>
      <c r="C118" s="50" t="s">
        <v>126</v>
      </c>
      <c r="D118" s="34" t="s">
        <v>103</v>
      </c>
      <c r="E118" s="34" t="s">
        <v>90</v>
      </c>
      <c r="F118" s="35" t="s">
        <v>74</v>
      </c>
      <c r="G118" s="32" t="s">
        <v>85</v>
      </c>
      <c r="H118" s="36" t="n">
        <v>0.443281359843362</v>
      </c>
      <c r="I118" s="36" t="n">
        <v>0.25919933801004</v>
      </c>
      <c r="J118" s="36" t="n">
        <v>0.297519302146598</v>
      </c>
      <c r="K118" s="37" t="n">
        <f aca="false">IFERROR(1/MAX(H118:J118),"")</f>
        <v>2.25590356507064</v>
      </c>
      <c r="L118" s="38" t="n">
        <v>2.56574014959236</v>
      </c>
      <c r="M118" s="36" t="n">
        <v>0.472936859512761</v>
      </c>
      <c r="N118" s="37" t="n">
        <f aca="false">IFERROR(1/M118,"")</f>
        <v>2.1144471611501</v>
      </c>
      <c r="O118" s="36" t="n">
        <v>0.514219507996275</v>
      </c>
      <c r="P118" s="38" t="n">
        <v>10.041601121528</v>
      </c>
      <c r="Q118" s="38" t="n">
        <v>5.33195146694028</v>
      </c>
      <c r="R118" s="34" t="s">
        <v>86</v>
      </c>
      <c r="S118" s="36" t="n">
        <v>0.806825386406361</v>
      </c>
      <c r="T118" s="37" t="n">
        <f aca="false">IFERROR(1/S118,"")</f>
        <v>1.2394255521062</v>
      </c>
    </row>
    <row r="119" customFormat="false" ht="18.75" hidden="false" customHeight="true" outlineLevel="0" collapsed="false">
      <c r="A119" s="42" t="n">
        <v>38</v>
      </c>
      <c r="B119" s="40" t="n">
        <v>46358</v>
      </c>
      <c r="C119" s="51" t="s">
        <v>126</v>
      </c>
      <c r="D119" s="41" t="s">
        <v>91</v>
      </c>
      <c r="E119" s="41" t="s">
        <v>98</v>
      </c>
      <c r="F119" s="42" t="s">
        <v>74</v>
      </c>
      <c r="G119" s="39" t="s">
        <v>85</v>
      </c>
      <c r="H119" s="43" t="n">
        <v>0.415872385759962</v>
      </c>
      <c r="I119" s="43" t="n">
        <v>0.271369974120152</v>
      </c>
      <c r="J119" s="43" t="n">
        <v>0.312757640119886</v>
      </c>
      <c r="K119" s="44" t="n">
        <f aca="false">IFERROR(1/MAX(H119:J119),"")</f>
        <v>2.40458379599455</v>
      </c>
      <c r="L119" s="45" t="n">
        <v>2.40359740492389</v>
      </c>
      <c r="M119" s="43" t="n">
        <v>0.431231198832672</v>
      </c>
      <c r="N119" s="44" t="n">
        <f aca="false">IFERROR(1/M119,"")</f>
        <v>2.3189416784012</v>
      </c>
      <c r="O119" s="43" t="n">
        <v>0.484147799004946</v>
      </c>
      <c r="P119" s="45" t="n">
        <v>10.3130714476924</v>
      </c>
      <c r="Q119" s="45" t="n">
        <v>5.77763967506654</v>
      </c>
      <c r="R119" s="41" t="s">
        <v>86</v>
      </c>
      <c r="S119" s="43" t="n">
        <v>0.814808965642173</v>
      </c>
      <c r="T119" s="44" t="n">
        <f aca="false">IFERROR(1/S119,"")</f>
        <v>1.22728153735014</v>
      </c>
    </row>
    <row r="120" customFormat="false" ht="18.75" hidden="false" customHeight="true" outlineLevel="0" collapsed="false">
      <c r="A120" s="35" t="n">
        <v>38</v>
      </c>
      <c r="B120" s="33" t="n">
        <v>46358</v>
      </c>
      <c r="C120" s="50" t="s">
        <v>126</v>
      </c>
      <c r="D120" s="34" t="s">
        <v>96</v>
      </c>
      <c r="E120" s="34" t="s">
        <v>100</v>
      </c>
      <c r="F120" s="35" t="s">
        <v>74</v>
      </c>
      <c r="G120" s="32" t="s">
        <v>89</v>
      </c>
      <c r="H120" s="36" t="n">
        <v>0.496336965857958</v>
      </c>
      <c r="I120" s="36" t="n">
        <v>0.268953599442637</v>
      </c>
      <c r="J120" s="36" t="n">
        <v>0.234709434699406</v>
      </c>
      <c r="K120" s="37" t="n">
        <f aca="false">IFERROR(1/MAX(H120:J120),"")</f>
        <v>2.01476027132378</v>
      </c>
      <c r="L120" s="38" t="n">
        <v>2.28359153296277</v>
      </c>
      <c r="M120" s="36" t="n">
        <v>0.399605918556906</v>
      </c>
      <c r="N120" s="37" t="n">
        <f aca="false">IFERROR(1/M120,"")</f>
        <v>2.50246543797773</v>
      </c>
      <c r="O120" s="36" t="n">
        <v>0.438977417634848</v>
      </c>
      <c r="P120" s="38" t="n">
        <v>9.91980456574779</v>
      </c>
      <c r="Q120" s="38" t="n">
        <v>5.6589260113243</v>
      </c>
      <c r="R120" s="34" t="s">
        <v>86</v>
      </c>
      <c r="S120" s="36" t="n">
        <v>0.817713471977819</v>
      </c>
      <c r="T120" s="37" t="n">
        <f aca="false">IFERROR(1/S120,"")</f>
        <v>1.22292225121506</v>
      </c>
    </row>
    <row r="121" customFormat="false" ht="18.75" hidden="false" customHeight="true" outlineLevel="0" collapsed="false">
      <c r="A121" s="42" t="n">
        <v>38</v>
      </c>
      <c r="B121" s="40" t="n">
        <v>46358</v>
      </c>
      <c r="C121" s="51" t="s">
        <v>126</v>
      </c>
      <c r="D121" s="41" t="s">
        <v>8</v>
      </c>
      <c r="E121" s="41" t="s">
        <v>83</v>
      </c>
      <c r="F121" s="42" t="s">
        <v>74</v>
      </c>
      <c r="G121" s="39" t="s">
        <v>108</v>
      </c>
      <c r="H121" s="43" t="n">
        <v>0.834156029199319</v>
      </c>
      <c r="I121" s="43" t="n">
        <v>0.111137751182224</v>
      </c>
      <c r="J121" s="43" t="n">
        <v>0.0547062196184578</v>
      </c>
      <c r="K121" s="44" t="n">
        <f aca="false">IFERROR(1/MAX(H121:J121),"")</f>
        <v>1.19881648635912</v>
      </c>
      <c r="L121" s="45" t="n">
        <v>3.55272521453814</v>
      </c>
      <c r="M121" s="43" t="n">
        <v>0.689072829744096</v>
      </c>
      <c r="N121" s="44" t="n">
        <f aca="false">IFERROR(1/M121,"")</f>
        <v>1.45122541019557</v>
      </c>
      <c r="O121" s="43" t="n">
        <v>0.445685813158527</v>
      </c>
      <c r="P121" s="45" t="n">
        <v>10.5994559346622</v>
      </c>
      <c r="Q121" s="45" t="n">
        <v>4.10515074590141</v>
      </c>
      <c r="R121" s="41" t="s">
        <v>94</v>
      </c>
      <c r="S121" s="43" t="n">
        <v>0.945293780381542</v>
      </c>
      <c r="T121" s="44" t="n">
        <f aca="false">IFERROR(1/S121,"")</f>
        <v>1.05787218825916</v>
      </c>
    </row>
    <row r="122" customFormat="false" ht="18.75" hidden="false" customHeight="true" outlineLevel="0" collapsed="false">
      <c r="A122" s="35" t="n">
        <v>38</v>
      </c>
      <c r="B122" s="33" t="n">
        <v>46358</v>
      </c>
      <c r="C122" s="50" t="s">
        <v>126</v>
      </c>
      <c r="D122" s="34" t="s">
        <v>105</v>
      </c>
      <c r="E122" s="34" t="s">
        <v>95</v>
      </c>
      <c r="F122" s="35" t="s">
        <v>74</v>
      </c>
      <c r="G122" s="32" t="s">
        <v>85</v>
      </c>
      <c r="H122" s="36" t="n">
        <v>0.429891761159277</v>
      </c>
      <c r="I122" s="36" t="n">
        <v>0.253264509069587</v>
      </c>
      <c r="J122" s="36" t="n">
        <v>0.316843729771136</v>
      </c>
      <c r="K122" s="37" t="n">
        <f aca="false">IFERROR(1/MAX(H122:J122),"")</f>
        <v>2.326166933982</v>
      </c>
      <c r="L122" s="38" t="n">
        <v>2.6963131452426</v>
      </c>
      <c r="M122" s="36" t="n">
        <v>0.505472935553429</v>
      </c>
      <c r="N122" s="37" t="n">
        <f aca="false">IFERROR(1/M122,"")</f>
        <v>1.9783452874784</v>
      </c>
      <c r="O122" s="36" t="n">
        <v>0.542662969232268</v>
      </c>
      <c r="P122" s="38" t="n">
        <v>10.2372655973889</v>
      </c>
      <c r="Q122" s="38" t="n">
        <v>5.06379069492553</v>
      </c>
      <c r="R122" s="34" t="s">
        <v>86</v>
      </c>
      <c r="S122" s="36" t="n">
        <v>0.797430291633234</v>
      </c>
      <c r="T122" s="37" t="n">
        <f aca="false">IFERROR(1/S122,"")</f>
        <v>1.2540281081521</v>
      </c>
    </row>
    <row r="123" customFormat="false" ht="18.75" hidden="false" customHeight="true" outlineLevel="0" collapsed="false">
      <c r="A123" s="42" t="n">
        <v>38</v>
      </c>
      <c r="B123" s="40" t="n">
        <v>46358</v>
      </c>
      <c r="C123" s="51" t="s">
        <v>126</v>
      </c>
      <c r="D123" s="41" t="s">
        <v>102</v>
      </c>
      <c r="E123" s="41" t="s">
        <v>99</v>
      </c>
      <c r="F123" s="42" t="s">
        <v>74</v>
      </c>
      <c r="G123" s="39" t="s">
        <v>108</v>
      </c>
      <c r="H123" s="43" t="n">
        <v>0.766284499267028</v>
      </c>
      <c r="I123" s="43" t="n">
        <v>0.150542257692616</v>
      </c>
      <c r="J123" s="43" t="n">
        <v>0.0831732430403562</v>
      </c>
      <c r="K123" s="44" t="n">
        <f aca="false">IFERROR(1/MAX(H123:J123),"")</f>
        <v>1.30499834063788</v>
      </c>
      <c r="L123" s="45" t="n">
        <v>3.12997718506213</v>
      </c>
      <c r="M123" s="43" t="n">
        <v>0.605369542372554</v>
      </c>
      <c r="N123" s="44" t="n">
        <f aca="false">IFERROR(1/M123,"")</f>
        <v>1.65188356863944</v>
      </c>
      <c r="O123" s="43" t="n">
        <v>0.447760686849764</v>
      </c>
      <c r="P123" s="45" t="n">
        <v>11.5887070918303</v>
      </c>
      <c r="Q123" s="45" t="n">
        <v>4.83050008938474</v>
      </c>
      <c r="R123" s="41" t="s">
        <v>94</v>
      </c>
      <c r="S123" s="43" t="n">
        <v>0.916826756959643</v>
      </c>
      <c r="T123" s="44" t="n">
        <f aca="false">IFERROR(1/S123,"")</f>
        <v>1.09071860349732</v>
      </c>
    </row>
    <row r="124" customFormat="false" ht="18.75" hidden="false" customHeight="true" outlineLevel="0" collapsed="false">
      <c r="A124" s="35" t="n">
        <v>38</v>
      </c>
      <c r="B124" s="33" t="n">
        <v>46358</v>
      </c>
      <c r="C124" s="50" t="s">
        <v>126</v>
      </c>
      <c r="D124" s="34" t="s">
        <v>104</v>
      </c>
      <c r="E124" s="34" t="s">
        <v>101</v>
      </c>
      <c r="F124" s="35" t="s">
        <v>77</v>
      </c>
      <c r="G124" s="32" t="s">
        <v>85</v>
      </c>
      <c r="H124" s="36" t="n">
        <v>0.358165842035266</v>
      </c>
      <c r="I124" s="36" t="n">
        <v>0.26766886775378</v>
      </c>
      <c r="J124" s="36" t="n">
        <v>0.374165290210954</v>
      </c>
      <c r="K124" s="37" t="n">
        <f aca="false">IFERROR(1/MAX(H124:J124),"")</f>
        <v>2.6726156224598</v>
      </c>
      <c r="L124" s="38" t="n">
        <v>2.48920153408991</v>
      </c>
      <c r="M124" s="36" t="n">
        <v>0.45341429103273</v>
      </c>
      <c r="N124" s="37" t="n">
        <f aca="false">IFERROR(1/M124,"")</f>
        <v>2.20548848983636</v>
      </c>
      <c r="O124" s="36" t="n">
        <v>0.505274516714766</v>
      </c>
      <c r="P124" s="38" t="n">
        <v>10.6654424973788</v>
      </c>
      <c r="Q124" s="38" t="n">
        <v>4.89924722082801</v>
      </c>
      <c r="R124" s="34" t="s">
        <v>86</v>
      </c>
      <c r="S124" s="36" t="n">
        <v>0.811149276407833</v>
      </c>
      <c r="T124" s="37" t="n">
        <f aca="false">IFERROR(1/S124,"")</f>
        <v>1.23281870438015</v>
      </c>
    </row>
    <row r="125" customFormat="false" ht="18.75" hidden="false" customHeight="true" outlineLevel="0" collapsed="false">
      <c r="A125" s="42" t="n">
        <v>38</v>
      </c>
      <c r="B125" s="40" t="n">
        <v>46358</v>
      </c>
      <c r="C125" s="51" t="s">
        <v>126</v>
      </c>
      <c r="D125" s="41" t="s">
        <v>88</v>
      </c>
      <c r="E125" s="41" t="s">
        <v>93</v>
      </c>
      <c r="F125" s="42" t="s">
        <v>74</v>
      </c>
      <c r="G125" s="39" t="s">
        <v>85</v>
      </c>
      <c r="H125" s="43" t="n">
        <v>0.399649821232921</v>
      </c>
      <c r="I125" s="43" t="n">
        <v>0.259920418305521</v>
      </c>
      <c r="J125" s="43" t="n">
        <v>0.340429760461558</v>
      </c>
      <c r="K125" s="44" t="n">
        <f aca="false">IFERROR(1/MAX(H125:J125),"")</f>
        <v>2.50219053499135</v>
      </c>
      <c r="L125" s="45" t="n">
        <v>2.60724706417383</v>
      </c>
      <c r="M125" s="43" t="n">
        <v>0.483388837144528</v>
      </c>
      <c r="N125" s="44" t="n">
        <f aca="false">IFERROR(1/M125,"")</f>
        <v>2.06872795389152</v>
      </c>
      <c r="O125" s="43" t="n">
        <v>0.528088482207427</v>
      </c>
      <c r="P125" s="45" t="n">
        <v>9.4017067616404</v>
      </c>
      <c r="Q125" s="45" t="n">
        <v>5.65873891080192</v>
      </c>
      <c r="R125" s="41" t="s">
        <v>86</v>
      </c>
      <c r="S125" s="43" t="n">
        <v>0.804127731053426</v>
      </c>
      <c r="T125" s="44" t="n">
        <f aca="false">IFERROR(1/S125,"")</f>
        <v>1.24358352707222</v>
      </c>
    </row>
    <row r="126" customFormat="false" ht="18.75" hidden="false" customHeight="true" outlineLevel="0" collapsed="false">
      <c r="A126" s="35" t="n">
        <v>38</v>
      </c>
      <c r="B126" s="33" t="n">
        <v>46358</v>
      </c>
      <c r="C126" s="50" t="s">
        <v>126</v>
      </c>
      <c r="D126" s="34" t="s">
        <v>84</v>
      </c>
      <c r="E126" s="34" t="s">
        <v>106</v>
      </c>
      <c r="F126" s="35" t="s">
        <v>74</v>
      </c>
      <c r="G126" s="32" t="s">
        <v>89</v>
      </c>
      <c r="H126" s="36" t="n">
        <v>0.513990690881838</v>
      </c>
      <c r="I126" s="36" t="n">
        <v>0.245637246967177</v>
      </c>
      <c r="J126" s="36" t="n">
        <v>0.240372062150985</v>
      </c>
      <c r="K126" s="37" t="n">
        <f aca="false">IFERROR(1/MAX(H126:J126),"")</f>
        <v>1.94556052811838</v>
      </c>
      <c r="L126" s="38" t="n">
        <v>2.63380460841493</v>
      </c>
      <c r="M126" s="36" t="n">
        <v>0.490025516971061</v>
      </c>
      <c r="N126" s="37" t="n">
        <f aca="false">IFERROR(1/M126,"")</f>
        <v>2.04071005563381</v>
      </c>
      <c r="O126" s="36" t="n">
        <v>0.51050822722417</v>
      </c>
      <c r="P126" s="38" t="n">
        <v>8.64087806497739</v>
      </c>
      <c r="Q126" s="38" t="n">
        <v>4.87025795427635</v>
      </c>
      <c r="R126" s="34" t="s">
        <v>86</v>
      </c>
      <c r="S126" s="36" t="n">
        <v>0.802182588236568</v>
      </c>
      <c r="T126" s="37" t="n">
        <f aca="false">IFERROR(1/S126,"")</f>
        <v>1.24659898465048</v>
      </c>
    </row>
    <row r="128" customFormat="false" ht="15" hidden="false" customHeight="false" outlineLevel="0" collapsed="false">
      <c r="A128" s="22" t="s">
        <v>127</v>
      </c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</row>
  </sheetData>
  <autoFilter ref="A23:T126"/>
  <mergeCells count="8">
    <mergeCell ref="A2:P2"/>
    <mergeCell ref="A5:D5"/>
    <mergeCell ref="E5:I5"/>
    <mergeCell ref="A22:E22"/>
    <mergeCell ref="F22:K22"/>
    <mergeCell ref="L22:N22"/>
    <mergeCell ref="R22:T22"/>
    <mergeCell ref="A128:T128"/>
  </mergeCells>
  <conditionalFormatting sqref="F7:F17">
    <cfRule type="colorScale" priority="2">
      <colorScale>
        <cfvo type="num" val="0"/>
        <cfvo type="num" val="1"/>
        <color rgb="FFFFFFFF"/>
        <color rgb="FF9EC5F4"/>
      </colorScale>
    </cfRule>
  </conditionalFormatting>
  <conditionalFormatting sqref="G7:G17">
    <cfRule type="colorScale" priority="3">
      <colorScale>
        <cfvo type="num" val="0"/>
        <cfvo type="num" val="1"/>
        <color rgb="FFFFFFFF"/>
        <color rgb="FF9EC5F4"/>
      </colorScale>
    </cfRule>
  </conditionalFormatting>
  <conditionalFormatting sqref="H7:H17">
    <cfRule type="colorScale" priority="4">
      <colorScale>
        <cfvo type="num" val="0"/>
        <cfvo type="num" val="1"/>
        <color rgb="FFFFFFFF"/>
        <color rgb="FF9EC5F4"/>
      </colorScale>
    </cfRule>
  </conditionalFormatting>
  <conditionalFormatting sqref="I7:I17">
    <cfRule type="colorScale" priority="5">
      <colorScale>
        <cfvo type="num" val="0"/>
        <cfvo type="num" val="1"/>
        <color rgb="FFFFFFFF"/>
        <color rgb="FF9EC5F4"/>
      </colorScale>
    </cfRule>
  </conditionalFormatting>
  <conditionalFormatting sqref="H24:H126">
    <cfRule type="colorScale" priority="6">
      <colorScale>
        <cfvo type="num" val="0"/>
        <cfvo type="num" val="1"/>
        <color rgb="FFFFFFFF"/>
        <color rgb="FF9EC5F4"/>
      </colorScale>
    </cfRule>
  </conditionalFormatting>
  <conditionalFormatting sqref="I24:I126">
    <cfRule type="colorScale" priority="7">
      <colorScale>
        <cfvo type="num" val="0"/>
        <cfvo type="num" val="1"/>
        <color rgb="FFFFFFFF"/>
        <color rgb="FF9EC5F4"/>
      </colorScale>
    </cfRule>
  </conditionalFormatting>
  <conditionalFormatting sqref="J24:J126">
    <cfRule type="colorScale" priority="8">
      <colorScale>
        <cfvo type="num" val="0"/>
        <cfvo type="num" val="1"/>
        <color rgb="FFFFFFFF"/>
        <color rgb="FF9EC5F4"/>
      </colorScale>
    </cfRule>
  </conditionalFormatting>
  <conditionalFormatting sqref="M24:M126">
    <cfRule type="colorScale" priority="9">
      <colorScale>
        <cfvo type="num" val="0"/>
        <cfvo type="num" val="1"/>
        <color rgb="FFFFFFFF"/>
        <color rgb="FF9EC5F4"/>
      </colorScale>
    </cfRule>
  </conditionalFormatting>
  <conditionalFormatting sqref="O24:O126">
    <cfRule type="colorScale" priority="10">
      <colorScale>
        <cfvo type="num" val="0"/>
        <cfvo type="num" val="1"/>
        <color rgb="FFFFFFFF"/>
        <color rgb="FF9EC5F4"/>
      </colorScale>
    </cfRule>
  </conditionalFormatting>
  <conditionalFormatting sqref="S24:S126">
    <cfRule type="colorScale" priority="11">
      <colorScale>
        <cfvo type="num" val="0"/>
        <cfvo type="num" val="1"/>
        <color rgb="FFFFFFFF"/>
        <color rgb="FF9EC5F4"/>
      </colorScale>
    </cfRule>
  </conditionalFormatting>
  <conditionalFormatting sqref="C24:C126">
    <cfRule type="cellIs" priority="12" operator="equal" aboveAverage="0" equalAverage="0" bottom="0" percent="0" rank="0" text="" dxfId="116">
      <formula>"adiado"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1F6B"/>
    <pageSetUpPr fitToPage="true"/>
  </sheetPr>
  <dimension ref="A1:O1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32"/>
    <col collapsed="false" customWidth="true" hidden="false" outlineLevel="0" max="4" min="4" style="0" width="23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3"/>
    <col collapsed="false" customWidth="true" hidden="false" outlineLevel="0" max="8" min="8" style="0" width="8"/>
    <col collapsed="false" customWidth="true" hidden="false" outlineLevel="0" max="9" min="9" style="0" width="10"/>
    <col collapsed="false" customWidth="true" hidden="false" outlineLevel="0" max="10" min="10" style="0" width="23"/>
    <col collapsed="false" customWidth="true" hidden="false" outlineLevel="0" max="11" min="11" style="0" width="8"/>
    <col collapsed="false" customWidth="true" hidden="false" outlineLevel="0" max="12" min="12" style="0" width="10"/>
    <col collapsed="false" customWidth="true" hidden="false" outlineLevel="0" max="13" min="13" style="0" width="23"/>
    <col collapsed="false" customWidth="true" hidden="false" outlineLevel="0" max="14" min="14" style="0" width="8"/>
    <col collapsed="false" customWidth="true" hidden="false" outlineLevel="0" max="15" min="15" style="0" width="10"/>
  </cols>
  <sheetData>
    <row r="1" customFormat="false" ht="30" hidden="false" customHeight="true" outlineLevel="0" collapsed="false">
      <c r="A1" s="23" t="s">
        <v>128</v>
      </c>
    </row>
    <row r="2" customFormat="false" ht="15.75" hidden="false" customHeight="true" outlineLevel="0" collapsed="false">
      <c r="A2" s="24" t="s">
        <v>129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</row>
    <row r="4" customFormat="false" ht="19.5" hidden="false" customHeight="true" outlineLevel="0" collapsed="false">
      <c r="A4" s="25" t="s">
        <v>130</v>
      </c>
      <c r="B4" s="25"/>
      <c r="C4" s="25"/>
      <c r="D4" s="27" t="s">
        <v>131</v>
      </c>
      <c r="E4" s="27"/>
      <c r="F4" s="27"/>
      <c r="G4" s="26" t="s">
        <v>132</v>
      </c>
      <c r="H4" s="26"/>
      <c r="I4" s="26"/>
      <c r="J4" s="52" t="s">
        <v>133</v>
      </c>
      <c r="K4" s="52"/>
      <c r="L4" s="52"/>
      <c r="M4" s="28" t="s">
        <v>134</v>
      </c>
      <c r="N4" s="28"/>
      <c r="O4" s="28"/>
    </row>
    <row r="5" customFormat="false" ht="27.75" hidden="false" customHeight="true" outlineLevel="0" collapsed="false">
      <c r="A5" s="31" t="s">
        <v>67</v>
      </c>
      <c r="B5" s="31" t="s">
        <v>68</v>
      </c>
      <c r="C5" s="31" t="s">
        <v>135</v>
      </c>
      <c r="D5" s="31" t="s">
        <v>136</v>
      </c>
      <c r="E5" s="31" t="s">
        <v>137</v>
      </c>
      <c r="F5" s="31" t="s">
        <v>138</v>
      </c>
      <c r="G5" s="31" t="s">
        <v>136</v>
      </c>
      <c r="H5" s="31" t="s">
        <v>137</v>
      </c>
      <c r="I5" s="31" t="s">
        <v>138</v>
      </c>
      <c r="J5" s="31" t="s">
        <v>136</v>
      </c>
      <c r="K5" s="31" t="s">
        <v>137</v>
      </c>
      <c r="L5" s="31" t="s">
        <v>138</v>
      </c>
      <c r="M5" s="31" t="s">
        <v>136</v>
      </c>
      <c r="N5" s="31" t="s">
        <v>137</v>
      </c>
      <c r="O5" s="31" t="s">
        <v>138</v>
      </c>
    </row>
    <row r="6" customFormat="false" ht="18.75" hidden="false" customHeight="true" outlineLevel="0" collapsed="false">
      <c r="A6" s="35" t="n">
        <v>21</v>
      </c>
      <c r="B6" s="33" t="n">
        <v>46233</v>
      </c>
      <c r="C6" s="34" t="s">
        <v>139</v>
      </c>
      <c r="D6" s="53" t="s">
        <v>140</v>
      </c>
      <c r="E6" s="36" t="n">
        <v>0.941848444524692</v>
      </c>
      <c r="F6" s="37" t="n">
        <f aca="false">IFERROR(1/E6,"")</f>
        <v>1.06174194565311</v>
      </c>
      <c r="G6" s="53" t="s">
        <v>141</v>
      </c>
      <c r="H6" s="36" t="n">
        <v>0.687243558391915</v>
      </c>
      <c r="I6" s="37" t="n">
        <f aca="false">IFERROR(1/H6,"")</f>
        <v>1.45508821114294</v>
      </c>
      <c r="J6" s="53" t="s">
        <v>142</v>
      </c>
      <c r="K6" s="36" t="n">
        <v>0.510278298932802</v>
      </c>
      <c r="L6" s="37" t="n">
        <f aca="false">IFERROR(1/K6,"")</f>
        <v>1.95971492828796</v>
      </c>
      <c r="M6" s="53" t="s">
        <v>143</v>
      </c>
      <c r="N6" s="36" t="n">
        <v>0.354223598922765</v>
      </c>
      <c r="O6" s="37" t="n">
        <f aca="false">IFERROR(1/N6,"")</f>
        <v>2.82307560264509</v>
      </c>
    </row>
    <row r="7" customFormat="false" ht="18.75" hidden="false" customHeight="true" outlineLevel="0" collapsed="false">
      <c r="A7" s="42" t="n">
        <v>21</v>
      </c>
      <c r="B7" s="40" t="n">
        <v>46297</v>
      </c>
      <c r="C7" s="41" t="s">
        <v>144</v>
      </c>
      <c r="D7" s="54" t="s">
        <v>140</v>
      </c>
      <c r="E7" s="43" t="n">
        <v>0.913607489048575</v>
      </c>
      <c r="F7" s="44" t="n">
        <f aca="false">IFERROR(1/E7,"")</f>
        <v>1.09456195574906</v>
      </c>
      <c r="G7" s="54" t="s">
        <v>145</v>
      </c>
      <c r="H7" s="43" t="n">
        <v>0.659423800342946</v>
      </c>
      <c r="I7" s="44" t="n">
        <f aca="false">IFERROR(1/H7,"")</f>
        <v>1.5164754433794</v>
      </c>
      <c r="J7" s="54" t="s">
        <v>143</v>
      </c>
      <c r="K7" s="43" t="n">
        <v>0.503638893384442</v>
      </c>
      <c r="L7" s="44" t="n">
        <f aca="false">IFERROR(1/K7,"")</f>
        <v>1.9855495934399</v>
      </c>
      <c r="M7" s="54" t="s">
        <v>146</v>
      </c>
      <c r="N7" s="43" t="n">
        <v>0.33873961473173</v>
      </c>
      <c r="O7" s="44" t="n">
        <f aca="false">IFERROR(1/N7,"")</f>
        <v>2.95212002526473</v>
      </c>
    </row>
    <row r="8" customFormat="false" ht="18.75" hidden="false" customHeight="true" outlineLevel="0" collapsed="false">
      <c r="A8" s="35" t="n">
        <v>21</v>
      </c>
      <c r="B8" s="33" t="n">
        <v>46298</v>
      </c>
      <c r="C8" s="34" t="s">
        <v>147</v>
      </c>
      <c r="D8" s="53" t="s">
        <v>140</v>
      </c>
      <c r="E8" s="36" t="n">
        <v>0.919607177489373</v>
      </c>
      <c r="F8" s="37" t="n">
        <f aca="false">IFERROR(1/E8,"")</f>
        <v>1.08742082976136</v>
      </c>
      <c r="G8" s="53" t="s">
        <v>145</v>
      </c>
      <c r="H8" s="36" t="n">
        <v>0.669718665634556</v>
      </c>
      <c r="I8" s="37" t="n">
        <f aca="false">IFERROR(1/H8,"")</f>
        <v>1.49316429616383</v>
      </c>
      <c r="J8" s="53" t="s">
        <v>143</v>
      </c>
      <c r="K8" s="36" t="n">
        <v>0.512882686211862</v>
      </c>
      <c r="L8" s="37" t="n">
        <f aca="false">IFERROR(1/K8,"")</f>
        <v>1.94976361433835</v>
      </c>
      <c r="M8" s="53" t="s">
        <v>146</v>
      </c>
      <c r="N8" s="36" t="n">
        <v>0.347771610975303</v>
      </c>
      <c r="O8" s="37" t="n">
        <f aca="false">IFERROR(1/N8,"")</f>
        <v>2.87545034856515</v>
      </c>
    </row>
    <row r="9" customFormat="false" ht="18.75" hidden="false" customHeight="true" outlineLevel="0" collapsed="false">
      <c r="A9" s="42" t="n">
        <v>29</v>
      </c>
      <c r="B9" s="40" t="n">
        <v>46302</v>
      </c>
      <c r="C9" s="41" t="s">
        <v>148</v>
      </c>
      <c r="D9" s="54" t="s">
        <v>140</v>
      </c>
      <c r="E9" s="43" t="n">
        <v>0.909538037029801</v>
      </c>
      <c r="F9" s="44" t="n">
        <f aca="false">IFERROR(1/E9,"")</f>
        <v>1.09945924116116</v>
      </c>
      <c r="G9" s="54" t="s">
        <v>149</v>
      </c>
      <c r="H9" s="43" t="n">
        <v>0.654465506703888</v>
      </c>
      <c r="I9" s="44" t="n">
        <f aca="false">IFERROR(1/H9,"")</f>
        <v>1.52796440722498</v>
      </c>
      <c r="J9" s="54" t="s">
        <v>150</v>
      </c>
      <c r="K9" s="43" t="n">
        <v>0.482809844711478</v>
      </c>
      <c r="L9" s="44" t="n">
        <f aca="false">IFERROR(1/K9,"")</f>
        <v>2.07120880187849</v>
      </c>
      <c r="M9" s="54" t="s">
        <v>146</v>
      </c>
      <c r="N9" s="43" t="n">
        <v>0.332560340936538</v>
      </c>
      <c r="O9" s="44" t="n">
        <f aca="false">IFERROR(1/N9,"")</f>
        <v>3.00697310203572</v>
      </c>
    </row>
    <row r="10" customFormat="false" ht="18.75" hidden="false" customHeight="true" outlineLevel="0" collapsed="false">
      <c r="A10" s="35" t="n">
        <v>29</v>
      </c>
      <c r="B10" s="33" t="n">
        <v>46302</v>
      </c>
      <c r="C10" s="34" t="s">
        <v>151</v>
      </c>
      <c r="D10" s="53" t="s">
        <v>140</v>
      </c>
      <c r="E10" s="36" t="n">
        <v>0.944837810975331</v>
      </c>
      <c r="F10" s="37" t="n">
        <f aca="false">IFERROR(1/E10,"")</f>
        <v>1.0583827069407</v>
      </c>
      <c r="G10" s="53" t="s">
        <v>141</v>
      </c>
      <c r="H10" s="36" t="n">
        <v>0.675081928389964</v>
      </c>
      <c r="I10" s="37" t="n">
        <f aca="false">IFERROR(1/H10,"")</f>
        <v>1.48130168790764</v>
      </c>
      <c r="J10" s="53" t="s">
        <v>149</v>
      </c>
      <c r="K10" s="36" t="n">
        <v>0.488957981088973</v>
      </c>
      <c r="L10" s="37" t="n">
        <f aca="false">IFERROR(1/K10,"")</f>
        <v>2.0451655125311</v>
      </c>
      <c r="M10" s="53" t="s">
        <v>152</v>
      </c>
      <c r="N10" s="36" t="n">
        <v>0.324918071610036</v>
      </c>
      <c r="O10" s="37" t="n">
        <f aca="false">IFERROR(1/N10,"")</f>
        <v>3.0776989259009</v>
      </c>
    </row>
    <row r="11" customFormat="false" ht="18.75" hidden="false" customHeight="true" outlineLevel="0" collapsed="false">
      <c r="A11" s="42" t="n">
        <v>29</v>
      </c>
      <c r="B11" s="40" t="n">
        <v>46302</v>
      </c>
      <c r="C11" s="41" t="s">
        <v>153</v>
      </c>
      <c r="D11" s="54" t="s">
        <v>140</v>
      </c>
      <c r="E11" s="43" t="n">
        <v>0.929798991365186</v>
      </c>
      <c r="F11" s="44" t="n">
        <f aca="false">IFERROR(1/E11,"")</f>
        <v>1.07550127423965</v>
      </c>
      <c r="G11" s="54" t="s">
        <v>154</v>
      </c>
      <c r="H11" s="43" t="n">
        <v>0.657955505964794</v>
      </c>
      <c r="I11" s="44" t="n">
        <f aca="false">IFERROR(1/H11,"")</f>
        <v>1.51985961198645</v>
      </c>
      <c r="J11" s="54" t="s">
        <v>155</v>
      </c>
      <c r="K11" s="43" t="n">
        <v>0.509439447790371</v>
      </c>
      <c r="L11" s="44" t="n">
        <f aca="false">IFERROR(1/K11,"")</f>
        <v>1.96294182623151</v>
      </c>
      <c r="M11" s="54" t="s">
        <v>156</v>
      </c>
      <c r="N11" s="43" t="n">
        <v>0.314289164714581</v>
      </c>
      <c r="O11" s="44" t="n">
        <f aca="false">IFERROR(1/N11,"")</f>
        <v>3.1817832501739</v>
      </c>
    </row>
    <row r="12" customFormat="false" ht="18.75" hidden="false" customHeight="true" outlineLevel="0" collapsed="false">
      <c r="A12" s="35" t="n">
        <v>29</v>
      </c>
      <c r="B12" s="33" t="n">
        <v>46302</v>
      </c>
      <c r="C12" s="34" t="s">
        <v>157</v>
      </c>
      <c r="D12" s="53" t="s">
        <v>140</v>
      </c>
      <c r="E12" s="36" t="n">
        <v>0.88761940631186</v>
      </c>
      <c r="F12" s="37" t="n">
        <f aca="false">IFERROR(1/E12,"")</f>
        <v>1.12660898678984</v>
      </c>
      <c r="G12" s="53" t="s">
        <v>149</v>
      </c>
      <c r="H12" s="36" t="n">
        <v>0.669819234194778</v>
      </c>
      <c r="I12" s="37" t="n">
        <f aca="false">IFERROR(1/H12,"")</f>
        <v>1.49294010824002</v>
      </c>
      <c r="J12" s="53" t="s">
        <v>158</v>
      </c>
      <c r="K12" s="36" t="n">
        <v>0.500931822737565</v>
      </c>
      <c r="L12" s="37" t="n">
        <f aca="false">IFERROR(1/K12,"")</f>
        <v>1.9962796424772</v>
      </c>
      <c r="M12" s="53" t="s">
        <v>159</v>
      </c>
      <c r="N12" s="36" t="n">
        <v>0.346301182760794</v>
      </c>
      <c r="O12" s="37" t="n">
        <f aca="false">IFERROR(1/N12,"")</f>
        <v>2.88765978801391</v>
      </c>
    </row>
    <row r="13" customFormat="false" ht="18.75" hidden="false" customHeight="true" outlineLevel="0" collapsed="false">
      <c r="A13" s="42" t="n">
        <v>29</v>
      </c>
      <c r="B13" s="40" t="n">
        <v>46302</v>
      </c>
      <c r="C13" s="41" t="s">
        <v>160</v>
      </c>
      <c r="D13" s="54" t="s">
        <v>140</v>
      </c>
      <c r="E13" s="43" t="n">
        <v>0.941624100827332</v>
      </c>
      <c r="F13" s="44" t="n">
        <f aca="false">IFERROR(1/E13,"")</f>
        <v>1.06199490765092</v>
      </c>
      <c r="G13" s="54" t="s">
        <v>141</v>
      </c>
      <c r="H13" s="43" t="n">
        <v>0.687332531560921</v>
      </c>
      <c r="I13" s="44" t="n">
        <f aca="false">IFERROR(1/H13,"")</f>
        <v>1.45489985426562</v>
      </c>
      <c r="J13" s="54" t="s">
        <v>161</v>
      </c>
      <c r="K13" s="43" t="n">
        <v>0.502299573789657</v>
      </c>
      <c r="L13" s="44" t="n">
        <f aca="false">IFERROR(1/K13,"")</f>
        <v>1.99084381548522</v>
      </c>
      <c r="M13" s="54" t="s">
        <v>152</v>
      </c>
      <c r="N13" s="43" t="n">
        <v>0.312667468439079</v>
      </c>
      <c r="O13" s="44" t="n">
        <f aca="false">IFERROR(1/N13,"")</f>
        <v>3.19828604169238</v>
      </c>
    </row>
    <row r="14" customFormat="false" ht="18.75" hidden="false" customHeight="true" outlineLevel="0" collapsed="false">
      <c r="A14" s="35" t="n">
        <v>29</v>
      </c>
      <c r="B14" s="33" t="n">
        <v>46302</v>
      </c>
      <c r="C14" s="34" t="s">
        <v>162</v>
      </c>
      <c r="D14" s="53" t="s">
        <v>140</v>
      </c>
      <c r="E14" s="36" t="n">
        <v>0.896131703957303</v>
      </c>
      <c r="F14" s="37" t="n">
        <f aca="false">IFERROR(1/E14,"")</f>
        <v>1.11590740020023</v>
      </c>
      <c r="G14" s="53" t="s">
        <v>107</v>
      </c>
      <c r="H14" s="36" t="n">
        <v>0.655969647591675</v>
      </c>
      <c r="I14" s="37" t="n">
        <f aca="false">IFERROR(1/H14,"")</f>
        <v>1.52446077904884</v>
      </c>
      <c r="J14" s="53" t="s">
        <v>163</v>
      </c>
      <c r="K14" s="36" t="n">
        <v>0.502926211347039</v>
      </c>
      <c r="L14" s="37" t="n">
        <f aca="false">IFERROR(1/K14,"")</f>
        <v>1.98836325774629</v>
      </c>
      <c r="M14" s="53" t="s">
        <v>164</v>
      </c>
      <c r="N14" s="36" t="n">
        <v>0.344030352408325</v>
      </c>
      <c r="O14" s="37" t="n">
        <f aca="false">IFERROR(1/N14,"")</f>
        <v>2.90672027337028</v>
      </c>
    </row>
    <row r="15" customFormat="false" ht="18.75" hidden="false" customHeight="true" outlineLevel="0" collapsed="false">
      <c r="A15" s="42" t="n">
        <v>29</v>
      </c>
      <c r="B15" s="40" t="n">
        <v>46302</v>
      </c>
      <c r="C15" s="41" t="s">
        <v>165</v>
      </c>
      <c r="D15" s="54" t="s">
        <v>140</v>
      </c>
      <c r="E15" s="43" t="n">
        <v>0.937334119996593</v>
      </c>
      <c r="F15" s="44" t="n">
        <f aca="false">IFERROR(1/E15,"")</f>
        <v>1.06685543464868</v>
      </c>
      <c r="G15" s="54" t="s">
        <v>143</v>
      </c>
      <c r="H15" s="43" t="n">
        <v>0.656706758754522</v>
      </c>
      <c r="I15" s="44" t="n">
        <f aca="false">IFERROR(1/H15,"")</f>
        <v>1.52274966972557</v>
      </c>
      <c r="J15" s="54" t="s">
        <v>142</v>
      </c>
      <c r="K15" s="43" t="n">
        <v>0.496474830541405</v>
      </c>
      <c r="L15" s="44" t="n">
        <f aca="false">IFERROR(1/K15,"")</f>
        <v>2.01420079827512</v>
      </c>
      <c r="M15" s="54" t="s">
        <v>110</v>
      </c>
      <c r="N15" s="43" t="n">
        <v>0.343293241245477</v>
      </c>
      <c r="O15" s="44" t="n">
        <f aca="false">IFERROR(1/N15,"")</f>
        <v>2.91296151468632</v>
      </c>
    </row>
    <row r="16" customFormat="false" ht="18.75" hidden="false" customHeight="true" outlineLevel="0" collapsed="false">
      <c r="A16" s="35" t="n">
        <v>29</v>
      </c>
      <c r="B16" s="33" t="n">
        <v>46302</v>
      </c>
      <c r="C16" s="34" t="s">
        <v>166</v>
      </c>
      <c r="D16" s="53" t="s">
        <v>140</v>
      </c>
      <c r="E16" s="36" t="n">
        <v>0.938257395582887</v>
      </c>
      <c r="F16" s="37" t="n">
        <f aca="false">IFERROR(1/E16,"")</f>
        <v>1.06580561443777</v>
      </c>
      <c r="G16" s="53" t="s">
        <v>149</v>
      </c>
      <c r="H16" s="36" t="n">
        <v>0.664291689754723</v>
      </c>
      <c r="I16" s="37" t="n">
        <f aca="false">IFERROR(1/H16,"")</f>
        <v>1.50536280285131</v>
      </c>
      <c r="J16" s="53" t="s">
        <v>142</v>
      </c>
      <c r="K16" s="36" t="n">
        <v>0.498567789796452</v>
      </c>
      <c r="L16" s="37" t="n">
        <f aca="false">IFERROR(1/K16,"")</f>
        <v>2.00574529776235</v>
      </c>
      <c r="M16" s="53" t="s">
        <v>156</v>
      </c>
      <c r="N16" s="36" t="n">
        <v>0.367341391137849</v>
      </c>
      <c r="O16" s="37" t="n">
        <f aca="false">IFERROR(1/N16,"")</f>
        <v>2.72226333357773</v>
      </c>
    </row>
    <row r="17" customFormat="false" ht="18.75" hidden="false" customHeight="true" outlineLevel="0" collapsed="false">
      <c r="A17" s="42" t="n">
        <v>29</v>
      </c>
      <c r="B17" s="40" t="n">
        <v>46302</v>
      </c>
      <c r="C17" s="41" t="s">
        <v>167</v>
      </c>
      <c r="D17" s="54" t="s">
        <v>140</v>
      </c>
      <c r="E17" s="43" t="n">
        <v>0.934850419765168</v>
      </c>
      <c r="F17" s="44" t="n">
        <f aca="false">IFERROR(1/E17,"")</f>
        <v>1.06968984434023</v>
      </c>
      <c r="G17" s="54" t="s">
        <v>154</v>
      </c>
      <c r="H17" s="43" t="n">
        <v>0.646766535621365</v>
      </c>
      <c r="I17" s="44" t="n">
        <f aca="false">IFERROR(1/H17,"")</f>
        <v>1.54615297008104</v>
      </c>
      <c r="J17" s="54" t="s">
        <v>168</v>
      </c>
      <c r="K17" s="43" t="n">
        <v>0.508789222653078</v>
      </c>
      <c r="L17" s="44" t="n">
        <f aca="false">IFERROR(1/K17,"")</f>
        <v>1.96545043699139</v>
      </c>
      <c r="M17" s="54" t="s">
        <v>146</v>
      </c>
      <c r="N17" s="43" t="n">
        <v>0.370225914367854</v>
      </c>
      <c r="O17" s="44" t="n">
        <f aca="false">IFERROR(1/N17,"")</f>
        <v>2.70105349515433</v>
      </c>
    </row>
    <row r="18" customFormat="false" ht="18.75" hidden="false" customHeight="true" outlineLevel="0" collapsed="false">
      <c r="A18" s="35" t="n">
        <v>29</v>
      </c>
      <c r="B18" s="33" t="n">
        <v>46302</v>
      </c>
      <c r="C18" s="34" t="s">
        <v>169</v>
      </c>
      <c r="D18" s="53" t="s">
        <v>140</v>
      </c>
      <c r="E18" s="36" t="n">
        <v>0.929561417220768</v>
      </c>
      <c r="F18" s="37" t="n">
        <f aca="false">IFERROR(1/E18,"")</f>
        <v>1.0757761471962</v>
      </c>
      <c r="G18" s="53" t="s">
        <v>154</v>
      </c>
      <c r="H18" s="36" t="n">
        <v>0.658080319896419</v>
      </c>
      <c r="I18" s="37" t="n">
        <f aca="false">IFERROR(1/H18,"")</f>
        <v>1.51957134982763</v>
      </c>
      <c r="J18" s="53" t="s">
        <v>161</v>
      </c>
      <c r="K18" s="36" t="n">
        <v>0.508002786167567</v>
      </c>
      <c r="L18" s="37" t="n">
        <f aca="false">IFERROR(1/K18,"")</f>
        <v>1.96849314064617</v>
      </c>
      <c r="M18" s="53" t="s">
        <v>170</v>
      </c>
      <c r="N18" s="36" t="n">
        <v>0.334955199273813</v>
      </c>
      <c r="O18" s="37" t="n">
        <f aca="false">IFERROR(1/N18,"")</f>
        <v>2.9854738847703</v>
      </c>
    </row>
    <row r="19" customFormat="false" ht="18.75" hidden="false" customHeight="true" outlineLevel="0" collapsed="false">
      <c r="A19" s="42" t="n">
        <v>30</v>
      </c>
      <c r="B19" s="40" t="n">
        <v>46306</v>
      </c>
      <c r="C19" s="41" t="s">
        <v>171</v>
      </c>
      <c r="D19" s="54" t="s">
        <v>140</v>
      </c>
      <c r="E19" s="43" t="n">
        <v>0.926931578732396</v>
      </c>
      <c r="F19" s="44" t="n">
        <f aca="false">IFERROR(1/E19,"")</f>
        <v>1.07882827917841</v>
      </c>
      <c r="G19" s="54" t="s">
        <v>154</v>
      </c>
      <c r="H19" s="43" t="n">
        <v>0.663446447795395</v>
      </c>
      <c r="I19" s="44" t="n">
        <f aca="false">IFERROR(1/H19,"")</f>
        <v>1.50728066044058</v>
      </c>
      <c r="J19" s="54" t="s">
        <v>161</v>
      </c>
      <c r="K19" s="43" t="n">
        <v>0.502460651095138</v>
      </c>
      <c r="L19" s="44" t="n">
        <f aca="false">IFERROR(1/K19,"")</f>
        <v>1.99020559683719</v>
      </c>
      <c r="M19" s="54" t="s">
        <v>146</v>
      </c>
      <c r="N19" s="43" t="n">
        <v>0.358735795625261</v>
      </c>
      <c r="O19" s="44" t="n">
        <f aca="false">IFERROR(1/N19,"")</f>
        <v>2.78756681712524</v>
      </c>
    </row>
    <row r="20" customFormat="false" ht="18.75" hidden="false" customHeight="true" outlineLevel="0" collapsed="false">
      <c r="A20" s="35" t="n">
        <v>30</v>
      </c>
      <c r="B20" s="33" t="n">
        <v>46306</v>
      </c>
      <c r="C20" s="34" t="s">
        <v>172</v>
      </c>
      <c r="D20" s="53" t="s">
        <v>140</v>
      </c>
      <c r="E20" s="36" t="n">
        <v>0.938604999641662</v>
      </c>
      <c r="F20" s="37" t="n">
        <f aca="false">IFERROR(1/E20,"")</f>
        <v>1.06541090275651</v>
      </c>
      <c r="G20" s="53" t="s">
        <v>163</v>
      </c>
      <c r="H20" s="36" t="n">
        <v>0.638752393323706</v>
      </c>
      <c r="I20" s="37" t="n">
        <f aca="false">IFERROR(1/H20,"")</f>
        <v>1.56555186399626</v>
      </c>
      <c r="J20" s="53" t="s">
        <v>142</v>
      </c>
      <c r="K20" s="36" t="n">
        <v>0.499751710180197</v>
      </c>
      <c r="L20" s="37" t="n">
        <f aca="false">IFERROR(1/K20,"")</f>
        <v>2.00099365270691</v>
      </c>
      <c r="M20" s="53" t="s">
        <v>158</v>
      </c>
      <c r="N20" s="36" t="n">
        <v>0.366991440771556</v>
      </c>
      <c r="O20" s="37" t="n">
        <f aca="false">IFERROR(1/N20,"")</f>
        <v>2.72485918989724</v>
      </c>
    </row>
    <row r="21" customFormat="false" ht="18.75" hidden="false" customHeight="true" outlineLevel="0" collapsed="false">
      <c r="A21" s="42" t="n">
        <v>30</v>
      </c>
      <c r="B21" s="40" t="n">
        <v>46306</v>
      </c>
      <c r="C21" s="41" t="s">
        <v>173</v>
      </c>
      <c r="D21" s="54" t="s">
        <v>140</v>
      </c>
      <c r="E21" s="43" t="n">
        <v>0.901211274315209</v>
      </c>
      <c r="F21" s="44" t="n">
        <f aca="false">IFERROR(1/E21,"")</f>
        <v>1.10961772061702</v>
      </c>
      <c r="G21" s="54" t="s">
        <v>107</v>
      </c>
      <c r="H21" s="43" t="n">
        <v>0.667409286379377</v>
      </c>
      <c r="I21" s="44" t="n">
        <f aca="false">IFERROR(1/H21,"")</f>
        <v>1.49833096483402</v>
      </c>
      <c r="J21" s="54" t="s">
        <v>150</v>
      </c>
      <c r="K21" s="43" t="n">
        <v>0.497463608513207</v>
      </c>
      <c r="L21" s="44" t="n">
        <f aca="false">IFERROR(1/K21,"")</f>
        <v>2.01019729460964</v>
      </c>
      <c r="M21" s="54" t="s">
        <v>164</v>
      </c>
      <c r="N21" s="43" t="n">
        <v>0.332590713620623</v>
      </c>
      <c r="O21" s="44" t="n">
        <f aca="false">IFERROR(1/N21,"")</f>
        <v>3.00669850073046</v>
      </c>
    </row>
    <row r="22" customFormat="false" ht="18.75" hidden="false" customHeight="true" outlineLevel="0" collapsed="false">
      <c r="A22" s="35" t="n">
        <v>30</v>
      </c>
      <c r="B22" s="33" t="n">
        <v>46306</v>
      </c>
      <c r="C22" s="34" t="s">
        <v>174</v>
      </c>
      <c r="D22" s="53" t="s">
        <v>140</v>
      </c>
      <c r="E22" s="36" t="n">
        <v>0.925001065102474</v>
      </c>
      <c r="F22" s="37" t="n">
        <f aca="false">IFERROR(1/E22,"")</f>
        <v>1.08107983625859</v>
      </c>
      <c r="G22" s="53" t="s">
        <v>154</v>
      </c>
      <c r="H22" s="36" t="n">
        <v>0.667253383410293</v>
      </c>
      <c r="I22" s="37" t="n">
        <f aca="false">IFERROR(1/H22,"")</f>
        <v>1.49868104810358</v>
      </c>
      <c r="J22" s="53" t="s">
        <v>175</v>
      </c>
      <c r="K22" s="36" t="n">
        <v>0.509782718557892</v>
      </c>
      <c r="L22" s="37" t="n">
        <f aca="false">IFERROR(1/K22,"")</f>
        <v>1.96162004633831</v>
      </c>
      <c r="M22" s="53" t="s">
        <v>146</v>
      </c>
      <c r="N22" s="36" t="n">
        <v>0.355782265182371</v>
      </c>
      <c r="O22" s="37" t="n">
        <f aca="false">IFERROR(1/N22,"")</f>
        <v>2.81070783415078</v>
      </c>
    </row>
    <row r="23" customFormat="false" ht="18.75" hidden="false" customHeight="true" outlineLevel="0" collapsed="false">
      <c r="A23" s="42" t="n">
        <v>30</v>
      </c>
      <c r="B23" s="40" t="n">
        <v>46306</v>
      </c>
      <c r="C23" s="41" t="s">
        <v>176</v>
      </c>
      <c r="D23" s="54" t="s">
        <v>140</v>
      </c>
      <c r="E23" s="43" t="n">
        <v>0.937773794905072</v>
      </c>
      <c r="F23" s="44" t="n">
        <f aca="false">IFERROR(1/E23,"")</f>
        <v>1.06635523985955</v>
      </c>
      <c r="G23" s="54" t="s">
        <v>110</v>
      </c>
      <c r="H23" s="43" t="n">
        <v>0.679768504369446</v>
      </c>
      <c r="I23" s="44" t="n">
        <f aca="false">IFERROR(1/H23,"")</f>
        <v>1.47108904512662</v>
      </c>
      <c r="J23" s="54" t="s">
        <v>142</v>
      </c>
      <c r="K23" s="43" t="n">
        <v>0.49704840983846</v>
      </c>
      <c r="L23" s="44" t="n">
        <f aca="false">IFERROR(1/K23,"")</f>
        <v>2.01187646958774</v>
      </c>
      <c r="M23" s="54" t="s">
        <v>170</v>
      </c>
      <c r="N23" s="43" t="n">
        <v>0.322238390782885</v>
      </c>
      <c r="O23" s="44" t="n">
        <f aca="false">IFERROR(1/N23,"")</f>
        <v>3.10329255794282</v>
      </c>
    </row>
    <row r="24" customFormat="false" ht="18.75" hidden="false" customHeight="true" outlineLevel="0" collapsed="false">
      <c r="A24" s="35" t="n">
        <v>30</v>
      </c>
      <c r="B24" s="33" t="n">
        <v>46306</v>
      </c>
      <c r="C24" s="34" t="s">
        <v>177</v>
      </c>
      <c r="D24" s="53" t="s">
        <v>140</v>
      </c>
      <c r="E24" s="36" t="n">
        <v>0.934389436949661</v>
      </c>
      <c r="F24" s="37" t="n">
        <f aca="false">IFERROR(1/E24,"")</f>
        <v>1.07021757787045</v>
      </c>
      <c r="G24" s="53" t="s">
        <v>154</v>
      </c>
      <c r="H24" s="36" t="n">
        <v>0.647259618956234</v>
      </c>
      <c r="I24" s="37" t="n">
        <f aca="false">IFERROR(1/H24,"")</f>
        <v>1.54497510846203</v>
      </c>
      <c r="J24" s="53" t="s">
        <v>168</v>
      </c>
      <c r="K24" s="36" t="n">
        <v>0.507733248501614</v>
      </c>
      <c r="L24" s="37" t="n">
        <f aca="false">IFERROR(1/K24,"")</f>
        <v>1.96953814419506</v>
      </c>
      <c r="M24" s="53" t="s">
        <v>146</v>
      </c>
      <c r="N24" s="36" t="n">
        <v>0.369817152213055</v>
      </c>
      <c r="O24" s="37" t="n">
        <f aca="false">IFERROR(1/N24,"")</f>
        <v>2.70403899336689</v>
      </c>
    </row>
    <row r="25" customFormat="false" ht="18.75" hidden="false" customHeight="true" outlineLevel="0" collapsed="false">
      <c r="A25" s="42" t="n">
        <v>30</v>
      </c>
      <c r="B25" s="40" t="n">
        <v>46306</v>
      </c>
      <c r="C25" s="41" t="s">
        <v>178</v>
      </c>
      <c r="D25" s="54" t="s">
        <v>140</v>
      </c>
      <c r="E25" s="43" t="n">
        <v>0.917560651761926</v>
      </c>
      <c r="F25" s="44" t="n">
        <f aca="false">IFERROR(1/E25,"")</f>
        <v>1.08984621134284</v>
      </c>
      <c r="G25" s="54" t="s">
        <v>145</v>
      </c>
      <c r="H25" s="43" t="n">
        <v>0.666077874202685</v>
      </c>
      <c r="I25" s="44" t="n">
        <f aca="false">IFERROR(1/H25,"")</f>
        <v>1.50132595411164</v>
      </c>
      <c r="J25" s="54" t="s">
        <v>161</v>
      </c>
      <c r="K25" s="43" t="n">
        <v>0.504675861071563</v>
      </c>
      <c r="L25" s="44" t="n">
        <f aca="false">IFERROR(1/K25,"")</f>
        <v>1.98146984457852</v>
      </c>
      <c r="M25" s="54" t="s">
        <v>170</v>
      </c>
      <c r="N25" s="43" t="n">
        <v>0.324698354900453</v>
      </c>
      <c r="O25" s="44" t="n">
        <f aca="false">IFERROR(1/N25,"")</f>
        <v>3.07978154156827</v>
      </c>
    </row>
    <row r="26" customFormat="false" ht="18.75" hidden="false" customHeight="true" outlineLevel="0" collapsed="false">
      <c r="A26" s="35" t="n">
        <v>30</v>
      </c>
      <c r="B26" s="33" t="n">
        <v>46306</v>
      </c>
      <c r="C26" s="34" t="s">
        <v>179</v>
      </c>
      <c r="D26" s="53" t="s">
        <v>140</v>
      </c>
      <c r="E26" s="36" t="n">
        <v>0.912909980196951</v>
      </c>
      <c r="F26" s="37" t="n">
        <f aca="false">IFERROR(1/E26,"")</f>
        <v>1.09539825578888</v>
      </c>
      <c r="G26" s="53" t="s">
        <v>145</v>
      </c>
      <c r="H26" s="36" t="n">
        <v>0.658802345067523</v>
      </c>
      <c r="I26" s="37" t="n">
        <f aca="false">IFERROR(1/H26,"")</f>
        <v>1.51790595083189</v>
      </c>
      <c r="J26" s="53" t="s">
        <v>170</v>
      </c>
      <c r="K26" s="36" t="n">
        <v>0.492747050451007</v>
      </c>
      <c r="L26" s="37" t="n">
        <f aca="false">IFERROR(1/K26,"")</f>
        <v>2.02943883496554</v>
      </c>
      <c r="M26" s="53" t="s">
        <v>146</v>
      </c>
      <c r="N26" s="36" t="n">
        <v>0.338013586598514</v>
      </c>
      <c r="O26" s="37" t="n">
        <f aca="false">IFERROR(1/N26,"")</f>
        <v>2.95846096029205</v>
      </c>
    </row>
    <row r="27" customFormat="false" ht="18.75" hidden="false" customHeight="true" outlineLevel="0" collapsed="false">
      <c r="A27" s="42" t="n">
        <v>30</v>
      </c>
      <c r="B27" s="40" t="n">
        <v>46306</v>
      </c>
      <c r="C27" s="41" t="s">
        <v>180</v>
      </c>
      <c r="D27" s="54" t="s">
        <v>140</v>
      </c>
      <c r="E27" s="43" t="n">
        <v>0.90441019460565</v>
      </c>
      <c r="F27" s="44" t="n">
        <f aca="false">IFERROR(1/E27,"")</f>
        <v>1.1056929764442</v>
      </c>
      <c r="G27" s="54" t="s">
        <v>107</v>
      </c>
      <c r="H27" s="43" t="n">
        <v>0.675395405216618</v>
      </c>
      <c r="I27" s="44" t="n">
        <f aca="false">IFERROR(1/H27,"")</f>
        <v>1.48061415916691</v>
      </c>
      <c r="J27" s="54" t="s">
        <v>150</v>
      </c>
      <c r="K27" s="43" t="n">
        <v>0.491615266359009</v>
      </c>
      <c r="L27" s="44" t="n">
        <f aca="false">IFERROR(1/K27,"")</f>
        <v>2.03411095714374</v>
      </c>
      <c r="M27" s="54" t="s">
        <v>146</v>
      </c>
      <c r="N27" s="43" t="n">
        <v>0.325093747353434</v>
      </c>
      <c r="O27" s="44" t="n">
        <f aca="false">IFERROR(1/N27,"")</f>
        <v>3.0760357839575</v>
      </c>
    </row>
    <row r="28" customFormat="false" ht="18.75" hidden="false" customHeight="true" outlineLevel="0" collapsed="false">
      <c r="A28" s="35" t="n">
        <v>30</v>
      </c>
      <c r="B28" s="33" t="n">
        <v>46306</v>
      </c>
      <c r="C28" s="34" t="s">
        <v>181</v>
      </c>
      <c r="D28" s="53" t="s">
        <v>140</v>
      </c>
      <c r="E28" s="36" t="n">
        <v>0.951793011853751</v>
      </c>
      <c r="F28" s="37" t="n">
        <f aca="false">IFERROR(1/E28,"")</f>
        <v>1.05064860483936</v>
      </c>
      <c r="G28" s="53" t="s">
        <v>141</v>
      </c>
      <c r="H28" s="36" t="n">
        <v>0.645642137694309</v>
      </c>
      <c r="I28" s="37" t="n">
        <f aca="false">IFERROR(1/H28,"")</f>
        <v>1.54884562456094</v>
      </c>
      <c r="J28" s="53" t="s">
        <v>159</v>
      </c>
      <c r="K28" s="36" t="n">
        <v>0.493766885128704</v>
      </c>
      <c r="L28" s="37" t="n">
        <f aca="false">IFERROR(1/K28,"")</f>
        <v>2.02524719684136</v>
      </c>
      <c r="M28" s="53" t="s">
        <v>152</v>
      </c>
      <c r="N28" s="36" t="n">
        <v>0.354357862305691</v>
      </c>
      <c r="O28" s="37" t="n">
        <f aca="false">IFERROR(1/N28,"")</f>
        <v>2.82200596169456</v>
      </c>
    </row>
    <row r="29" customFormat="false" ht="18.75" hidden="false" customHeight="true" outlineLevel="0" collapsed="false">
      <c r="A29" s="42" t="n">
        <v>31</v>
      </c>
      <c r="B29" s="40" t="n">
        <v>46313</v>
      </c>
      <c r="C29" s="41" t="s">
        <v>182</v>
      </c>
      <c r="D29" s="54" t="s">
        <v>140</v>
      </c>
      <c r="E29" s="43" t="n">
        <v>0.901450503264865</v>
      </c>
      <c r="F29" s="44" t="n">
        <f aca="false">IFERROR(1/E29,"")</f>
        <v>1.10932324778588</v>
      </c>
      <c r="G29" s="54" t="s">
        <v>107</v>
      </c>
      <c r="H29" s="43" t="n">
        <v>0.667983930340205</v>
      </c>
      <c r="I29" s="44" t="n">
        <f aca="false">IFERROR(1/H29,"")</f>
        <v>1.49704200143063</v>
      </c>
      <c r="J29" s="54" t="s">
        <v>150</v>
      </c>
      <c r="K29" s="43" t="n">
        <v>0.497050353353659</v>
      </c>
      <c r="L29" s="44" t="n">
        <f aca="false">IFERROR(1/K29,"")</f>
        <v>2.01186860295517</v>
      </c>
      <c r="M29" s="54" t="s">
        <v>164</v>
      </c>
      <c r="N29" s="43" t="n">
        <v>0.332016069659795</v>
      </c>
      <c r="O29" s="44" t="n">
        <f aca="false">IFERROR(1/N29,"")</f>
        <v>3.01190240889444</v>
      </c>
    </row>
    <row r="30" customFormat="false" ht="18.75" hidden="false" customHeight="true" outlineLevel="0" collapsed="false">
      <c r="A30" s="35" t="n">
        <v>31</v>
      </c>
      <c r="B30" s="33" t="n">
        <v>46313</v>
      </c>
      <c r="C30" s="34" t="s">
        <v>183</v>
      </c>
      <c r="D30" s="53" t="s">
        <v>140</v>
      </c>
      <c r="E30" s="36" t="n">
        <v>0.943747126297701</v>
      </c>
      <c r="F30" s="37" t="n">
        <f aca="false">IFERROR(1/E30,"")</f>
        <v>1.05960587548804</v>
      </c>
      <c r="G30" s="53" t="s">
        <v>141</v>
      </c>
      <c r="H30" s="36" t="n">
        <v>0.679214674509884</v>
      </c>
      <c r="I30" s="37" t="n">
        <f aca="false">IFERROR(1/H30,"")</f>
        <v>1.47228856726571</v>
      </c>
      <c r="J30" s="53" t="s">
        <v>175</v>
      </c>
      <c r="K30" s="36" t="n">
        <v>0.506285283107282</v>
      </c>
      <c r="L30" s="37" t="n">
        <f aca="false">IFERROR(1/K30,"")</f>
        <v>1.9751709823809</v>
      </c>
      <c r="M30" s="53" t="s">
        <v>152</v>
      </c>
      <c r="N30" s="36" t="n">
        <v>0.320785325490116</v>
      </c>
      <c r="O30" s="37" t="n">
        <f aca="false">IFERROR(1/N30,"")</f>
        <v>3.11734958097643</v>
      </c>
    </row>
    <row r="31" customFormat="false" ht="18.75" hidden="false" customHeight="true" outlineLevel="0" collapsed="false">
      <c r="A31" s="42" t="n">
        <v>31</v>
      </c>
      <c r="B31" s="40" t="n">
        <v>46313</v>
      </c>
      <c r="C31" s="41" t="s">
        <v>184</v>
      </c>
      <c r="D31" s="54" t="s">
        <v>140</v>
      </c>
      <c r="E31" s="43" t="n">
        <v>0.936173982960214</v>
      </c>
      <c r="F31" s="44" t="n">
        <f aca="false">IFERROR(1/E31,"")</f>
        <v>1.06817751636076</v>
      </c>
      <c r="G31" s="54" t="s">
        <v>154</v>
      </c>
      <c r="H31" s="43" t="n">
        <v>0.643684398624844</v>
      </c>
      <c r="I31" s="44" t="n">
        <f aca="false">IFERROR(1/H31,"")</f>
        <v>1.55355637349046</v>
      </c>
      <c r="J31" s="54" t="s">
        <v>142</v>
      </c>
      <c r="K31" s="43" t="n">
        <v>0.491982288091661</v>
      </c>
      <c r="L31" s="44" t="n">
        <f aca="false">IFERROR(1/K31,"")</f>
        <v>2.03259349819051</v>
      </c>
      <c r="M31" s="54" t="s">
        <v>146</v>
      </c>
      <c r="N31" s="43" t="n">
        <v>0.372089616599049</v>
      </c>
      <c r="O31" s="44" t="n">
        <f aca="false">IFERROR(1/N31,"")</f>
        <v>2.68752460533604</v>
      </c>
    </row>
    <row r="32" customFormat="false" ht="18.75" hidden="false" customHeight="true" outlineLevel="0" collapsed="false">
      <c r="A32" s="35" t="n">
        <v>31</v>
      </c>
      <c r="B32" s="33" t="n">
        <v>46313</v>
      </c>
      <c r="C32" s="34" t="s">
        <v>185</v>
      </c>
      <c r="D32" s="53" t="s">
        <v>140</v>
      </c>
      <c r="E32" s="36" t="n">
        <v>0.954237582576023</v>
      </c>
      <c r="F32" s="37" t="n">
        <f aca="false">IFERROR(1/E32,"")</f>
        <v>1.04795704786688</v>
      </c>
      <c r="G32" s="53" t="s">
        <v>141</v>
      </c>
      <c r="H32" s="36" t="n">
        <v>0.633060822072556</v>
      </c>
      <c r="I32" s="37" t="n">
        <f aca="false">IFERROR(1/H32,"")</f>
        <v>1.57962705183071</v>
      </c>
      <c r="J32" s="53" t="s">
        <v>159</v>
      </c>
      <c r="K32" s="36" t="n">
        <v>0.500426895202789</v>
      </c>
      <c r="L32" s="37" t="n">
        <f aca="false">IFERROR(1/K32,"")</f>
        <v>1.99829387586127</v>
      </c>
      <c r="M32" s="53" t="s">
        <v>150</v>
      </c>
      <c r="N32" s="36" t="n">
        <v>0.363397898522766</v>
      </c>
      <c r="O32" s="37" t="n">
        <f aca="false">IFERROR(1/N32,"")</f>
        <v>2.75180457582462</v>
      </c>
    </row>
    <row r="33" customFormat="false" ht="18.75" hidden="false" customHeight="true" outlineLevel="0" collapsed="false">
      <c r="A33" s="42" t="n">
        <v>31</v>
      </c>
      <c r="B33" s="40" t="n">
        <v>46313</v>
      </c>
      <c r="C33" s="41" t="s">
        <v>186</v>
      </c>
      <c r="D33" s="54" t="s">
        <v>140</v>
      </c>
      <c r="E33" s="43" t="n">
        <v>0.902176087661053</v>
      </c>
      <c r="F33" s="44" t="n">
        <f aca="false">IFERROR(1/E33,"")</f>
        <v>1.10843106315593</v>
      </c>
      <c r="G33" s="54" t="s">
        <v>107</v>
      </c>
      <c r="H33" s="43" t="n">
        <v>0.670115788657996</v>
      </c>
      <c r="I33" s="44" t="n">
        <f aca="false">IFERROR(1/H33,"")</f>
        <v>1.49227941935624</v>
      </c>
      <c r="J33" s="54" t="s">
        <v>150</v>
      </c>
      <c r="K33" s="43" t="n">
        <v>0.495478005294457</v>
      </c>
      <c r="L33" s="44" t="n">
        <f aca="false">IFERROR(1/K33,"")</f>
        <v>2.01825305929718</v>
      </c>
      <c r="M33" s="54" t="s">
        <v>164</v>
      </c>
      <c r="N33" s="43" t="n">
        <v>0.329884211342004</v>
      </c>
      <c r="O33" s="44" t="n">
        <f aca="false">IFERROR(1/N33,"")</f>
        <v>3.03136666023479</v>
      </c>
    </row>
    <row r="34" customFormat="false" ht="18.75" hidden="false" customHeight="true" outlineLevel="0" collapsed="false">
      <c r="A34" s="35" t="n">
        <v>31</v>
      </c>
      <c r="B34" s="33" t="n">
        <v>46313</v>
      </c>
      <c r="C34" s="34" t="s">
        <v>187</v>
      </c>
      <c r="D34" s="53" t="s">
        <v>140</v>
      </c>
      <c r="E34" s="36" t="n">
        <v>0.924252156743924</v>
      </c>
      <c r="F34" s="37" t="n">
        <f aca="false">IFERROR(1/E34,"")</f>
        <v>1.08195581985216</v>
      </c>
      <c r="G34" s="53" t="s">
        <v>188</v>
      </c>
      <c r="H34" s="36" t="n">
        <v>0.665089197218201</v>
      </c>
      <c r="I34" s="37" t="n">
        <f aca="false">IFERROR(1/H34,"")</f>
        <v>1.50355772456175</v>
      </c>
      <c r="J34" s="53" t="s">
        <v>163</v>
      </c>
      <c r="K34" s="36" t="n">
        <v>0.50549016817472</v>
      </c>
      <c r="L34" s="37" t="n">
        <f aca="false">IFERROR(1/K34,"")</f>
        <v>1.97827784388154</v>
      </c>
      <c r="M34" s="53" t="s">
        <v>146</v>
      </c>
      <c r="N34" s="36" t="n">
        <v>0.354756472922602</v>
      </c>
      <c r="O34" s="37" t="n">
        <f aca="false">IFERROR(1/N34,"")</f>
        <v>2.81883510612693</v>
      </c>
    </row>
    <row r="35" customFormat="false" ht="18.75" hidden="false" customHeight="true" outlineLevel="0" collapsed="false">
      <c r="A35" s="42" t="n">
        <v>31</v>
      </c>
      <c r="B35" s="40" t="n">
        <v>46313</v>
      </c>
      <c r="C35" s="41" t="s">
        <v>189</v>
      </c>
      <c r="D35" s="54" t="s">
        <v>140</v>
      </c>
      <c r="E35" s="43" t="n">
        <v>0.906363183345092</v>
      </c>
      <c r="F35" s="44" t="n">
        <f aca="false">IFERROR(1/E35,"")</f>
        <v>1.10331048124586</v>
      </c>
      <c r="G35" s="54" t="s">
        <v>94</v>
      </c>
      <c r="H35" s="43" t="n">
        <v>0.67396187851096</v>
      </c>
      <c r="I35" s="44" t="n">
        <f aca="false">IFERROR(1/H35,"")</f>
        <v>1.48376344699107</v>
      </c>
      <c r="J35" s="54" t="s">
        <v>150</v>
      </c>
      <c r="K35" s="43" t="n">
        <v>0.488656331094699</v>
      </c>
      <c r="L35" s="44" t="n">
        <f aca="false">IFERROR(1/K35,"")</f>
        <v>2.04642800341863</v>
      </c>
      <c r="M35" s="54" t="s">
        <v>146</v>
      </c>
      <c r="N35" s="43" t="n">
        <v>0.327758742703258</v>
      </c>
      <c r="O35" s="44" t="n">
        <f aca="false">IFERROR(1/N35,"")</f>
        <v>3.0510246401127</v>
      </c>
    </row>
    <row r="36" customFormat="false" ht="18.75" hidden="false" customHeight="true" outlineLevel="0" collapsed="false">
      <c r="A36" s="35" t="n">
        <v>31</v>
      </c>
      <c r="B36" s="33" t="n">
        <v>46313</v>
      </c>
      <c r="C36" s="34" t="s">
        <v>190</v>
      </c>
      <c r="D36" s="53" t="s">
        <v>140</v>
      </c>
      <c r="E36" s="36" t="n">
        <v>0.926813814100854</v>
      </c>
      <c r="F36" s="37" t="n">
        <f aca="false">IFERROR(1/E36,"")</f>
        <v>1.07896535936956</v>
      </c>
      <c r="G36" s="53" t="s">
        <v>154</v>
      </c>
      <c r="H36" s="36" t="n">
        <v>0.663766030240438</v>
      </c>
      <c r="I36" s="37" t="n">
        <f aca="false">IFERROR(1/H36,"")</f>
        <v>1.50655495225896</v>
      </c>
      <c r="J36" s="53" t="s">
        <v>110</v>
      </c>
      <c r="K36" s="36" t="n">
        <v>0.500647135573281</v>
      </c>
      <c r="L36" s="37" t="n">
        <f aca="false">IFERROR(1/K36,"")</f>
        <v>1.99741480365192</v>
      </c>
      <c r="M36" s="53" t="s">
        <v>158</v>
      </c>
      <c r="N36" s="36" t="n">
        <v>0.3161711241467</v>
      </c>
      <c r="O36" s="37" t="n">
        <f aca="false">IFERROR(1/N36,"")</f>
        <v>3.16284418034334</v>
      </c>
    </row>
    <row r="37" customFormat="false" ht="18.75" hidden="false" customHeight="true" outlineLevel="0" collapsed="false">
      <c r="A37" s="42" t="n">
        <v>31</v>
      </c>
      <c r="B37" s="40" t="n">
        <v>46313</v>
      </c>
      <c r="C37" s="41" t="s">
        <v>191</v>
      </c>
      <c r="D37" s="54" t="s">
        <v>140</v>
      </c>
      <c r="E37" s="43" t="n">
        <v>0.934203672283015</v>
      </c>
      <c r="F37" s="44" t="n">
        <f aca="false">IFERROR(1/E37,"")</f>
        <v>1.07043038864982</v>
      </c>
      <c r="G37" s="54" t="s">
        <v>154</v>
      </c>
      <c r="H37" s="43" t="n">
        <v>0.648392714784873</v>
      </c>
      <c r="I37" s="44" t="n">
        <f aca="false">IFERROR(1/H37,"")</f>
        <v>1.54227519402618</v>
      </c>
      <c r="J37" s="54" t="s">
        <v>168</v>
      </c>
      <c r="K37" s="43" t="n">
        <v>0.50626798943668</v>
      </c>
      <c r="L37" s="44" t="n">
        <f aca="false">IFERROR(1/K37,"")</f>
        <v>1.97523845248974</v>
      </c>
      <c r="M37" s="54" t="s">
        <v>156</v>
      </c>
      <c r="N37" s="43" t="n">
        <v>0.367409854067452</v>
      </c>
      <c r="O37" s="44" t="n">
        <f aca="false">IFERROR(1/N37,"")</f>
        <v>2.72175606867749</v>
      </c>
    </row>
    <row r="38" customFormat="false" ht="18.75" hidden="false" customHeight="true" outlineLevel="0" collapsed="false">
      <c r="A38" s="35" t="n">
        <v>31</v>
      </c>
      <c r="B38" s="33" t="n">
        <v>46313</v>
      </c>
      <c r="C38" s="34" t="s">
        <v>192</v>
      </c>
      <c r="D38" s="53" t="s">
        <v>140</v>
      </c>
      <c r="E38" s="36" t="n">
        <v>0.92483718456084</v>
      </c>
      <c r="F38" s="37" t="n">
        <f aca="false">IFERROR(1/E38,"")</f>
        <v>1.08127140289547</v>
      </c>
      <c r="G38" s="53" t="s">
        <v>154</v>
      </c>
      <c r="H38" s="36" t="n">
        <v>0.667340248025301</v>
      </c>
      <c r="I38" s="37" t="n">
        <f aca="false">IFERROR(1/H38,"")</f>
        <v>1.49848597167496</v>
      </c>
      <c r="J38" s="53" t="s">
        <v>161</v>
      </c>
      <c r="K38" s="36" t="n">
        <v>0.514043668639012</v>
      </c>
      <c r="L38" s="37" t="n">
        <f aca="false">IFERROR(1/K38,"")</f>
        <v>1.94536001707328</v>
      </c>
      <c r="M38" s="53" t="s">
        <v>146</v>
      </c>
      <c r="N38" s="36" t="n">
        <v>0.355651355172</v>
      </c>
      <c r="O38" s="37" t="n">
        <f aca="false">IFERROR(1/N38,"")</f>
        <v>2.81174241418644</v>
      </c>
    </row>
    <row r="39" customFormat="false" ht="18.75" hidden="false" customHeight="true" outlineLevel="0" collapsed="false">
      <c r="A39" s="42" t="n">
        <v>32</v>
      </c>
      <c r="B39" s="40" t="n">
        <v>46320</v>
      </c>
      <c r="C39" s="41" t="s">
        <v>193</v>
      </c>
      <c r="D39" s="54" t="s">
        <v>140</v>
      </c>
      <c r="E39" s="43" t="n">
        <v>0.924777921003437</v>
      </c>
      <c r="F39" s="44" t="n">
        <f aca="false">IFERROR(1/E39,"")</f>
        <v>1.08134069519625</v>
      </c>
      <c r="G39" s="54" t="s">
        <v>154</v>
      </c>
      <c r="H39" s="43" t="n">
        <v>0.667637315294388</v>
      </c>
      <c r="I39" s="44" t="n">
        <f aca="false">IFERROR(1/H39,"")</f>
        <v>1.49781921575049</v>
      </c>
      <c r="J39" s="54" t="s">
        <v>175</v>
      </c>
      <c r="K39" s="43" t="n">
        <v>0.506317715794563</v>
      </c>
      <c r="L39" s="44" t="n">
        <f aca="false">IFERROR(1/K39,"")</f>
        <v>1.97504446082971</v>
      </c>
      <c r="M39" s="54" t="s">
        <v>170</v>
      </c>
      <c r="N39" s="43" t="n">
        <v>0.344932521213096</v>
      </c>
      <c r="O39" s="44" t="n">
        <f aca="false">IFERROR(1/N39,"")</f>
        <v>2.89911776507211</v>
      </c>
    </row>
    <row r="40" customFormat="false" ht="18.75" hidden="false" customHeight="true" outlineLevel="0" collapsed="false">
      <c r="A40" s="35" t="n">
        <v>32</v>
      </c>
      <c r="B40" s="33" t="n">
        <v>46320</v>
      </c>
      <c r="C40" s="34" t="s">
        <v>194</v>
      </c>
      <c r="D40" s="53" t="s">
        <v>140</v>
      </c>
      <c r="E40" s="36" t="n">
        <v>0.938398766514522</v>
      </c>
      <c r="F40" s="37" t="n">
        <f aca="false">IFERROR(1/E40,"")</f>
        <v>1.06564504950735</v>
      </c>
      <c r="G40" s="53" t="s">
        <v>154</v>
      </c>
      <c r="H40" s="36" t="n">
        <v>0.63824907802525</v>
      </c>
      <c r="I40" s="37" t="n">
        <f aca="false">IFERROR(1/H40,"")</f>
        <v>1.56678643875838</v>
      </c>
      <c r="J40" s="53" t="s">
        <v>142</v>
      </c>
      <c r="K40" s="36" t="n">
        <v>0.499023991406292</v>
      </c>
      <c r="L40" s="37" t="n">
        <f aca="false">IFERROR(1/K40,"")</f>
        <v>2.00391167002195</v>
      </c>
      <c r="M40" s="53" t="s">
        <v>170</v>
      </c>
      <c r="N40" s="36" t="n">
        <v>0.325052069470745</v>
      </c>
      <c r="O40" s="37" t="n">
        <f aca="false">IFERROR(1/N40,"")</f>
        <v>3.07643019048676</v>
      </c>
    </row>
    <row r="41" customFormat="false" ht="18.75" hidden="false" customHeight="true" outlineLevel="0" collapsed="false">
      <c r="A41" s="42" t="n">
        <v>32</v>
      </c>
      <c r="B41" s="40" t="n">
        <v>46320</v>
      </c>
      <c r="C41" s="41" t="s">
        <v>195</v>
      </c>
      <c r="D41" s="54" t="s">
        <v>140</v>
      </c>
      <c r="E41" s="43" t="n">
        <v>0.936293225435012</v>
      </c>
      <c r="F41" s="44" t="n">
        <f aca="false">IFERROR(1/E41,"")</f>
        <v>1.06804147764221</v>
      </c>
      <c r="G41" s="54" t="s">
        <v>196</v>
      </c>
      <c r="H41" s="43" t="n">
        <v>0.652750392261264</v>
      </c>
      <c r="I41" s="44" t="n">
        <f aca="false">IFERROR(1/H41,"")</f>
        <v>1.53197916363679</v>
      </c>
      <c r="J41" s="54" t="s">
        <v>142</v>
      </c>
      <c r="K41" s="43" t="n">
        <v>0.4930509841001</v>
      </c>
      <c r="L41" s="44" t="n">
        <f aca="false">IFERROR(1/K41,"")</f>
        <v>2.02818781880167</v>
      </c>
      <c r="M41" s="54" t="s">
        <v>158</v>
      </c>
      <c r="N41" s="43" t="n">
        <v>0.309587305188332</v>
      </c>
      <c r="O41" s="44" t="n">
        <f aca="false">IFERROR(1/N41,"")</f>
        <v>3.23010660721914</v>
      </c>
    </row>
    <row r="42" customFormat="false" ht="18.75" hidden="false" customHeight="true" outlineLevel="0" collapsed="false">
      <c r="A42" s="35" t="n">
        <v>32</v>
      </c>
      <c r="B42" s="33" t="n">
        <v>46320</v>
      </c>
      <c r="C42" s="34" t="s">
        <v>197</v>
      </c>
      <c r="D42" s="53" t="s">
        <v>140</v>
      </c>
      <c r="E42" s="36" t="n">
        <v>0.937669989829449</v>
      </c>
      <c r="F42" s="37" t="n">
        <f aca="false">IFERROR(1/E42,"")</f>
        <v>1.06647329107961</v>
      </c>
      <c r="G42" s="53" t="s">
        <v>154</v>
      </c>
      <c r="H42" s="36" t="n">
        <v>0.639327000813035</v>
      </c>
      <c r="I42" s="37" t="n">
        <f aca="false">IFERROR(1/H42,"")</f>
        <v>1.56414479402293</v>
      </c>
      <c r="J42" s="53" t="s">
        <v>142</v>
      </c>
      <c r="K42" s="36" t="n">
        <v>0.497382924309019</v>
      </c>
      <c r="L42" s="37" t="n">
        <f aca="false">IFERROR(1/K42,"")</f>
        <v>2.01052338374751</v>
      </c>
      <c r="M42" s="53" t="s">
        <v>110</v>
      </c>
      <c r="N42" s="36" t="n">
        <v>0.370970470972115</v>
      </c>
      <c r="O42" s="37" t="n">
        <f aca="false">IFERROR(1/N42,"")</f>
        <v>2.69563234340333</v>
      </c>
    </row>
    <row r="43" customFormat="false" ht="18.75" hidden="false" customHeight="true" outlineLevel="0" collapsed="false">
      <c r="A43" s="42" t="n">
        <v>32</v>
      </c>
      <c r="B43" s="40" t="n">
        <v>46320</v>
      </c>
      <c r="C43" s="41" t="s">
        <v>198</v>
      </c>
      <c r="D43" s="54" t="s">
        <v>140</v>
      </c>
      <c r="E43" s="43" t="n">
        <v>0.915291856063116</v>
      </c>
      <c r="F43" s="44" t="n">
        <f aca="false">IFERROR(1/E43,"")</f>
        <v>1.09254768670316</v>
      </c>
      <c r="G43" s="54" t="s">
        <v>145</v>
      </c>
      <c r="H43" s="43" t="n">
        <v>0.662154371034603</v>
      </c>
      <c r="I43" s="44" t="n">
        <f aca="false">IFERROR(1/H43,"")</f>
        <v>1.51022185119388</v>
      </c>
      <c r="J43" s="54" t="s">
        <v>161</v>
      </c>
      <c r="K43" s="43" t="n">
        <v>0.506916605743262</v>
      </c>
      <c r="L43" s="44" t="n">
        <f aca="false">IFERROR(1/K43,"")</f>
        <v>1.97271107055915</v>
      </c>
      <c r="M43" s="54" t="s">
        <v>170</v>
      </c>
      <c r="N43" s="43" t="n">
        <v>0.335627995335365</v>
      </c>
      <c r="O43" s="44" t="n">
        <f aca="false">IFERROR(1/N43,"")</f>
        <v>2.9794892377818</v>
      </c>
    </row>
    <row r="44" customFormat="false" ht="18.75" hidden="false" customHeight="true" outlineLevel="0" collapsed="false">
      <c r="A44" s="35" t="n">
        <v>32</v>
      </c>
      <c r="B44" s="33" t="n">
        <v>46320</v>
      </c>
      <c r="C44" s="34" t="s">
        <v>199</v>
      </c>
      <c r="D44" s="53" t="s">
        <v>140</v>
      </c>
      <c r="E44" s="36" t="n">
        <v>0.916904779216458</v>
      </c>
      <c r="F44" s="37" t="n">
        <f aca="false">IFERROR(1/E44,"")</f>
        <v>1.09062579088589</v>
      </c>
      <c r="G44" s="53" t="s">
        <v>196</v>
      </c>
      <c r="H44" s="36" t="n">
        <v>0.667793317568487</v>
      </c>
      <c r="I44" s="37" t="n">
        <f aca="false">IFERROR(1/H44,"")</f>
        <v>1.49746931227332</v>
      </c>
      <c r="J44" s="53" t="s">
        <v>188</v>
      </c>
      <c r="K44" s="36" t="n">
        <v>0.489131496237984</v>
      </c>
      <c r="L44" s="37" t="n">
        <f aca="false">IFERROR(1/K44,"")</f>
        <v>2.04444000783269</v>
      </c>
      <c r="M44" s="53" t="s">
        <v>158</v>
      </c>
      <c r="N44" s="36" t="n">
        <v>0.325424725688286</v>
      </c>
      <c r="O44" s="37" t="n">
        <f aca="false">IFERROR(1/N44,"")</f>
        <v>3.07290725339005</v>
      </c>
    </row>
    <row r="45" customFormat="false" ht="18.75" hidden="false" customHeight="true" outlineLevel="0" collapsed="false">
      <c r="A45" s="42" t="n">
        <v>32</v>
      </c>
      <c r="B45" s="40" t="n">
        <v>46320</v>
      </c>
      <c r="C45" s="41" t="s">
        <v>200</v>
      </c>
      <c r="D45" s="54" t="s">
        <v>140</v>
      </c>
      <c r="E45" s="43" t="n">
        <v>0.931016382764407</v>
      </c>
      <c r="F45" s="44" t="n">
        <f aca="false">IFERROR(1/E45,"")</f>
        <v>1.07409495526896</v>
      </c>
      <c r="G45" s="54" t="s">
        <v>143</v>
      </c>
      <c r="H45" s="43" t="n">
        <v>0.661764499713578</v>
      </c>
      <c r="I45" s="44" t="n">
        <f aca="false">IFERROR(1/H45,"")</f>
        <v>1.51111158188875</v>
      </c>
      <c r="J45" s="54" t="s">
        <v>155</v>
      </c>
      <c r="K45" s="43" t="n">
        <v>0.504134746940303</v>
      </c>
      <c r="L45" s="44" t="n">
        <f aca="false">IFERROR(1/K45,"")</f>
        <v>1.98359665956216</v>
      </c>
      <c r="M45" s="54" t="s">
        <v>110</v>
      </c>
      <c r="N45" s="43" t="n">
        <v>0.338235500286423</v>
      </c>
      <c r="O45" s="44" t="n">
        <f aca="false">IFERROR(1/N45,"")</f>
        <v>2.95651993700598</v>
      </c>
    </row>
    <row r="46" customFormat="false" ht="18.75" hidden="false" customHeight="true" outlineLevel="0" collapsed="false">
      <c r="A46" s="35" t="n">
        <v>32</v>
      </c>
      <c r="B46" s="33" t="n">
        <v>46320</v>
      </c>
      <c r="C46" s="34" t="s">
        <v>201</v>
      </c>
      <c r="D46" s="53" t="s">
        <v>140</v>
      </c>
      <c r="E46" s="36" t="n">
        <v>0.934627444824243</v>
      </c>
      <c r="F46" s="37" t="n">
        <f aca="false">IFERROR(1/E46,"")</f>
        <v>1.06994504124373</v>
      </c>
      <c r="G46" s="53" t="s">
        <v>149</v>
      </c>
      <c r="H46" s="36" t="n">
        <v>0.655627655310908</v>
      </c>
      <c r="I46" s="37" t="n">
        <f aca="false">IFERROR(1/H46,"")</f>
        <v>1.52525597707709</v>
      </c>
      <c r="J46" s="53" t="s">
        <v>168</v>
      </c>
      <c r="K46" s="36" t="n">
        <v>0.507907788698148</v>
      </c>
      <c r="L46" s="37" t="n">
        <f aca="false">IFERROR(1/K46,"")</f>
        <v>1.968861321389</v>
      </c>
      <c r="M46" s="53" t="s">
        <v>146</v>
      </c>
      <c r="N46" s="36" t="n">
        <v>0.369883022061983</v>
      </c>
      <c r="O46" s="37" t="n">
        <f aca="false">IFERROR(1/N46,"")</f>
        <v>2.70355745020496</v>
      </c>
    </row>
    <row r="47" customFormat="false" ht="18.75" hidden="false" customHeight="true" outlineLevel="0" collapsed="false">
      <c r="A47" s="42" t="n">
        <v>32</v>
      </c>
      <c r="B47" s="40" t="n">
        <v>46320</v>
      </c>
      <c r="C47" s="41" t="s">
        <v>202</v>
      </c>
      <c r="D47" s="54" t="s">
        <v>140</v>
      </c>
      <c r="E47" s="43" t="n">
        <v>0.917067997075215</v>
      </c>
      <c r="F47" s="44" t="n">
        <f aca="false">IFERROR(1/E47,"")</f>
        <v>1.09043168357121</v>
      </c>
      <c r="G47" s="54" t="s">
        <v>145</v>
      </c>
      <c r="H47" s="43" t="n">
        <v>0.66518875610326</v>
      </c>
      <c r="I47" s="44" t="n">
        <f aca="false">IFERROR(1/H47,"")</f>
        <v>1.5033326868874</v>
      </c>
      <c r="J47" s="54" t="s">
        <v>161</v>
      </c>
      <c r="K47" s="43" t="n">
        <v>0.500900069145565</v>
      </c>
      <c r="L47" s="44" t="n">
        <f aca="false">IFERROR(1/K47,"")</f>
        <v>1.99640619276775</v>
      </c>
      <c r="M47" s="54" t="s">
        <v>146</v>
      </c>
      <c r="N47" s="43" t="n">
        <v>0.343839308392287</v>
      </c>
      <c r="O47" s="44" t="n">
        <f aca="false">IFERROR(1/N47,"")</f>
        <v>2.90833530545349</v>
      </c>
    </row>
    <row r="48" customFormat="false" ht="18.75" hidden="false" customHeight="true" outlineLevel="0" collapsed="false">
      <c r="A48" s="35" t="n">
        <v>32</v>
      </c>
      <c r="B48" s="33" t="n">
        <v>46320</v>
      </c>
      <c r="C48" s="34" t="s">
        <v>203</v>
      </c>
      <c r="D48" s="53" t="s">
        <v>140</v>
      </c>
      <c r="E48" s="36" t="n">
        <v>0.902168187947051</v>
      </c>
      <c r="F48" s="37" t="n">
        <f aca="false">IFERROR(1/E48,"")</f>
        <v>1.10844076898297</v>
      </c>
      <c r="G48" s="53" t="s">
        <v>107</v>
      </c>
      <c r="H48" s="36" t="n">
        <v>0.66960131787858</v>
      </c>
      <c r="I48" s="37" t="n">
        <f aca="false">IFERROR(1/H48,"")</f>
        <v>1.49342597348551</v>
      </c>
      <c r="J48" s="53" t="s">
        <v>150</v>
      </c>
      <c r="K48" s="36" t="n">
        <v>0.495890926407836</v>
      </c>
      <c r="L48" s="37" t="n">
        <f aca="false">IFERROR(1/K48,"")</f>
        <v>2.0165724895268</v>
      </c>
      <c r="M48" s="53" t="s">
        <v>164</v>
      </c>
      <c r="N48" s="36" t="n">
        <v>0.33039868212142</v>
      </c>
      <c r="O48" s="37" t="n">
        <f aca="false">IFERROR(1/N48,"")</f>
        <v>3.02664645506214</v>
      </c>
    </row>
    <row r="49" customFormat="false" ht="18.75" hidden="false" customHeight="true" outlineLevel="0" collapsed="false">
      <c r="A49" s="42" t="n">
        <v>33</v>
      </c>
      <c r="B49" s="40" t="n">
        <v>46323</v>
      </c>
      <c r="C49" s="41" t="s">
        <v>204</v>
      </c>
      <c r="D49" s="54" t="s">
        <v>140</v>
      </c>
      <c r="E49" s="43" t="n">
        <v>0.898261634453548</v>
      </c>
      <c r="F49" s="44" t="n">
        <f aca="false">IFERROR(1/E49,"")</f>
        <v>1.11326139472532</v>
      </c>
      <c r="G49" s="54" t="s">
        <v>107</v>
      </c>
      <c r="H49" s="43" t="n">
        <v>0.660726605636234</v>
      </c>
      <c r="I49" s="44" t="n">
        <f aca="false">IFERROR(1/H49,"")</f>
        <v>1.51348529250925</v>
      </c>
      <c r="J49" s="54" t="s">
        <v>150</v>
      </c>
      <c r="K49" s="43" t="n">
        <v>0.502167741236067</v>
      </c>
      <c r="L49" s="44" t="n">
        <f aca="false">IFERROR(1/K49,"")</f>
        <v>1.99136646559283</v>
      </c>
      <c r="M49" s="54" t="s">
        <v>164</v>
      </c>
      <c r="N49" s="43" t="n">
        <v>0.339273394363766</v>
      </c>
      <c r="O49" s="44" t="n">
        <f aca="false">IFERROR(1/N49,"")</f>
        <v>2.94747544786199</v>
      </c>
    </row>
    <row r="50" customFormat="false" ht="18.75" hidden="false" customHeight="true" outlineLevel="0" collapsed="false">
      <c r="A50" s="35" t="n">
        <v>33</v>
      </c>
      <c r="B50" s="33" t="n">
        <v>46323</v>
      </c>
      <c r="C50" s="34" t="s">
        <v>205</v>
      </c>
      <c r="D50" s="53" t="s">
        <v>140</v>
      </c>
      <c r="E50" s="36" t="n">
        <v>0.913037353022611</v>
      </c>
      <c r="F50" s="37" t="n">
        <f aca="false">IFERROR(1/E50,"")</f>
        <v>1.09524544279541</v>
      </c>
      <c r="G50" s="53" t="s">
        <v>149</v>
      </c>
      <c r="H50" s="36" t="n">
        <v>0.659842265850621</v>
      </c>
      <c r="I50" s="37" t="n">
        <f aca="false">IFERROR(1/H50,"")</f>
        <v>1.5155137094937</v>
      </c>
      <c r="J50" s="53" t="s">
        <v>161</v>
      </c>
      <c r="K50" s="36" t="n">
        <v>0.517198561914472</v>
      </c>
      <c r="L50" s="37" t="n">
        <f aca="false">IFERROR(1/K50,"")</f>
        <v>1.93349338849354</v>
      </c>
      <c r="M50" s="53" t="s">
        <v>146</v>
      </c>
      <c r="N50" s="36" t="n">
        <v>0.337809740566861</v>
      </c>
      <c r="O50" s="37" t="n">
        <f aca="false">IFERROR(1/N50,"")</f>
        <v>2.96024619752513</v>
      </c>
    </row>
    <row r="51" customFormat="false" ht="18.75" hidden="false" customHeight="true" outlineLevel="0" collapsed="false">
      <c r="A51" s="42" t="n">
        <v>33</v>
      </c>
      <c r="B51" s="40" t="n">
        <v>46323</v>
      </c>
      <c r="C51" s="41" t="s">
        <v>206</v>
      </c>
      <c r="D51" s="54" t="s">
        <v>140</v>
      </c>
      <c r="E51" s="43" t="n">
        <v>0.944819311560777</v>
      </c>
      <c r="F51" s="44" t="n">
        <f aca="false">IFERROR(1/E51,"")</f>
        <v>1.0584034299088</v>
      </c>
      <c r="G51" s="54" t="s">
        <v>141</v>
      </c>
      <c r="H51" s="43" t="n">
        <v>0.674809126915016</v>
      </c>
      <c r="I51" s="44" t="n">
        <f aca="false">IFERROR(1/H51,"")</f>
        <v>1.48190052581482</v>
      </c>
      <c r="J51" s="54" t="s">
        <v>161</v>
      </c>
      <c r="K51" s="43" t="n">
        <v>0.50659362776329</v>
      </c>
      <c r="L51" s="44" t="n">
        <f aca="false">IFERROR(1/K51,"")</f>
        <v>1.97396876943596</v>
      </c>
      <c r="M51" s="54" t="s">
        <v>152</v>
      </c>
      <c r="N51" s="43" t="n">
        <v>0.325190873084984</v>
      </c>
      <c r="O51" s="44" t="n">
        <f aca="false">IFERROR(1/N51,"")</f>
        <v>3.07511705514153</v>
      </c>
    </row>
    <row r="52" customFormat="false" ht="18.75" hidden="false" customHeight="true" outlineLevel="0" collapsed="false">
      <c r="A52" s="35" t="n">
        <v>33</v>
      </c>
      <c r="B52" s="33" t="n">
        <v>46323</v>
      </c>
      <c r="C52" s="34" t="s">
        <v>207</v>
      </c>
      <c r="D52" s="53" t="s">
        <v>140</v>
      </c>
      <c r="E52" s="36" t="n">
        <v>0.913981413697068</v>
      </c>
      <c r="F52" s="37" t="n">
        <f aca="false">IFERROR(1/E52,"")</f>
        <v>1.09411415266639</v>
      </c>
      <c r="G52" s="53" t="s">
        <v>145</v>
      </c>
      <c r="H52" s="36" t="n">
        <v>0.659905957851354</v>
      </c>
      <c r="I52" s="37" t="n">
        <f aca="false">IFERROR(1/H52,"")</f>
        <v>1.51536743698449</v>
      </c>
      <c r="J52" s="53" t="s">
        <v>170</v>
      </c>
      <c r="K52" s="36" t="n">
        <v>0.492631630976504</v>
      </c>
      <c r="L52" s="37" t="n">
        <f aca="false">IFERROR(1/K52,"")</f>
        <v>2.02991431552574</v>
      </c>
      <c r="M52" s="53" t="s">
        <v>146</v>
      </c>
      <c r="N52" s="36" t="n">
        <v>0.339211278191417</v>
      </c>
      <c r="O52" s="37" t="n">
        <f aca="false">IFERROR(1/N52,"")</f>
        <v>2.94801518785499</v>
      </c>
    </row>
    <row r="53" customFormat="false" ht="18.75" hidden="false" customHeight="true" outlineLevel="0" collapsed="false">
      <c r="A53" s="42" t="n">
        <v>33</v>
      </c>
      <c r="B53" s="40" t="n">
        <v>46323</v>
      </c>
      <c r="C53" s="41" t="s">
        <v>208</v>
      </c>
      <c r="D53" s="54" t="s">
        <v>140</v>
      </c>
      <c r="E53" s="43" t="n">
        <v>0.928713020939087</v>
      </c>
      <c r="F53" s="44" t="n">
        <f aca="false">IFERROR(1/E53,"")</f>
        <v>1.07675888832573</v>
      </c>
      <c r="G53" s="54" t="s">
        <v>154</v>
      </c>
      <c r="H53" s="43" t="n">
        <v>0.66011650878412</v>
      </c>
      <c r="I53" s="44" t="n">
        <f aca="false">IFERROR(1/H53,"")</f>
        <v>1.51488409499395</v>
      </c>
      <c r="J53" s="54" t="s">
        <v>155</v>
      </c>
      <c r="K53" s="43" t="n">
        <v>0.513145243651682</v>
      </c>
      <c r="L53" s="44" t="n">
        <f aca="false">IFERROR(1/K53,"")</f>
        <v>1.94876599241908</v>
      </c>
      <c r="M53" s="54" t="s">
        <v>146</v>
      </c>
      <c r="N53" s="43" t="n">
        <v>0.361277542454874</v>
      </c>
      <c r="O53" s="44" t="n">
        <f aca="false">IFERROR(1/N53,"")</f>
        <v>2.76795505528802</v>
      </c>
    </row>
    <row r="54" customFormat="false" ht="18.75" hidden="false" customHeight="true" outlineLevel="0" collapsed="false">
      <c r="A54" s="35" t="n">
        <v>33</v>
      </c>
      <c r="B54" s="33" t="n">
        <v>46323</v>
      </c>
      <c r="C54" s="34" t="s">
        <v>209</v>
      </c>
      <c r="D54" s="53" t="s">
        <v>140</v>
      </c>
      <c r="E54" s="36" t="n">
        <v>0.908039392521478</v>
      </c>
      <c r="F54" s="37" t="n">
        <f aca="false">IFERROR(1/E54,"")</f>
        <v>1.10127380842274</v>
      </c>
      <c r="G54" s="53" t="s">
        <v>107</v>
      </c>
      <c r="H54" s="36" t="n">
        <v>0.683610552188671</v>
      </c>
      <c r="I54" s="37" t="n">
        <f aca="false">IFERROR(1/H54,"")</f>
        <v>1.4628211878801</v>
      </c>
      <c r="J54" s="53" t="s">
        <v>110</v>
      </c>
      <c r="K54" s="36" t="n">
        <v>0.511243969325424</v>
      </c>
      <c r="L54" s="37" t="n">
        <f aca="false">IFERROR(1/K54,"")</f>
        <v>1.95601329306531</v>
      </c>
      <c r="M54" s="53" t="s">
        <v>146</v>
      </c>
      <c r="N54" s="36" t="n">
        <v>0.330361339366069</v>
      </c>
      <c r="O54" s="37" t="n">
        <f aca="false">IFERROR(1/N54,"")</f>
        <v>3.0269885753548</v>
      </c>
    </row>
    <row r="55" customFormat="false" ht="18.75" hidden="false" customHeight="true" outlineLevel="0" collapsed="false">
      <c r="A55" s="42" t="n">
        <v>33</v>
      </c>
      <c r="B55" s="40" t="n">
        <v>46323</v>
      </c>
      <c r="C55" s="41" t="s">
        <v>210</v>
      </c>
      <c r="D55" s="54" t="s">
        <v>140</v>
      </c>
      <c r="E55" s="43" t="n">
        <v>0.917240691612103</v>
      </c>
      <c r="F55" s="44" t="n">
        <f aca="false">IFERROR(1/E55,"")</f>
        <v>1.09022638130287</v>
      </c>
      <c r="G55" s="54" t="s">
        <v>145</v>
      </c>
      <c r="H55" s="43" t="n">
        <v>0.665504779007552</v>
      </c>
      <c r="I55" s="44" t="n">
        <f aca="false">IFERROR(1/H55,"")</f>
        <v>1.50261881137994</v>
      </c>
      <c r="J55" s="54" t="s">
        <v>161</v>
      </c>
      <c r="K55" s="43" t="n">
        <v>0.502664760195658</v>
      </c>
      <c r="L55" s="44" t="n">
        <f aca="false">IFERROR(1/K55,"")</f>
        <v>1.98939746564044</v>
      </c>
      <c r="M55" s="54" t="s">
        <v>146</v>
      </c>
      <c r="N55" s="43" t="n">
        <v>0.344110487654116</v>
      </c>
      <c r="O55" s="44" t="n">
        <f aca="false">IFERROR(1/N55,"")</f>
        <v>2.90604336652812</v>
      </c>
    </row>
    <row r="56" customFormat="false" ht="18.75" hidden="false" customHeight="true" outlineLevel="0" collapsed="false">
      <c r="A56" s="35" t="n">
        <v>33</v>
      </c>
      <c r="B56" s="33" t="n">
        <v>46323</v>
      </c>
      <c r="C56" s="34" t="s">
        <v>211</v>
      </c>
      <c r="D56" s="53" t="s">
        <v>140</v>
      </c>
      <c r="E56" s="36" t="n">
        <v>0.937776047312259</v>
      </c>
      <c r="F56" s="37" t="n">
        <f aca="false">IFERROR(1/E56,"")</f>
        <v>1.06635267862309</v>
      </c>
      <c r="G56" s="53" t="s">
        <v>149</v>
      </c>
      <c r="H56" s="36" t="n">
        <v>0.658799715490267</v>
      </c>
      <c r="I56" s="37" t="n">
        <f aca="false">IFERROR(1/H56,"")</f>
        <v>1.51791200950325</v>
      </c>
      <c r="J56" s="53" t="s">
        <v>142</v>
      </c>
      <c r="K56" s="36" t="n">
        <v>0.497062201119843</v>
      </c>
      <c r="L56" s="37" t="n">
        <f aca="false">IFERROR(1/K56,"")</f>
        <v>2.01182064889882</v>
      </c>
      <c r="M56" s="53" t="s">
        <v>143</v>
      </c>
      <c r="N56" s="36" t="n">
        <v>0.315487972235046</v>
      </c>
      <c r="O56" s="37" t="n">
        <f aca="false">IFERROR(1/N56,"")</f>
        <v>3.16969294555222</v>
      </c>
    </row>
    <row r="57" customFormat="false" ht="18.75" hidden="false" customHeight="true" outlineLevel="0" collapsed="false">
      <c r="A57" s="42" t="n">
        <v>33</v>
      </c>
      <c r="B57" s="40" t="n">
        <v>46323</v>
      </c>
      <c r="C57" s="41" t="s">
        <v>212</v>
      </c>
      <c r="D57" s="54" t="s">
        <v>140</v>
      </c>
      <c r="E57" s="43" t="n">
        <v>0.917670239651031</v>
      </c>
      <c r="F57" s="44" t="n">
        <f aca="false">IFERROR(1/E57,"")</f>
        <v>1.08971606225378</v>
      </c>
      <c r="G57" s="54" t="s">
        <v>145</v>
      </c>
      <c r="H57" s="43" t="n">
        <v>0.666313003026497</v>
      </c>
      <c r="I57" s="44" t="n">
        <f aca="false">IFERROR(1/H57,"")</f>
        <v>1.50079616555259</v>
      </c>
      <c r="J57" s="54" t="s">
        <v>161</v>
      </c>
      <c r="K57" s="43" t="n">
        <v>0.509573502757188</v>
      </c>
      <c r="L57" s="44" t="n">
        <f aca="false">IFERROR(1/K57,"")</f>
        <v>1.96242542948019</v>
      </c>
      <c r="M57" s="54" t="s">
        <v>146</v>
      </c>
      <c r="N57" s="43" t="n">
        <v>0.34479775718032</v>
      </c>
      <c r="O57" s="44" t="n">
        <f aca="false">IFERROR(1/N57,"")</f>
        <v>2.900250883816</v>
      </c>
    </row>
    <row r="58" customFormat="false" ht="18.75" hidden="false" customHeight="true" outlineLevel="0" collapsed="false">
      <c r="A58" s="35" t="n">
        <v>33</v>
      </c>
      <c r="B58" s="33" t="n">
        <v>46323</v>
      </c>
      <c r="C58" s="34" t="s">
        <v>213</v>
      </c>
      <c r="D58" s="53" t="s">
        <v>140</v>
      </c>
      <c r="E58" s="36" t="n">
        <v>0.943682039649061</v>
      </c>
      <c r="F58" s="37" t="n">
        <f aca="false">IFERROR(1/E58,"")</f>
        <v>1.059678957514</v>
      </c>
      <c r="G58" s="53" t="s">
        <v>141</v>
      </c>
      <c r="H58" s="36" t="n">
        <v>0.679976170632305</v>
      </c>
      <c r="I58" s="37" t="n">
        <f aca="false">IFERROR(1/H58,"")</f>
        <v>1.47063977119979</v>
      </c>
      <c r="J58" s="53" t="s">
        <v>142</v>
      </c>
      <c r="K58" s="36" t="n">
        <v>0.516580578019146</v>
      </c>
      <c r="L58" s="37" t="n">
        <f aca="false">IFERROR(1/K58,"")</f>
        <v>1.93580642120645</v>
      </c>
      <c r="M58" s="53" t="s">
        <v>152</v>
      </c>
      <c r="N58" s="36" t="n">
        <v>0.320023829367696</v>
      </c>
      <c r="O58" s="37" t="n">
        <f aca="false">IFERROR(1/N58,"")</f>
        <v>3.12476730865887</v>
      </c>
    </row>
    <row r="59" customFormat="false" ht="18.75" hidden="false" customHeight="true" outlineLevel="0" collapsed="false">
      <c r="A59" s="42" t="n">
        <v>34</v>
      </c>
      <c r="B59" s="40" t="n">
        <v>46330</v>
      </c>
      <c r="C59" s="41" t="s">
        <v>214</v>
      </c>
      <c r="D59" s="54" t="s">
        <v>140</v>
      </c>
      <c r="E59" s="43" t="n">
        <v>0.934649929245704</v>
      </c>
      <c r="F59" s="44" t="n">
        <f aca="false">IFERROR(1/E59,"")</f>
        <v>1.06991930209318</v>
      </c>
      <c r="G59" s="54" t="s">
        <v>154</v>
      </c>
      <c r="H59" s="43" t="n">
        <v>0.646957537513443</v>
      </c>
      <c r="I59" s="44" t="n">
        <f aca="false">IFERROR(1/H59,"")</f>
        <v>1.54569649786207</v>
      </c>
      <c r="J59" s="54" t="s">
        <v>175</v>
      </c>
      <c r="K59" s="43" t="n">
        <v>0.508199065873314</v>
      </c>
      <c r="L59" s="44" t="n">
        <f aca="false">IFERROR(1/K59,"")</f>
        <v>1.9677328573628</v>
      </c>
      <c r="M59" s="54" t="s">
        <v>170</v>
      </c>
      <c r="N59" s="43" t="n">
        <v>0.357661468846067</v>
      </c>
      <c r="O59" s="44" t="n">
        <f aca="false">IFERROR(1/N59,"")</f>
        <v>2.79593997985393</v>
      </c>
    </row>
    <row r="60" customFormat="false" ht="18.75" hidden="false" customHeight="true" outlineLevel="0" collapsed="false">
      <c r="A60" s="35" t="n">
        <v>34</v>
      </c>
      <c r="B60" s="33" t="n">
        <v>46330</v>
      </c>
      <c r="C60" s="34" t="s">
        <v>215</v>
      </c>
      <c r="D60" s="53" t="s">
        <v>140</v>
      </c>
      <c r="E60" s="36" t="n">
        <v>0.920965358034294</v>
      </c>
      <c r="F60" s="37" t="n">
        <f aca="false">IFERROR(1/E60,"")</f>
        <v>1.08581717138025</v>
      </c>
      <c r="G60" s="53" t="s">
        <v>145</v>
      </c>
      <c r="H60" s="36" t="n">
        <v>0.671941209874262</v>
      </c>
      <c r="I60" s="37" t="n">
        <f aca="false">IFERROR(1/H60,"")</f>
        <v>1.48822543595313</v>
      </c>
      <c r="J60" s="53" t="s">
        <v>161</v>
      </c>
      <c r="K60" s="36" t="n">
        <v>0.505888193850948</v>
      </c>
      <c r="L60" s="37" t="n">
        <f aca="false">IFERROR(1/K60,"")</f>
        <v>1.97672136285243</v>
      </c>
      <c r="M60" s="53" t="s">
        <v>170</v>
      </c>
      <c r="N60" s="36" t="n">
        <v>0.33532352201215</v>
      </c>
      <c r="O60" s="37" t="n">
        <f aca="false">IFERROR(1/N60,"")</f>
        <v>2.98219461014658</v>
      </c>
    </row>
    <row r="61" customFormat="false" ht="18.75" hidden="false" customHeight="true" outlineLevel="0" collapsed="false">
      <c r="A61" s="42" t="n">
        <v>34</v>
      </c>
      <c r="B61" s="40" t="n">
        <v>46330</v>
      </c>
      <c r="C61" s="41" t="s">
        <v>216</v>
      </c>
      <c r="D61" s="54" t="s">
        <v>140</v>
      </c>
      <c r="E61" s="43" t="n">
        <v>0.92775491437929</v>
      </c>
      <c r="F61" s="44" t="n">
        <f aca="false">IFERROR(1/E61,"")</f>
        <v>1.07787087354751</v>
      </c>
      <c r="G61" s="54" t="s">
        <v>154</v>
      </c>
      <c r="H61" s="43" t="n">
        <v>0.661970571238123</v>
      </c>
      <c r="I61" s="44" t="n">
        <f aca="false">IFERROR(1/H61,"")</f>
        <v>1.51064117265763</v>
      </c>
      <c r="J61" s="54" t="s">
        <v>175</v>
      </c>
      <c r="K61" s="43" t="n">
        <v>0.513669327911794</v>
      </c>
      <c r="L61" s="44" t="n">
        <f aca="false">IFERROR(1/K61,"")</f>
        <v>1.94677771410894</v>
      </c>
      <c r="M61" s="54" t="s">
        <v>146</v>
      </c>
      <c r="N61" s="43" t="n">
        <v>0.359889242716131</v>
      </c>
      <c r="O61" s="44" t="n">
        <f aca="false">IFERROR(1/N61,"")</f>
        <v>2.77863264945868</v>
      </c>
    </row>
    <row r="62" customFormat="false" ht="18.75" hidden="false" customHeight="true" outlineLevel="0" collapsed="false">
      <c r="A62" s="35" t="n">
        <v>34</v>
      </c>
      <c r="B62" s="33" t="n">
        <v>46330</v>
      </c>
      <c r="C62" s="34" t="s">
        <v>217</v>
      </c>
      <c r="D62" s="53" t="s">
        <v>140</v>
      </c>
      <c r="E62" s="36" t="n">
        <v>0.941311896190625</v>
      </c>
      <c r="F62" s="37" t="n">
        <f aca="false">IFERROR(1/E62,"")</f>
        <v>1.06234713918615</v>
      </c>
      <c r="G62" s="53" t="s">
        <v>141</v>
      </c>
      <c r="H62" s="36" t="n">
        <v>0.689098792758931</v>
      </c>
      <c r="I62" s="37" t="n">
        <f aca="false">IFERROR(1/H62,"")</f>
        <v>1.45117073271355</v>
      </c>
      <c r="J62" s="53" t="s">
        <v>142</v>
      </c>
      <c r="K62" s="36" t="n">
        <v>0.508648976322436</v>
      </c>
      <c r="L62" s="37" t="n">
        <f aca="false">IFERROR(1/K62,"")</f>
        <v>1.96599235730319</v>
      </c>
      <c r="M62" s="53" t="s">
        <v>152</v>
      </c>
      <c r="N62" s="36" t="n">
        <v>0.31090120724107</v>
      </c>
      <c r="O62" s="37" t="n">
        <f aca="false">IFERROR(1/N62,"")</f>
        <v>3.21645582811974</v>
      </c>
    </row>
    <row r="63" customFormat="false" ht="18.75" hidden="false" customHeight="true" outlineLevel="0" collapsed="false">
      <c r="A63" s="42" t="n">
        <v>34</v>
      </c>
      <c r="B63" s="40" t="n">
        <v>46330</v>
      </c>
      <c r="C63" s="41" t="s">
        <v>218</v>
      </c>
      <c r="D63" s="54" t="s">
        <v>140</v>
      </c>
      <c r="E63" s="43" t="n">
        <v>0.917404273330489</v>
      </c>
      <c r="F63" s="44" t="n">
        <f aca="false">IFERROR(1/E63,"")</f>
        <v>1.09003198379452</v>
      </c>
      <c r="G63" s="54" t="s">
        <v>145</v>
      </c>
      <c r="H63" s="43" t="n">
        <v>0.665981137130093</v>
      </c>
      <c r="I63" s="44" t="n">
        <f aca="false">IFERROR(1/H63,"")</f>
        <v>1.5015440291737</v>
      </c>
      <c r="J63" s="54" t="s">
        <v>143</v>
      </c>
      <c r="K63" s="43" t="n">
        <v>0.514548977154803</v>
      </c>
      <c r="L63" s="44" t="n">
        <f aca="false">IFERROR(1/K63,"")</f>
        <v>1.94344959255287</v>
      </c>
      <c r="M63" s="54" t="s">
        <v>146</v>
      </c>
      <c r="N63" s="43" t="n">
        <v>0.344465739036602</v>
      </c>
      <c r="O63" s="44" t="n">
        <f aca="false">IFERROR(1/N63,"")</f>
        <v>2.90304633139072</v>
      </c>
    </row>
    <row r="64" customFormat="false" ht="18.75" hidden="false" customHeight="true" outlineLevel="0" collapsed="false">
      <c r="A64" s="35" t="n">
        <v>34</v>
      </c>
      <c r="B64" s="33" t="n">
        <v>46330</v>
      </c>
      <c r="C64" s="34" t="s">
        <v>219</v>
      </c>
      <c r="D64" s="53" t="s">
        <v>140</v>
      </c>
      <c r="E64" s="36" t="n">
        <v>0.949760528371327</v>
      </c>
      <c r="F64" s="37" t="n">
        <f aca="false">IFERROR(1/E64,"")</f>
        <v>1.0528969883754</v>
      </c>
      <c r="G64" s="53" t="s">
        <v>141</v>
      </c>
      <c r="H64" s="36" t="n">
        <v>0.653921881021177</v>
      </c>
      <c r="I64" s="37" t="n">
        <f aca="false">IFERROR(1/H64,"")</f>
        <v>1.52923465175746</v>
      </c>
      <c r="J64" s="53" t="s">
        <v>163</v>
      </c>
      <c r="K64" s="36" t="n">
        <v>0.491799858896612</v>
      </c>
      <c r="L64" s="37" t="n">
        <f aca="false">IFERROR(1/K64,"")</f>
        <v>2.03334747237132</v>
      </c>
      <c r="M64" s="53" t="s">
        <v>152</v>
      </c>
      <c r="N64" s="36" t="n">
        <v>0.346078118978823</v>
      </c>
      <c r="O64" s="37" t="n">
        <f aca="false">IFERROR(1/N64,"")</f>
        <v>2.88952102187423</v>
      </c>
    </row>
    <row r="65" customFormat="false" ht="18.75" hidden="false" customHeight="true" outlineLevel="0" collapsed="false">
      <c r="A65" s="42" t="n">
        <v>34</v>
      </c>
      <c r="B65" s="40" t="n">
        <v>46330</v>
      </c>
      <c r="C65" s="41" t="s">
        <v>220</v>
      </c>
      <c r="D65" s="54" t="s">
        <v>140</v>
      </c>
      <c r="E65" s="43" t="n">
        <v>0.939303439333494</v>
      </c>
      <c r="F65" s="44" t="n">
        <f aca="false">IFERROR(1/E65,"")</f>
        <v>1.06461869309195</v>
      </c>
      <c r="G65" s="54" t="s">
        <v>149</v>
      </c>
      <c r="H65" s="43" t="n">
        <v>0.689863636389382</v>
      </c>
      <c r="I65" s="44" t="n">
        <f aca="false">IFERROR(1/H65,"")</f>
        <v>1.44956183693609</v>
      </c>
      <c r="J65" s="54" t="s">
        <v>142</v>
      </c>
      <c r="K65" s="43" t="n">
        <v>0.502482376256439</v>
      </c>
      <c r="L65" s="44" t="n">
        <f aca="false">IFERROR(1/K65,"")</f>
        <v>1.99011954896833</v>
      </c>
      <c r="M65" s="54" t="s">
        <v>158</v>
      </c>
      <c r="N65" s="43" t="n">
        <v>0.366500447002014</v>
      </c>
      <c r="O65" s="44" t="n">
        <f aca="false">IFERROR(1/N65,"")</f>
        <v>2.72850963260764</v>
      </c>
    </row>
    <row r="66" customFormat="false" ht="18.75" hidden="false" customHeight="true" outlineLevel="0" collapsed="false">
      <c r="A66" s="35" t="n">
        <v>34</v>
      </c>
      <c r="B66" s="33" t="n">
        <v>46330</v>
      </c>
      <c r="C66" s="34" t="s">
        <v>221</v>
      </c>
      <c r="D66" s="53" t="s">
        <v>140</v>
      </c>
      <c r="E66" s="36" t="n">
        <v>0.957664003917621</v>
      </c>
      <c r="F66" s="37" t="n">
        <f aca="false">IFERROR(1/E66,"")</f>
        <v>1.04420756748629</v>
      </c>
      <c r="G66" s="53" t="s">
        <v>170</v>
      </c>
      <c r="H66" s="36" t="n">
        <v>0.688626647960611</v>
      </c>
      <c r="I66" s="37" t="n">
        <f aca="false">IFERROR(1/H66,"")</f>
        <v>1.4521657025059</v>
      </c>
      <c r="J66" s="53" t="s">
        <v>159</v>
      </c>
      <c r="K66" s="36" t="n">
        <v>0.5090395102924</v>
      </c>
      <c r="L66" s="37" t="n">
        <f aca="false">IFERROR(1/K66,"")</f>
        <v>1.96448405237854</v>
      </c>
      <c r="M66" s="53" t="s">
        <v>150</v>
      </c>
      <c r="N66" s="36" t="n">
        <v>0.349708934424404</v>
      </c>
      <c r="O66" s="37" t="n">
        <f aca="false">IFERROR(1/N66,"")</f>
        <v>2.85952088025983</v>
      </c>
    </row>
    <row r="67" customFormat="false" ht="18.75" hidden="false" customHeight="true" outlineLevel="0" collapsed="false">
      <c r="A67" s="42" t="n">
        <v>34</v>
      </c>
      <c r="B67" s="40" t="n">
        <v>46330</v>
      </c>
      <c r="C67" s="41" t="s">
        <v>222</v>
      </c>
      <c r="D67" s="54" t="s">
        <v>140</v>
      </c>
      <c r="E67" s="43" t="n">
        <v>0.885350444191249</v>
      </c>
      <c r="F67" s="44" t="n">
        <f aca="false">IFERROR(1/E67,"")</f>
        <v>1.12949624248902</v>
      </c>
      <c r="G67" s="54" t="s">
        <v>149</v>
      </c>
      <c r="H67" s="43" t="n">
        <v>0.650772105930107</v>
      </c>
      <c r="I67" s="44" t="n">
        <f aca="false">IFERROR(1/H67,"")</f>
        <v>1.53663623699846</v>
      </c>
      <c r="J67" s="54" t="s">
        <v>150</v>
      </c>
      <c r="K67" s="43" t="n">
        <v>0.520776366159052</v>
      </c>
      <c r="L67" s="44" t="n">
        <f aca="false">IFERROR(1/K67,"")</f>
        <v>1.92021002676336</v>
      </c>
      <c r="M67" s="54" t="s">
        <v>159</v>
      </c>
      <c r="N67" s="43" t="n">
        <v>0.341848638064622</v>
      </c>
      <c r="O67" s="44" t="n">
        <f aca="false">IFERROR(1/N67,"")</f>
        <v>2.92527127111433</v>
      </c>
    </row>
    <row r="68" customFormat="false" ht="18.75" hidden="false" customHeight="true" outlineLevel="0" collapsed="false">
      <c r="A68" s="35" t="n">
        <v>34</v>
      </c>
      <c r="B68" s="33" t="n">
        <v>46330</v>
      </c>
      <c r="C68" s="34" t="s">
        <v>223</v>
      </c>
      <c r="D68" s="53" t="s">
        <v>140</v>
      </c>
      <c r="E68" s="36" t="n">
        <v>0.901307846789917</v>
      </c>
      <c r="F68" s="37" t="n">
        <f aca="false">IFERROR(1/E68,"")</f>
        <v>1.10949882835436</v>
      </c>
      <c r="G68" s="53" t="s">
        <v>107</v>
      </c>
      <c r="H68" s="36" t="n">
        <v>0.667619277250293</v>
      </c>
      <c r="I68" s="37" t="n">
        <f aca="false">IFERROR(1/H68,"")</f>
        <v>1.49785968451761</v>
      </c>
      <c r="J68" s="53" t="s">
        <v>150</v>
      </c>
      <c r="K68" s="36" t="n">
        <v>0.497314511205919</v>
      </c>
      <c r="L68" s="37" t="n">
        <f aca="false">IFERROR(1/K68,"")</f>
        <v>2.01079996152764</v>
      </c>
      <c r="M68" s="53" t="s">
        <v>164</v>
      </c>
      <c r="N68" s="36" t="n">
        <v>0.332380722749707</v>
      </c>
      <c r="O68" s="37" t="n">
        <f aca="false">IFERROR(1/N68,"")</f>
        <v>3.00859806708174</v>
      </c>
    </row>
    <row r="69" customFormat="false" ht="18.75" hidden="false" customHeight="true" outlineLevel="0" collapsed="false">
      <c r="A69" s="42" t="n">
        <v>35</v>
      </c>
      <c r="B69" s="40" t="n">
        <v>46344</v>
      </c>
      <c r="C69" s="41" t="s">
        <v>224</v>
      </c>
      <c r="D69" s="54" t="s">
        <v>140</v>
      </c>
      <c r="E69" s="43" t="n">
        <v>0.904496925482748</v>
      </c>
      <c r="F69" s="44" t="n">
        <f aca="false">IFERROR(1/E69,"")</f>
        <v>1.10558695317431</v>
      </c>
      <c r="G69" s="54" t="s">
        <v>107</v>
      </c>
      <c r="H69" s="43" t="n">
        <v>0.675058677319068</v>
      </c>
      <c r="I69" s="44" t="n">
        <f aca="false">IFERROR(1/H69,"")</f>
        <v>1.48135270843626</v>
      </c>
      <c r="J69" s="54" t="s">
        <v>150</v>
      </c>
      <c r="K69" s="43" t="n">
        <v>0.49190596171843</v>
      </c>
      <c r="L69" s="44" t="n">
        <f aca="false">IFERROR(1/K69,"")</f>
        <v>2.03290888467094</v>
      </c>
      <c r="M69" s="54" t="s">
        <v>146</v>
      </c>
      <c r="N69" s="43" t="n">
        <v>0.324981867344852</v>
      </c>
      <c r="O69" s="44" t="n">
        <f aca="false">IFERROR(1/N69,"")</f>
        <v>3.07709475660947</v>
      </c>
    </row>
    <row r="70" customFormat="false" ht="18.75" hidden="false" customHeight="true" outlineLevel="0" collapsed="false">
      <c r="A70" s="35" t="n">
        <v>35</v>
      </c>
      <c r="B70" s="33" t="n">
        <v>46344</v>
      </c>
      <c r="C70" s="34" t="s">
        <v>225</v>
      </c>
      <c r="D70" s="53" t="s">
        <v>140</v>
      </c>
      <c r="E70" s="36" t="n">
        <v>0.940153793033443</v>
      </c>
      <c r="F70" s="37" t="n">
        <f aca="false">IFERROR(1/E70,"")</f>
        <v>1.06365576292945</v>
      </c>
      <c r="G70" s="53" t="s">
        <v>94</v>
      </c>
      <c r="H70" s="36" t="n">
        <v>0.646080773901931</v>
      </c>
      <c r="I70" s="37" t="n">
        <f aca="false">IFERROR(1/H70,"")</f>
        <v>1.54779408457029</v>
      </c>
      <c r="J70" s="53" t="s">
        <v>142</v>
      </c>
      <c r="K70" s="36" t="n">
        <v>0.504716546222459</v>
      </c>
      <c r="L70" s="37" t="n">
        <f aca="false">IFERROR(1/K70,"")</f>
        <v>1.98131011849023</v>
      </c>
      <c r="M70" s="53" t="s">
        <v>156</v>
      </c>
      <c r="N70" s="36" t="n">
        <v>0.35391922609807</v>
      </c>
      <c r="O70" s="37" t="n">
        <f aca="false">IFERROR(1/N70,"")</f>
        <v>2.82550346593181</v>
      </c>
    </row>
    <row r="71" customFormat="false" ht="18.75" hidden="false" customHeight="true" outlineLevel="0" collapsed="false">
      <c r="A71" s="42" t="n">
        <v>35</v>
      </c>
      <c r="B71" s="40" t="n">
        <v>46344</v>
      </c>
      <c r="C71" s="41" t="s">
        <v>226</v>
      </c>
      <c r="D71" s="54" t="s">
        <v>140</v>
      </c>
      <c r="E71" s="43" t="n">
        <v>0.88958356824251</v>
      </c>
      <c r="F71" s="44" t="n">
        <f aca="false">IFERROR(1/E71,"")</f>
        <v>1.12412148301664</v>
      </c>
      <c r="G71" s="54" t="s">
        <v>110</v>
      </c>
      <c r="H71" s="43" t="n">
        <v>0.672312609929521</v>
      </c>
      <c r="I71" s="44" t="n">
        <f aca="false">IFERROR(1/H71,"")</f>
        <v>1.48740330797132</v>
      </c>
      <c r="J71" s="54" t="s">
        <v>170</v>
      </c>
      <c r="K71" s="43" t="n">
        <v>0.489759272315286</v>
      </c>
      <c r="L71" s="44" t="n">
        <f aca="false">IFERROR(1/K71,"")</f>
        <v>2.04181943360175</v>
      </c>
      <c r="M71" s="54" t="s">
        <v>143</v>
      </c>
      <c r="N71" s="43" t="n">
        <v>0.327687390070479</v>
      </c>
      <c r="O71" s="44" t="n">
        <f aca="false">IFERROR(1/N71,"")</f>
        <v>3.05168898865751</v>
      </c>
    </row>
    <row r="72" customFormat="false" ht="18.75" hidden="false" customHeight="true" outlineLevel="0" collapsed="false">
      <c r="A72" s="35" t="n">
        <v>35</v>
      </c>
      <c r="B72" s="33" t="n">
        <v>46344</v>
      </c>
      <c r="C72" s="34" t="s">
        <v>227</v>
      </c>
      <c r="D72" s="53" t="s">
        <v>140</v>
      </c>
      <c r="E72" s="36" t="n">
        <v>0.936477213568855</v>
      </c>
      <c r="F72" s="37" t="n">
        <f aca="false">IFERROR(1/E72,"")</f>
        <v>1.06783164129436</v>
      </c>
      <c r="G72" s="53" t="s">
        <v>149</v>
      </c>
      <c r="H72" s="36" t="n">
        <v>0.658406500671313</v>
      </c>
      <c r="I72" s="37" t="n">
        <f aca="false">IFERROR(1/H72,"")</f>
        <v>1.5188185398844</v>
      </c>
      <c r="J72" s="53" t="s">
        <v>142</v>
      </c>
      <c r="K72" s="36" t="n">
        <v>0.49360993997947</v>
      </c>
      <c r="L72" s="37" t="n">
        <f aca="false">IFERROR(1/K72,"")</f>
        <v>2.02589113185523</v>
      </c>
      <c r="M72" s="53" t="s">
        <v>110</v>
      </c>
      <c r="N72" s="36" t="n">
        <v>0.366182638067674</v>
      </c>
      <c r="O72" s="37" t="n">
        <f aca="false">IFERROR(1/N72,"")</f>
        <v>2.73087769883615</v>
      </c>
    </row>
    <row r="73" customFormat="false" ht="18.75" hidden="false" customHeight="true" outlineLevel="0" collapsed="false">
      <c r="A73" s="42" t="n">
        <v>35</v>
      </c>
      <c r="B73" s="40" t="n">
        <v>46344</v>
      </c>
      <c r="C73" s="41" t="s">
        <v>228</v>
      </c>
      <c r="D73" s="54" t="s">
        <v>140</v>
      </c>
      <c r="E73" s="43" t="n">
        <v>0.933189686879786</v>
      </c>
      <c r="F73" s="44" t="n">
        <f aca="false">IFERROR(1/E73,"")</f>
        <v>1.07159349707732</v>
      </c>
      <c r="G73" s="54" t="s">
        <v>188</v>
      </c>
      <c r="H73" s="43" t="n">
        <v>0.673160274122585</v>
      </c>
      <c r="I73" s="44" t="n">
        <f aca="false">IFERROR(1/H73,"")</f>
        <v>1.48553032381988</v>
      </c>
      <c r="J73" s="54" t="s">
        <v>168</v>
      </c>
      <c r="K73" s="43" t="n">
        <v>0.502676063596337</v>
      </c>
      <c r="L73" s="44" t="n">
        <f aca="false">IFERROR(1/K73,"")</f>
        <v>1.98935273115178</v>
      </c>
      <c r="M73" s="54" t="s">
        <v>170</v>
      </c>
      <c r="N73" s="43" t="n">
        <v>0.35419394637162</v>
      </c>
      <c r="O73" s="44" t="n">
        <f aca="false">IFERROR(1/N73,"")</f>
        <v>2.82331194602293</v>
      </c>
    </row>
    <row r="74" customFormat="false" ht="18.75" hidden="false" customHeight="true" outlineLevel="0" collapsed="false">
      <c r="A74" s="35" t="n">
        <v>35</v>
      </c>
      <c r="B74" s="33" t="n">
        <v>46344</v>
      </c>
      <c r="C74" s="34" t="s">
        <v>229</v>
      </c>
      <c r="D74" s="53" t="s">
        <v>140</v>
      </c>
      <c r="E74" s="36" t="n">
        <v>0.927916593662331</v>
      </c>
      <c r="F74" s="37" t="n">
        <f aca="false">IFERROR(1/E74,"")</f>
        <v>1.07768306637687</v>
      </c>
      <c r="G74" s="53" t="s">
        <v>154</v>
      </c>
      <c r="H74" s="36" t="n">
        <v>0.661673845834052</v>
      </c>
      <c r="I74" s="37" t="n">
        <f aca="false">IFERROR(1/H74,"")</f>
        <v>1.51131861459551</v>
      </c>
      <c r="J74" s="53" t="s">
        <v>170</v>
      </c>
      <c r="K74" s="36" t="n">
        <v>0.509713396774221</v>
      </c>
      <c r="L74" s="37" t="n">
        <f aca="false">IFERROR(1/K74,"")</f>
        <v>1.96188682959603</v>
      </c>
      <c r="M74" s="53" t="s">
        <v>158</v>
      </c>
      <c r="N74" s="36" t="n">
        <v>0.310569268853213</v>
      </c>
      <c r="O74" s="37" t="n">
        <f aca="false">IFERROR(1/N74,"")</f>
        <v>3.21989359633853</v>
      </c>
    </row>
    <row r="75" customFormat="false" ht="18.75" hidden="false" customHeight="true" outlineLevel="0" collapsed="false">
      <c r="A75" s="42" t="n">
        <v>35</v>
      </c>
      <c r="B75" s="40" t="n">
        <v>46344</v>
      </c>
      <c r="C75" s="41" t="s">
        <v>230</v>
      </c>
      <c r="D75" s="54" t="s">
        <v>140</v>
      </c>
      <c r="E75" s="43" t="n">
        <v>0.949446650438996</v>
      </c>
      <c r="F75" s="44" t="n">
        <f aca="false">IFERROR(1/E75,"")</f>
        <v>1.05324506599463</v>
      </c>
      <c r="G75" s="54" t="s">
        <v>141</v>
      </c>
      <c r="H75" s="43" t="n">
        <v>0.656054639991946</v>
      </c>
      <c r="I75" s="44" t="n">
        <f aca="false">IFERROR(1/H75,"")</f>
        <v>1.52426328394275</v>
      </c>
      <c r="J75" s="54" t="s">
        <v>170</v>
      </c>
      <c r="K75" s="43" t="n">
        <v>0.489953039700225</v>
      </c>
      <c r="L75" s="44" t="n">
        <f aca="false">IFERROR(1/K75,"")</f>
        <v>2.04101193169828</v>
      </c>
      <c r="M75" s="54" t="s">
        <v>152</v>
      </c>
      <c r="N75" s="43" t="n">
        <v>0.343945360008054</v>
      </c>
      <c r="O75" s="44" t="n">
        <f aca="false">IFERROR(1/N75,"")</f>
        <v>2.90743855354404</v>
      </c>
    </row>
    <row r="76" customFormat="false" ht="18.75" hidden="false" customHeight="true" outlineLevel="0" collapsed="false">
      <c r="A76" s="35" t="n">
        <v>35</v>
      </c>
      <c r="B76" s="33" t="n">
        <v>46344</v>
      </c>
      <c r="C76" s="34" t="s">
        <v>231</v>
      </c>
      <c r="D76" s="53" t="s">
        <v>140</v>
      </c>
      <c r="E76" s="36" t="n">
        <v>0.89416206288488</v>
      </c>
      <c r="F76" s="37" t="n">
        <f aca="false">IFERROR(1/E76,"")</f>
        <v>1.11836549716016</v>
      </c>
      <c r="G76" s="53" t="s">
        <v>107</v>
      </c>
      <c r="H76" s="36" t="n">
        <v>0.651475373367409</v>
      </c>
      <c r="I76" s="37" t="n">
        <f aca="false">IFERROR(1/H76,"")</f>
        <v>1.53497743871899</v>
      </c>
      <c r="J76" s="53" t="s">
        <v>163</v>
      </c>
      <c r="K76" s="36" t="n">
        <v>0.503758904878997</v>
      </c>
      <c r="L76" s="37" t="n">
        <f aca="false">IFERROR(1/K76,"")</f>
        <v>1.98507657197683</v>
      </c>
      <c r="M76" s="53" t="s">
        <v>164</v>
      </c>
      <c r="N76" s="36" t="n">
        <v>0.348524626632591</v>
      </c>
      <c r="O76" s="37" t="n">
        <f aca="false">IFERROR(1/N76,"")</f>
        <v>2.86923770541524</v>
      </c>
    </row>
    <row r="77" customFormat="false" ht="18.75" hidden="false" customHeight="true" outlineLevel="0" collapsed="false">
      <c r="A77" s="42" t="n">
        <v>35</v>
      </c>
      <c r="B77" s="40" t="n">
        <v>46344</v>
      </c>
      <c r="C77" s="41" t="s">
        <v>232</v>
      </c>
      <c r="D77" s="54" t="s">
        <v>140</v>
      </c>
      <c r="E77" s="43" t="n">
        <v>0.926579071877748</v>
      </c>
      <c r="F77" s="44" t="n">
        <f aca="false">IFERROR(1/E77,"")</f>
        <v>1.07923870757566</v>
      </c>
      <c r="G77" s="54" t="s">
        <v>154</v>
      </c>
      <c r="H77" s="43" t="n">
        <v>0.664383215752</v>
      </c>
      <c r="I77" s="44" t="n">
        <f aca="false">IFERROR(1/H77,"")</f>
        <v>1.50515542279033</v>
      </c>
      <c r="J77" s="54" t="s">
        <v>155</v>
      </c>
      <c r="K77" s="43" t="n">
        <v>0.520512600198002</v>
      </c>
      <c r="L77" s="44" t="n">
        <f aca="false">IFERROR(1/K77,"")</f>
        <v>1.92118307917926</v>
      </c>
      <c r="M77" s="54" t="s">
        <v>156</v>
      </c>
      <c r="N77" s="43" t="n">
        <v>0.330390439798309</v>
      </c>
      <c r="O77" s="44" t="n">
        <f aca="false">IFERROR(1/N77,"")</f>
        <v>3.02672196147826</v>
      </c>
    </row>
    <row r="78" customFormat="false" ht="18.75" hidden="false" customHeight="true" outlineLevel="0" collapsed="false">
      <c r="A78" s="35" t="n">
        <v>35</v>
      </c>
      <c r="B78" s="33" t="n">
        <v>46344</v>
      </c>
      <c r="C78" s="34" t="s">
        <v>233</v>
      </c>
      <c r="D78" s="53" t="s">
        <v>140</v>
      </c>
      <c r="E78" s="36" t="n">
        <v>0.909273874013639</v>
      </c>
      <c r="F78" s="37" t="n">
        <f aca="false">IFERROR(1/E78,"")</f>
        <v>1.0997786569913</v>
      </c>
      <c r="G78" s="53" t="s">
        <v>94</v>
      </c>
      <c r="H78" s="36" t="n">
        <v>0.659077389358947</v>
      </c>
      <c r="I78" s="37" t="n">
        <f aca="false">IFERROR(1/H78,"")</f>
        <v>1.51727250266111</v>
      </c>
      <c r="J78" s="53" t="s">
        <v>161</v>
      </c>
      <c r="K78" s="36" t="n">
        <v>0.517384705606753</v>
      </c>
      <c r="L78" s="37" t="n">
        <f aca="false">IFERROR(1/K78,"")</f>
        <v>1.93279775989371</v>
      </c>
      <c r="M78" s="53" t="s">
        <v>146</v>
      </c>
      <c r="N78" s="36" t="n">
        <v>0.33211098832651</v>
      </c>
      <c r="O78" s="37" t="n">
        <f aca="false">IFERROR(1/N78,"")</f>
        <v>3.01104159497687</v>
      </c>
    </row>
    <row r="79" customFormat="false" ht="18.75" hidden="false" customHeight="true" outlineLevel="0" collapsed="false">
      <c r="A79" s="42" t="n">
        <v>36</v>
      </c>
      <c r="B79" s="40" t="n">
        <v>46348</v>
      </c>
      <c r="C79" s="41" t="s">
        <v>234</v>
      </c>
      <c r="D79" s="54" t="s">
        <v>140</v>
      </c>
      <c r="E79" s="43" t="n">
        <v>0.94155412823252</v>
      </c>
      <c r="F79" s="44" t="n">
        <f aca="false">IFERROR(1/E79,"")</f>
        <v>1.06207383093014</v>
      </c>
      <c r="G79" s="54" t="s">
        <v>141</v>
      </c>
      <c r="H79" s="43" t="n">
        <v>0.687632553823219</v>
      </c>
      <c r="I79" s="44" t="n">
        <f aca="false">IFERROR(1/H79,"")</f>
        <v>1.45426506415385</v>
      </c>
      <c r="J79" s="54" t="s">
        <v>175</v>
      </c>
      <c r="K79" s="43" t="n">
        <v>0.501073756540422</v>
      </c>
      <c r="L79" s="44" t="n">
        <f aca="false">IFERROR(1/K79,"")</f>
        <v>1.99571417769777</v>
      </c>
      <c r="M79" s="54" t="s">
        <v>152</v>
      </c>
      <c r="N79" s="43" t="n">
        <v>0.312367446176781</v>
      </c>
      <c r="O79" s="44" t="n">
        <f aca="false">IFERROR(1/N79,"")</f>
        <v>3.20135792714475</v>
      </c>
    </row>
    <row r="80" customFormat="false" ht="18.75" hidden="false" customHeight="true" outlineLevel="0" collapsed="false">
      <c r="A80" s="35" t="n">
        <v>36</v>
      </c>
      <c r="B80" s="33" t="n">
        <v>46348</v>
      </c>
      <c r="C80" s="34" t="s">
        <v>235</v>
      </c>
      <c r="D80" s="53" t="s">
        <v>140</v>
      </c>
      <c r="E80" s="36" t="n">
        <v>0.900917288754832</v>
      </c>
      <c r="F80" s="37" t="n">
        <f aca="false">IFERROR(1/E80,"")</f>
        <v>1.10997980889246</v>
      </c>
      <c r="G80" s="53" t="s">
        <v>107</v>
      </c>
      <c r="H80" s="36" t="n">
        <v>0.666951856023304</v>
      </c>
      <c r="I80" s="37" t="n">
        <f aca="false">IFERROR(1/H80,"")</f>
        <v>1.49935859832896</v>
      </c>
      <c r="J80" s="53" t="s">
        <v>150</v>
      </c>
      <c r="K80" s="36" t="n">
        <v>0.497771278914179</v>
      </c>
      <c r="L80" s="37" t="n">
        <f aca="false">IFERROR(1/K80,"")</f>
        <v>2.00895479984575</v>
      </c>
      <c r="M80" s="53" t="s">
        <v>164</v>
      </c>
      <c r="N80" s="36" t="n">
        <v>0.333048143976696</v>
      </c>
      <c r="O80" s="37" t="n">
        <f aca="false">IFERROR(1/N80,"")</f>
        <v>3.00256890208034</v>
      </c>
    </row>
    <row r="81" customFormat="false" ht="18.75" hidden="false" customHeight="true" outlineLevel="0" collapsed="false">
      <c r="A81" s="42" t="n">
        <v>36</v>
      </c>
      <c r="B81" s="40" t="n">
        <v>46348</v>
      </c>
      <c r="C81" s="41" t="s">
        <v>236</v>
      </c>
      <c r="D81" s="54" t="s">
        <v>140</v>
      </c>
      <c r="E81" s="43" t="n">
        <v>0.951459440364575</v>
      </c>
      <c r="F81" s="44" t="n">
        <f aca="false">IFERROR(1/E81,"")</f>
        <v>1.05101695098724</v>
      </c>
      <c r="G81" s="54" t="s">
        <v>141</v>
      </c>
      <c r="H81" s="43" t="n">
        <v>0.646882892434876</v>
      </c>
      <c r="I81" s="44" t="n">
        <f aca="false">IFERROR(1/H81,"")</f>
        <v>1.54587485879552</v>
      </c>
      <c r="J81" s="54" t="s">
        <v>159</v>
      </c>
      <c r="K81" s="43" t="n">
        <v>0.493090881413719</v>
      </c>
      <c r="L81" s="44" t="n">
        <f aca="false">IFERROR(1/K81,"")</f>
        <v>2.02802371265302</v>
      </c>
      <c r="M81" s="54" t="s">
        <v>152</v>
      </c>
      <c r="N81" s="43" t="n">
        <v>0.353117107565124</v>
      </c>
      <c r="O81" s="44" t="n">
        <f aca="false">IFERROR(1/N81,"")</f>
        <v>2.83192170126046</v>
      </c>
    </row>
    <row r="82" customFormat="false" ht="18.75" hidden="false" customHeight="true" outlineLevel="0" collapsed="false">
      <c r="A82" s="35" t="n">
        <v>36</v>
      </c>
      <c r="B82" s="33" t="n">
        <v>46348</v>
      </c>
      <c r="C82" s="34" t="s">
        <v>237</v>
      </c>
      <c r="D82" s="53" t="s">
        <v>140</v>
      </c>
      <c r="E82" s="36" t="n">
        <v>0.909496353694222</v>
      </c>
      <c r="F82" s="37" t="n">
        <f aca="false">IFERROR(1/E82,"")</f>
        <v>1.09950963072932</v>
      </c>
      <c r="G82" s="53" t="s">
        <v>145</v>
      </c>
      <c r="H82" s="36" t="n">
        <v>0.652253322652101</v>
      </c>
      <c r="I82" s="37" t="n">
        <f aca="false">IFERROR(1/H82,"")</f>
        <v>1.53314665525036</v>
      </c>
      <c r="J82" s="53" t="s">
        <v>110</v>
      </c>
      <c r="K82" s="36" t="n">
        <v>0.504635275582214</v>
      </c>
      <c r="L82" s="37" t="n">
        <f aca="false">IFERROR(1/K82,"")</f>
        <v>1.98162920506552</v>
      </c>
      <c r="M82" s="53" t="s">
        <v>146</v>
      </c>
      <c r="N82" s="36" t="n">
        <v>0.332554260755163</v>
      </c>
      <c r="O82" s="37" t="n">
        <f aca="false">IFERROR(1/N82,"")</f>
        <v>3.00702807935525</v>
      </c>
    </row>
    <row r="83" customFormat="false" ht="18.75" hidden="false" customHeight="true" outlineLevel="0" collapsed="false">
      <c r="A83" s="42" t="n">
        <v>36</v>
      </c>
      <c r="B83" s="40" t="n">
        <v>46348</v>
      </c>
      <c r="C83" s="41" t="s">
        <v>238</v>
      </c>
      <c r="D83" s="54" t="s">
        <v>140</v>
      </c>
      <c r="E83" s="43" t="n">
        <v>0.937378737146411</v>
      </c>
      <c r="F83" s="44" t="n">
        <f aca="false">IFERROR(1/E83,"")</f>
        <v>1.06680465469509</v>
      </c>
      <c r="G83" s="54" t="s">
        <v>196</v>
      </c>
      <c r="H83" s="43" t="n">
        <v>0.681789300775775</v>
      </c>
      <c r="I83" s="44" t="n">
        <f aca="false">IFERROR(1/H83,"")</f>
        <v>1.4667287956296</v>
      </c>
      <c r="J83" s="54" t="s">
        <v>142</v>
      </c>
      <c r="K83" s="43" t="n">
        <v>0.495999793605132</v>
      </c>
      <c r="L83" s="44" t="n">
        <f aca="false">IFERROR(1/K83,"")</f>
        <v>2.01612987120738</v>
      </c>
      <c r="M83" s="54" t="s">
        <v>158</v>
      </c>
      <c r="N83" s="43" t="n">
        <v>0.340707568750832</v>
      </c>
      <c r="O83" s="44" t="n">
        <f aca="false">IFERROR(1/N83,"")</f>
        <v>2.93506834516883</v>
      </c>
    </row>
    <row r="84" customFormat="false" ht="18.75" hidden="false" customHeight="true" outlineLevel="0" collapsed="false">
      <c r="A84" s="35" t="n">
        <v>36</v>
      </c>
      <c r="B84" s="33" t="n">
        <v>46348</v>
      </c>
      <c r="C84" s="34" t="s">
        <v>239</v>
      </c>
      <c r="D84" s="53" t="s">
        <v>140</v>
      </c>
      <c r="E84" s="36" t="n">
        <v>0.917076652969214</v>
      </c>
      <c r="F84" s="37" t="n">
        <f aca="false">IFERROR(1/E84,"")</f>
        <v>1.09042139145327</v>
      </c>
      <c r="G84" s="53" t="s">
        <v>145</v>
      </c>
      <c r="H84" s="36" t="n">
        <v>0.665350802851412</v>
      </c>
      <c r="I84" s="37" t="n">
        <f aca="false">IFERROR(1/H84,"")</f>
        <v>1.50296654894595</v>
      </c>
      <c r="J84" s="53" t="s">
        <v>94</v>
      </c>
      <c r="K84" s="36" t="n">
        <v>0.50948175053387</v>
      </c>
      <c r="L84" s="37" t="n">
        <f aca="false">IFERROR(1/K84,"")</f>
        <v>1.96277884134639</v>
      </c>
      <c r="M84" s="53" t="s">
        <v>146</v>
      </c>
      <c r="N84" s="36" t="n">
        <v>0.343934022396927</v>
      </c>
      <c r="O84" s="37" t="n">
        <f aca="false">IFERROR(1/N84,"")</f>
        <v>2.90753439578572</v>
      </c>
    </row>
    <row r="85" customFormat="false" ht="18.75" hidden="false" customHeight="true" outlineLevel="0" collapsed="false">
      <c r="A85" s="42" t="n">
        <v>36</v>
      </c>
      <c r="B85" s="40" t="n">
        <v>46348</v>
      </c>
      <c r="C85" s="41" t="s">
        <v>240</v>
      </c>
      <c r="D85" s="54" t="s">
        <v>140</v>
      </c>
      <c r="E85" s="43" t="n">
        <v>0.924982389339206</v>
      </c>
      <c r="F85" s="44" t="n">
        <f aca="false">IFERROR(1/E85,"")</f>
        <v>1.08110166369155</v>
      </c>
      <c r="G85" s="54" t="s">
        <v>154</v>
      </c>
      <c r="H85" s="43" t="n">
        <v>0.667274983930347</v>
      </c>
      <c r="I85" s="44" t="n">
        <f aca="false">IFERROR(1/H85,"")</f>
        <v>1.49863253393654</v>
      </c>
      <c r="J85" s="54" t="s">
        <v>175</v>
      </c>
      <c r="K85" s="43" t="n">
        <v>0.508346551426494</v>
      </c>
      <c r="L85" s="44" t="n">
        <f aca="false">IFERROR(1/K85,"")</f>
        <v>1.96716196302277</v>
      </c>
      <c r="M85" s="54" t="s">
        <v>146</v>
      </c>
      <c r="N85" s="43" t="n">
        <v>0.355761188339926</v>
      </c>
      <c r="O85" s="44" t="n">
        <f aca="false">IFERROR(1/N85,"")</f>
        <v>2.81087435272594</v>
      </c>
    </row>
    <row r="86" customFormat="false" ht="18.75" hidden="false" customHeight="true" outlineLevel="0" collapsed="false">
      <c r="A86" s="35" t="n">
        <v>36</v>
      </c>
      <c r="B86" s="33" t="n">
        <v>46348</v>
      </c>
      <c r="C86" s="34" t="s">
        <v>241</v>
      </c>
      <c r="D86" s="53" t="s">
        <v>140</v>
      </c>
      <c r="E86" s="36" t="n">
        <v>0.913714273984516</v>
      </c>
      <c r="F86" s="37" t="n">
        <f aca="false">IFERROR(1/E86,"")</f>
        <v>1.09443403531304</v>
      </c>
      <c r="G86" s="53" t="s">
        <v>145</v>
      </c>
      <c r="H86" s="36" t="n">
        <v>0.659822359542911</v>
      </c>
      <c r="I86" s="37" t="n">
        <f aca="false">IFERROR(1/H86,"")</f>
        <v>1.51555943131837</v>
      </c>
      <c r="J86" s="53" t="s">
        <v>158</v>
      </c>
      <c r="K86" s="36" t="n">
        <v>0.476084154178383</v>
      </c>
      <c r="L86" s="37" t="n">
        <f aca="false">IFERROR(1/K86,"")</f>
        <v>2.10046898478648</v>
      </c>
      <c r="M86" s="53" t="s">
        <v>146</v>
      </c>
      <c r="N86" s="36" t="n">
        <v>0.339018014843713</v>
      </c>
      <c r="O86" s="37" t="n">
        <f aca="false">IFERROR(1/N86,"")</f>
        <v>2.94969575720335</v>
      </c>
    </row>
    <row r="87" customFormat="false" ht="18.75" hidden="false" customHeight="true" outlineLevel="0" collapsed="false">
      <c r="A87" s="42" t="n">
        <v>36</v>
      </c>
      <c r="B87" s="40" t="n">
        <v>46348</v>
      </c>
      <c r="C87" s="41" t="s">
        <v>242</v>
      </c>
      <c r="D87" s="54" t="s">
        <v>140</v>
      </c>
      <c r="E87" s="43" t="n">
        <v>0.919637648601053</v>
      </c>
      <c r="F87" s="44" t="n">
        <f aca="false">IFERROR(1/E87,"")</f>
        <v>1.08738479935135</v>
      </c>
      <c r="G87" s="54" t="s">
        <v>145</v>
      </c>
      <c r="H87" s="43" t="n">
        <v>0.669663734013708</v>
      </c>
      <c r="I87" s="44" t="n">
        <f aca="false">IFERROR(1/H87,"")</f>
        <v>1.49328677843488</v>
      </c>
      <c r="J87" s="54" t="s">
        <v>161</v>
      </c>
      <c r="K87" s="43" t="n">
        <v>0.50523455859046</v>
      </c>
      <c r="L87" s="44" t="n">
        <f aca="false">IFERROR(1/K87,"")</f>
        <v>1.97927869936267</v>
      </c>
      <c r="M87" s="54" t="s">
        <v>146</v>
      </c>
      <c r="N87" s="43" t="n">
        <v>0.347757962863488</v>
      </c>
      <c r="O87" s="44" t="n">
        <f aca="false">IFERROR(1/N87,"")</f>
        <v>2.87556319851272</v>
      </c>
    </row>
    <row r="88" customFormat="false" ht="18.75" hidden="false" customHeight="true" outlineLevel="0" collapsed="false">
      <c r="A88" s="35" t="n">
        <v>36</v>
      </c>
      <c r="B88" s="33" t="n">
        <v>46348</v>
      </c>
      <c r="C88" s="34" t="s">
        <v>243</v>
      </c>
      <c r="D88" s="53" t="s">
        <v>140</v>
      </c>
      <c r="E88" s="36" t="n">
        <v>0.931069393912036</v>
      </c>
      <c r="F88" s="37" t="n">
        <f aca="false">IFERROR(1/E88,"")</f>
        <v>1.07403380085166</v>
      </c>
      <c r="G88" s="53" t="s">
        <v>188</v>
      </c>
      <c r="H88" s="36" t="n">
        <v>0.670735065424946</v>
      </c>
      <c r="I88" s="37" t="n">
        <f aca="false">IFERROR(1/H88,"")</f>
        <v>1.49090162651098</v>
      </c>
      <c r="J88" s="53" t="s">
        <v>155</v>
      </c>
      <c r="K88" s="36" t="n">
        <v>0.504898073921137</v>
      </c>
      <c r="L88" s="37" t="n">
        <f aca="false">IFERROR(1/K88,"")</f>
        <v>1.98059777141514</v>
      </c>
      <c r="M88" s="53" t="s">
        <v>146</v>
      </c>
      <c r="N88" s="36" t="n">
        <v>0.364743270335188</v>
      </c>
      <c r="O88" s="37" t="n">
        <f aca="false">IFERROR(1/N88,"")</f>
        <v>2.74165442197475</v>
      </c>
    </row>
    <row r="89" customFormat="false" ht="18.75" hidden="false" customHeight="true" outlineLevel="0" collapsed="false">
      <c r="A89" s="42" t="n">
        <v>37</v>
      </c>
      <c r="B89" s="40" t="n">
        <v>46355</v>
      </c>
      <c r="C89" s="41" t="s">
        <v>244</v>
      </c>
      <c r="D89" s="54" t="s">
        <v>140</v>
      </c>
      <c r="E89" s="43" t="n">
        <v>0.93724714599429</v>
      </c>
      <c r="F89" s="44" t="n">
        <f aca="false">IFERROR(1/E89,"")</f>
        <v>1.06695443594991</v>
      </c>
      <c r="G89" s="54" t="s">
        <v>196</v>
      </c>
      <c r="H89" s="43" t="n">
        <v>0.640929851044003</v>
      </c>
      <c r="I89" s="44" t="n">
        <f aca="false">IFERROR(1/H89,"")</f>
        <v>1.56023314933937</v>
      </c>
      <c r="J89" s="54" t="s">
        <v>142</v>
      </c>
      <c r="K89" s="43" t="n">
        <v>0.495744125363874</v>
      </c>
      <c r="L89" s="44" t="n">
        <f aca="false">IFERROR(1/K89,"")</f>
        <v>2.0171696422343</v>
      </c>
      <c r="M89" s="54" t="s">
        <v>170</v>
      </c>
      <c r="N89" s="43" t="n">
        <v>0.338187854544417</v>
      </c>
      <c r="O89" s="44" t="n">
        <f aca="false">IFERROR(1/N89,"")</f>
        <v>2.95693646759471</v>
      </c>
    </row>
    <row r="90" customFormat="false" ht="18.75" hidden="false" customHeight="true" outlineLevel="0" collapsed="false">
      <c r="A90" s="35" t="n">
        <v>37</v>
      </c>
      <c r="B90" s="33" t="n">
        <v>46355</v>
      </c>
      <c r="C90" s="34" t="s">
        <v>245</v>
      </c>
      <c r="D90" s="53" t="s">
        <v>140</v>
      </c>
      <c r="E90" s="36" t="n">
        <v>0.935493694631558</v>
      </c>
      <c r="F90" s="37" t="n">
        <f aca="false">IFERROR(1/E90,"")</f>
        <v>1.0689542919836</v>
      </c>
      <c r="G90" s="53" t="s">
        <v>188</v>
      </c>
      <c r="H90" s="36" t="n">
        <v>0.654687423309011</v>
      </c>
      <c r="I90" s="37" t="n">
        <f aca="false">IFERROR(1/H90,"")</f>
        <v>1.52744647964316</v>
      </c>
      <c r="J90" s="53" t="s">
        <v>158</v>
      </c>
      <c r="K90" s="36" t="n">
        <v>0.495251927730329</v>
      </c>
      <c r="L90" s="37" t="n">
        <f aca="false">IFERROR(1/K90,"")</f>
        <v>2.01917437168364</v>
      </c>
      <c r="M90" s="53" t="s">
        <v>170</v>
      </c>
      <c r="N90" s="36" t="n">
        <v>0.348828985423878</v>
      </c>
      <c r="O90" s="37" t="n">
        <f aca="false">IFERROR(1/N90,"")</f>
        <v>2.86673425026551</v>
      </c>
    </row>
    <row r="91" customFormat="false" ht="18.75" hidden="false" customHeight="true" outlineLevel="0" collapsed="false">
      <c r="A91" s="42" t="n">
        <v>37</v>
      </c>
      <c r="B91" s="40" t="n">
        <v>46355</v>
      </c>
      <c r="C91" s="41" t="s">
        <v>246</v>
      </c>
      <c r="D91" s="54" t="s">
        <v>140</v>
      </c>
      <c r="E91" s="43" t="n">
        <v>0.935686790634043</v>
      </c>
      <c r="F91" s="44" t="n">
        <f aca="false">IFERROR(1/E91,"")</f>
        <v>1.06873369380621</v>
      </c>
      <c r="G91" s="54" t="s">
        <v>154</v>
      </c>
      <c r="H91" s="43" t="n">
        <v>0.644140207734519</v>
      </c>
      <c r="I91" s="44" t="n">
        <f aca="false">IFERROR(1/H91,"")</f>
        <v>1.5524570396204</v>
      </c>
      <c r="J91" s="54" t="s">
        <v>142</v>
      </c>
      <c r="K91" s="43" t="n">
        <v>0.491110090318644</v>
      </c>
      <c r="L91" s="44" t="n">
        <f aca="false">IFERROR(1/K91,"")</f>
        <v>2.03620332734596</v>
      </c>
      <c r="M91" s="54" t="s">
        <v>94</v>
      </c>
      <c r="N91" s="43" t="n">
        <v>0.366138291403406</v>
      </c>
      <c r="O91" s="44" t="n">
        <f aca="false">IFERROR(1/N91,"")</f>
        <v>2.73120846270136</v>
      </c>
    </row>
    <row r="92" customFormat="false" ht="18.75" hidden="false" customHeight="true" outlineLevel="0" collapsed="false">
      <c r="A92" s="35" t="n">
        <v>37</v>
      </c>
      <c r="B92" s="33" t="n">
        <v>46355</v>
      </c>
      <c r="C92" s="34" t="s">
        <v>247</v>
      </c>
      <c r="D92" s="53" t="s">
        <v>140</v>
      </c>
      <c r="E92" s="36" t="n">
        <v>0.909324810557463</v>
      </c>
      <c r="F92" s="37" t="n">
        <f aca="false">IFERROR(1/E92,"")</f>
        <v>1.09971705202561</v>
      </c>
      <c r="G92" s="53" t="s">
        <v>145</v>
      </c>
      <c r="H92" s="36" t="n">
        <v>0.651900495345446</v>
      </c>
      <c r="I92" s="37" t="n">
        <f aca="false">IFERROR(1/H92,"")</f>
        <v>1.5339764383368</v>
      </c>
      <c r="J92" s="53" t="s">
        <v>150</v>
      </c>
      <c r="K92" s="36" t="n">
        <v>0.483152351914978</v>
      </c>
      <c r="L92" s="37" t="n">
        <f aca="false">IFERROR(1/K92,"")</f>
        <v>2.06974051981014</v>
      </c>
      <c r="M92" s="53" t="s">
        <v>146</v>
      </c>
      <c r="N92" s="36" t="n">
        <v>0.332268152859015</v>
      </c>
      <c r="O92" s="37" t="n">
        <f aca="false">IFERROR(1/N92,"")</f>
        <v>3.00961735693132</v>
      </c>
    </row>
    <row r="93" customFormat="false" ht="18.75" hidden="false" customHeight="true" outlineLevel="0" collapsed="false">
      <c r="A93" s="42" t="n">
        <v>37</v>
      </c>
      <c r="B93" s="40" t="n">
        <v>46355</v>
      </c>
      <c r="C93" s="41" t="s">
        <v>248</v>
      </c>
      <c r="D93" s="54" t="s">
        <v>140</v>
      </c>
      <c r="E93" s="43" t="n">
        <v>0.94867081579789</v>
      </c>
      <c r="F93" s="44" t="n">
        <f aca="false">IFERROR(1/E93,"")</f>
        <v>1.05410642274153</v>
      </c>
      <c r="G93" s="54" t="s">
        <v>141</v>
      </c>
      <c r="H93" s="43" t="n">
        <v>0.659347363010518</v>
      </c>
      <c r="I93" s="44" t="n">
        <f aca="false">IFERROR(1/H93,"")</f>
        <v>1.51665124652064</v>
      </c>
      <c r="J93" s="54" t="s">
        <v>163</v>
      </c>
      <c r="K93" s="43" t="n">
        <v>0.514177291425006</v>
      </c>
      <c r="L93" s="44" t="n">
        <f aca="false">IFERROR(1/K93,"")</f>
        <v>1.94485446299772</v>
      </c>
      <c r="M93" s="54" t="s">
        <v>152</v>
      </c>
      <c r="N93" s="43" t="n">
        <v>0.340652636989482</v>
      </c>
      <c r="O93" s="44" t="n">
        <f aca="false">IFERROR(1/N93,"")</f>
        <v>2.93554163806715</v>
      </c>
    </row>
    <row r="94" customFormat="false" ht="18.75" hidden="false" customHeight="true" outlineLevel="0" collapsed="false">
      <c r="A94" s="35" t="n">
        <v>37</v>
      </c>
      <c r="B94" s="33" t="n">
        <v>46355</v>
      </c>
      <c r="C94" s="34" t="s">
        <v>249</v>
      </c>
      <c r="D94" s="53" t="s">
        <v>140</v>
      </c>
      <c r="E94" s="36" t="n">
        <v>0.894808687981662</v>
      </c>
      <c r="F94" s="37" t="n">
        <f aca="false">IFERROR(1/E94,"")</f>
        <v>1.11755732083425</v>
      </c>
      <c r="G94" s="53" t="s">
        <v>107</v>
      </c>
      <c r="H94" s="36" t="n">
        <v>0.652936224767377</v>
      </c>
      <c r="I94" s="37" t="n">
        <f aca="false">IFERROR(1/H94,"")</f>
        <v>1.53154314627937</v>
      </c>
      <c r="J94" s="53" t="s">
        <v>150</v>
      </c>
      <c r="K94" s="36" t="n">
        <v>0.507491329308745</v>
      </c>
      <c r="L94" s="37" t="n">
        <f aca="false">IFERROR(1/K94,"")</f>
        <v>1.97047701556222</v>
      </c>
      <c r="M94" s="53" t="s">
        <v>164</v>
      </c>
      <c r="N94" s="36" t="n">
        <v>0.347063775232623</v>
      </c>
      <c r="O94" s="37" t="n">
        <f aca="false">IFERROR(1/N94,"")</f>
        <v>2.88131482270006</v>
      </c>
    </row>
    <row r="95" customFormat="false" ht="18.75" hidden="false" customHeight="true" outlineLevel="0" collapsed="false">
      <c r="A95" s="42" t="n">
        <v>37</v>
      </c>
      <c r="B95" s="40" t="n">
        <v>46355</v>
      </c>
      <c r="C95" s="41" t="s">
        <v>250</v>
      </c>
      <c r="D95" s="54" t="s">
        <v>140</v>
      </c>
      <c r="E95" s="43" t="n">
        <v>0.91519931007707</v>
      </c>
      <c r="F95" s="44" t="n">
        <f aca="false">IFERROR(1/E95,"")</f>
        <v>1.092658166357</v>
      </c>
      <c r="G95" s="54" t="s">
        <v>145</v>
      </c>
      <c r="H95" s="43" t="n">
        <v>0.662120261054357</v>
      </c>
      <c r="I95" s="44" t="n">
        <f aca="false">IFERROR(1/H95,"")</f>
        <v>1.5102996522227</v>
      </c>
      <c r="J95" s="54" t="s">
        <v>170</v>
      </c>
      <c r="K95" s="43" t="n">
        <v>0.50450025941186</v>
      </c>
      <c r="L95" s="44" t="n">
        <f aca="false">IFERROR(1/K95,"")</f>
        <v>1.98215953578654</v>
      </c>
      <c r="M95" s="54" t="s">
        <v>146</v>
      </c>
      <c r="N95" s="43" t="n">
        <v>0.341105522532636</v>
      </c>
      <c r="O95" s="44" t="n">
        <f aca="false">IFERROR(1/N95,"")</f>
        <v>2.9316441216642</v>
      </c>
    </row>
    <row r="96" customFormat="false" ht="18.75" hidden="false" customHeight="true" outlineLevel="0" collapsed="false">
      <c r="A96" s="35" t="n">
        <v>37</v>
      </c>
      <c r="B96" s="33" t="n">
        <v>46355</v>
      </c>
      <c r="C96" s="34" t="s">
        <v>251</v>
      </c>
      <c r="D96" s="53" t="s">
        <v>140</v>
      </c>
      <c r="E96" s="36" t="n">
        <v>0.926123914535262</v>
      </c>
      <c r="F96" s="37" t="n">
        <f aca="false">IFERROR(1/E96,"")</f>
        <v>1.07976911545558</v>
      </c>
      <c r="G96" s="53" t="s">
        <v>154</v>
      </c>
      <c r="H96" s="36" t="n">
        <v>0.665128145612175</v>
      </c>
      <c r="I96" s="37" t="n">
        <f aca="false">IFERROR(1/H96,"")</f>
        <v>1.50346967963536</v>
      </c>
      <c r="J96" s="53" t="s">
        <v>175</v>
      </c>
      <c r="K96" s="36" t="n">
        <v>0.509962510421435</v>
      </c>
      <c r="L96" s="37" t="n">
        <f aca="false">IFERROR(1/K96,"")</f>
        <v>1.96092845957166</v>
      </c>
      <c r="M96" s="53" t="s">
        <v>146</v>
      </c>
      <c r="N96" s="36" t="n">
        <v>0.357467149725673</v>
      </c>
      <c r="O96" s="37" t="n">
        <f aca="false">IFERROR(1/N96,"")</f>
        <v>2.79745985265337</v>
      </c>
    </row>
    <row r="97" customFormat="false" ht="18.75" hidden="false" customHeight="true" outlineLevel="0" collapsed="false">
      <c r="A97" s="42" t="n">
        <v>37</v>
      </c>
      <c r="B97" s="40" t="n">
        <v>46355</v>
      </c>
      <c r="C97" s="41" t="s">
        <v>252</v>
      </c>
      <c r="D97" s="54" t="s">
        <v>140</v>
      </c>
      <c r="E97" s="43" t="n">
        <v>0.932190542909496</v>
      </c>
      <c r="F97" s="44" t="n">
        <f aca="false">IFERROR(1/E97,"")</f>
        <v>1.07274205644574</v>
      </c>
      <c r="G97" s="54" t="s">
        <v>154</v>
      </c>
      <c r="H97" s="43" t="n">
        <v>0.652307175638901</v>
      </c>
      <c r="I97" s="44" t="n">
        <f aca="false">IFERROR(1/H97,"")</f>
        <v>1.53302008217302</v>
      </c>
      <c r="J97" s="54" t="s">
        <v>155</v>
      </c>
      <c r="K97" s="43" t="n">
        <v>0.50035141330151</v>
      </c>
      <c r="L97" s="44" t="n">
        <f aca="false">IFERROR(1/K97,"")</f>
        <v>1.99859533403057</v>
      </c>
      <c r="M97" s="54" t="s">
        <v>146</v>
      </c>
      <c r="N97" s="43" t="n">
        <v>0.366603684197436</v>
      </c>
      <c r="O97" s="44" t="n">
        <f aca="false">IFERROR(1/N97,"")</f>
        <v>2.72774127240207</v>
      </c>
    </row>
    <row r="98" customFormat="false" ht="18.75" hidden="false" customHeight="true" outlineLevel="0" collapsed="false">
      <c r="A98" s="35" t="n">
        <v>37</v>
      </c>
      <c r="B98" s="33" t="n">
        <v>46355</v>
      </c>
      <c r="C98" s="34" t="s">
        <v>253</v>
      </c>
      <c r="D98" s="53" t="s">
        <v>140</v>
      </c>
      <c r="E98" s="36" t="n">
        <v>0.916454573255339</v>
      </c>
      <c r="F98" s="37" t="n">
        <f aca="false">IFERROR(1/E98,"")</f>
        <v>1.09116155801143</v>
      </c>
      <c r="G98" s="53" t="s">
        <v>94</v>
      </c>
      <c r="H98" s="36" t="n">
        <v>0.666776886185767</v>
      </c>
      <c r="I98" s="37" t="n">
        <f aca="false">IFERROR(1/H98,"")</f>
        <v>1.4997520470759</v>
      </c>
      <c r="J98" s="53" t="s">
        <v>161</v>
      </c>
      <c r="K98" s="36" t="n">
        <v>0.501090395979757</v>
      </c>
      <c r="L98" s="37" t="n">
        <f aca="false">IFERROR(1/K98,"")</f>
        <v>1.9956479070902</v>
      </c>
      <c r="M98" s="53" t="s">
        <v>156</v>
      </c>
      <c r="N98" s="36" t="n">
        <v>0.333223113814233</v>
      </c>
      <c r="O98" s="37" t="n">
        <f aca="false">IFERROR(1/N98,"")</f>
        <v>3.00099230378564</v>
      </c>
    </row>
    <row r="99" customFormat="false" ht="18.75" hidden="false" customHeight="true" outlineLevel="0" collapsed="false">
      <c r="A99" s="42" t="n">
        <v>38</v>
      </c>
      <c r="B99" s="40" t="n">
        <v>46358</v>
      </c>
      <c r="C99" s="41" t="s">
        <v>254</v>
      </c>
      <c r="D99" s="54" t="s">
        <v>140</v>
      </c>
      <c r="E99" s="43" t="n">
        <v>0.896922025676009</v>
      </c>
      <c r="F99" s="44" t="n">
        <f aca="false">IFERROR(1/E99,"")</f>
        <v>1.11492411979325</v>
      </c>
      <c r="G99" s="54" t="s">
        <v>149</v>
      </c>
      <c r="H99" s="43" t="n">
        <v>0.668227603962158</v>
      </c>
      <c r="I99" s="44" t="n">
        <f aca="false">IFERROR(1/H99,"")</f>
        <v>1.49649609514879</v>
      </c>
      <c r="J99" s="54" t="s">
        <v>150</v>
      </c>
      <c r="K99" s="43" t="n">
        <v>0.504211627720559</v>
      </c>
      <c r="L99" s="44" t="n">
        <f aca="false">IFERROR(1/K99,"")</f>
        <v>1.98329420628557</v>
      </c>
      <c r="M99" s="54" t="s">
        <v>164</v>
      </c>
      <c r="N99" s="43" t="n">
        <v>0.342242862557213</v>
      </c>
      <c r="O99" s="44" t="n">
        <f aca="false">IFERROR(1/N99,"")</f>
        <v>2.92190169439349</v>
      </c>
    </row>
    <row r="100" customFormat="false" ht="18.75" hidden="false" customHeight="true" outlineLevel="0" collapsed="false">
      <c r="A100" s="35" t="n">
        <v>38</v>
      </c>
      <c r="B100" s="33" t="n">
        <v>46358</v>
      </c>
      <c r="C100" s="34" t="s">
        <v>255</v>
      </c>
      <c r="D100" s="53" t="s">
        <v>140</v>
      </c>
      <c r="E100" s="36" t="n">
        <v>0.924601966662524</v>
      </c>
      <c r="F100" s="37" t="n">
        <f aca="false">IFERROR(1/E100,"")</f>
        <v>1.0815464773557</v>
      </c>
      <c r="G100" s="53" t="s">
        <v>154</v>
      </c>
      <c r="H100" s="36" t="n">
        <v>0.66803679440947</v>
      </c>
      <c r="I100" s="37" t="n">
        <f aca="false">IFERROR(1/H100,"")</f>
        <v>1.49692353530314</v>
      </c>
      <c r="J100" s="53" t="s">
        <v>175</v>
      </c>
      <c r="K100" s="36" t="n">
        <v>0.514219507996275</v>
      </c>
      <c r="L100" s="37" t="n">
        <f aca="false">IFERROR(1/K100,"")</f>
        <v>1.94469479366241</v>
      </c>
      <c r="M100" s="53" t="s">
        <v>146</v>
      </c>
      <c r="N100" s="36" t="n">
        <v>0.355160279256599</v>
      </c>
      <c r="O100" s="37" t="n">
        <f aca="false">IFERROR(1/N100,"")</f>
        <v>2.81563017715028</v>
      </c>
    </row>
    <row r="101" customFormat="false" ht="18.75" hidden="false" customHeight="true" outlineLevel="0" collapsed="false">
      <c r="A101" s="42" t="n">
        <v>38</v>
      </c>
      <c r="B101" s="40" t="n">
        <v>46358</v>
      </c>
      <c r="C101" s="41" t="s">
        <v>256</v>
      </c>
      <c r="D101" s="54" t="s">
        <v>140</v>
      </c>
      <c r="E101" s="43" t="n">
        <v>0.911129298871239</v>
      </c>
      <c r="F101" s="44" t="n">
        <f aca="false">IFERROR(1/E101,"")</f>
        <v>1.09753906634202</v>
      </c>
      <c r="G101" s="54" t="s">
        <v>188</v>
      </c>
      <c r="H101" s="43" t="n">
        <v>0.667313116933636</v>
      </c>
      <c r="I101" s="44" t="n">
        <f aca="false">IFERROR(1/H101,"")</f>
        <v>1.49854689593858</v>
      </c>
      <c r="J101" s="54" t="s">
        <v>158</v>
      </c>
      <c r="K101" s="43" t="n">
        <v>0.509499177527213</v>
      </c>
      <c r="L101" s="44" t="n">
        <f aca="false">IFERROR(1/K101,"")</f>
        <v>1.96271170613732</v>
      </c>
      <c r="M101" s="54" t="s">
        <v>146</v>
      </c>
      <c r="N101" s="43" t="n">
        <v>0.334910865603607</v>
      </c>
      <c r="O101" s="44" t="n">
        <f aca="false">IFERROR(1/N101,"")</f>
        <v>2.98586908548849</v>
      </c>
    </row>
    <row r="102" customFormat="false" ht="18.75" hidden="false" customHeight="true" outlineLevel="0" collapsed="false">
      <c r="A102" s="35" t="n">
        <v>38</v>
      </c>
      <c r="B102" s="33" t="n">
        <v>46358</v>
      </c>
      <c r="C102" s="34" t="s">
        <v>257</v>
      </c>
      <c r="D102" s="53" t="s">
        <v>140</v>
      </c>
      <c r="E102" s="36" t="n">
        <v>0.899557716922503</v>
      </c>
      <c r="F102" s="37" t="n">
        <f aca="false">IFERROR(1/E102,"")</f>
        <v>1.11165740806618</v>
      </c>
      <c r="G102" s="53" t="s">
        <v>107</v>
      </c>
      <c r="H102" s="36" t="n">
        <v>0.663870163662085</v>
      </c>
      <c r="I102" s="37" t="n">
        <f aca="false">IFERROR(1/H102,"")</f>
        <v>1.50631863689088</v>
      </c>
      <c r="J102" s="53" t="s">
        <v>150</v>
      </c>
      <c r="K102" s="36" t="n">
        <v>0.499951798365597</v>
      </c>
      <c r="L102" s="37" t="n">
        <f aca="false">IFERROR(1/K102,"")</f>
        <v>2.00019282512659</v>
      </c>
      <c r="M102" s="53" t="s">
        <v>164</v>
      </c>
      <c r="N102" s="36" t="n">
        <v>0.336129836337914</v>
      </c>
      <c r="O102" s="37" t="n">
        <f aca="false">IFERROR(1/N102,"")</f>
        <v>2.97504086782314</v>
      </c>
    </row>
    <row r="103" customFormat="false" ht="18.75" hidden="false" customHeight="true" outlineLevel="0" collapsed="false">
      <c r="A103" s="42" t="n">
        <v>38</v>
      </c>
      <c r="B103" s="40" t="n">
        <v>46358</v>
      </c>
      <c r="C103" s="41" t="s">
        <v>258</v>
      </c>
      <c r="D103" s="54" t="s">
        <v>140</v>
      </c>
      <c r="E103" s="43" t="n">
        <v>0.972027675358373</v>
      </c>
      <c r="F103" s="44" t="n">
        <f aca="false">IFERROR(1/E103,"")</f>
        <v>1.02877729240715</v>
      </c>
      <c r="G103" s="54" t="s">
        <v>86</v>
      </c>
      <c r="H103" s="43" t="n">
        <v>0.687278258510865</v>
      </c>
      <c r="I103" s="44" t="n">
        <f aca="false">IFERROR(1/H103,"")</f>
        <v>1.45501474492546</v>
      </c>
      <c r="J103" s="54" t="s">
        <v>154</v>
      </c>
      <c r="K103" s="43" t="n">
        <v>0.497033756050668</v>
      </c>
      <c r="L103" s="44" t="n">
        <f aca="false">IFERROR(1/K103,"")</f>
        <v>2.0119357846956</v>
      </c>
      <c r="M103" s="54" t="s">
        <v>259</v>
      </c>
      <c r="N103" s="43" t="n">
        <v>0.310927170255904</v>
      </c>
      <c r="O103" s="44" t="n">
        <f aca="false">IFERROR(1/N103,"")</f>
        <v>3.21618724789141</v>
      </c>
    </row>
    <row r="104" customFormat="false" ht="18.75" hidden="false" customHeight="true" outlineLevel="0" collapsed="false">
      <c r="A104" s="35" t="n">
        <v>38</v>
      </c>
      <c r="B104" s="33" t="n">
        <v>46358</v>
      </c>
      <c r="C104" s="34" t="s">
        <v>260</v>
      </c>
      <c r="D104" s="53" t="s">
        <v>140</v>
      </c>
      <c r="E104" s="36" t="n">
        <v>0.933974562423962</v>
      </c>
      <c r="F104" s="37" t="n">
        <f aca="false">IFERROR(1/E104,"")</f>
        <v>1.07069297198489</v>
      </c>
      <c r="G104" s="53" t="s">
        <v>149</v>
      </c>
      <c r="H104" s="36" t="n">
        <v>0.665237021347745</v>
      </c>
      <c r="I104" s="37" t="n">
        <f aca="false">IFERROR(1/H104,"")</f>
        <v>1.50322361490651</v>
      </c>
      <c r="J104" s="53" t="s">
        <v>168</v>
      </c>
      <c r="K104" s="36" t="n">
        <v>0.505472935553429</v>
      </c>
      <c r="L104" s="37" t="n">
        <f aca="false">IFERROR(1/K104,"")</f>
        <v>1.9783452874784</v>
      </c>
      <c r="M104" s="53" t="s">
        <v>156</v>
      </c>
      <c r="N104" s="36" t="n">
        <v>0.316843729771136</v>
      </c>
      <c r="O104" s="37" t="n">
        <f aca="false">IFERROR(1/N104,"")</f>
        <v>3.15612999734073</v>
      </c>
    </row>
    <row r="105" customFormat="false" ht="18.75" hidden="false" customHeight="true" outlineLevel="0" collapsed="false">
      <c r="A105" s="42" t="n">
        <v>38</v>
      </c>
      <c r="B105" s="40" t="n">
        <v>46358</v>
      </c>
      <c r="C105" s="41" t="s">
        <v>261</v>
      </c>
      <c r="D105" s="54" t="s">
        <v>140</v>
      </c>
      <c r="E105" s="43" t="n">
        <v>0.957149641678918</v>
      </c>
      <c r="F105" s="44" t="n">
        <f aca="false">IFERROR(1/E105,"")</f>
        <v>1.0447687137467</v>
      </c>
      <c r="G105" s="54" t="s">
        <v>163</v>
      </c>
      <c r="H105" s="43" t="n">
        <v>0.687264845121059</v>
      </c>
      <c r="I105" s="44" t="n">
        <f aca="false">IFERROR(1/H105,"")</f>
        <v>1.45504314253678</v>
      </c>
      <c r="J105" s="54" t="s">
        <v>159</v>
      </c>
      <c r="K105" s="43" t="n">
        <v>0.507781181254521</v>
      </c>
      <c r="L105" s="44" t="n">
        <f aca="false">IFERROR(1/K105,"")</f>
        <v>1.96935222673949</v>
      </c>
      <c r="M105" s="54" t="s">
        <v>150</v>
      </c>
      <c r="N105" s="43" t="n">
        <v>0.351780099306364</v>
      </c>
      <c r="O105" s="44" t="n">
        <f aca="false">IFERROR(1/N105,"")</f>
        <v>2.8426849670342</v>
      </c>
    </row>
    <row r="106" customFormat="false" ht="18.75" hidden="false" customHeight="true" outlineLevel="0" collapsed="false">
      <c r="A106" s="35" t="n">
        <v>38</v>
      </c>
      <c r="B106" s="33" t="n">
        <v>46358</v>
      </c>
      <c r="C106" s="34" t="s">
        <v>262</v>
      </c>
      <c r="D106" s="53" t="s">
        <v>140</v>
      </c>
      <c r="E106" s="36" t="n">
        <v>0.918533318630654</v>
      </c>
      <c r="F106" s="37" t="n">
        <f aca="false">IFERROR(1/E106,"")</f>
        <v>1.08869213529543</v>
      </c>
      <c r="G106" s="53" t="s">
        <v>145</v>
      </c>
      <c r="H106" s="36" t="n">
        <v>0.667666744783812</v>
      </c>
      <c r="I106" s="37" t="n">
        <f aca="false">IFERROR(1/H106,"")</f>
        <v>1.49775319470763</v>
      </c>
      <c r="J106" s="53" t="s">
        <v>175</v>
      </c>
      <c r="K106" s="36" t="n">
        <v>0.505274516714766</v>
      </c>
      <c r="L106" s="37" t="n">
        <f aca="false">IFERROR(1/K106,"")</f>
        <v>1.97912217402508</v>
      </c>
      <c r="M106" s="53" t="s">
        <v>146</v>
      </c>
      <c r="N106" s="36" t="n">
        <v>0.346030248809909</v>
      </c>
      <c r="O106" s="37" t="n">
        <f aca="false">IFERROR(1/N106,"")</f>
        <v>2.88992076108741</v>
      </c>
    </row>
    <row r="107" customFormat="false" ht="18.75" hidden="false" customHeight="true" outlineLevel="0" collapsed="false">
      <c r="A107" s="42" t="n">
        <v>38</v>
      </c>
      <c r="B107" s="40" t="n">
        <v>46358</v>
      </c>
      <c r="C107" s="41" t="s">
        <v>263</v>
      </c>
      <c r="D107" s="54" t="s">
        <v>140</v>
      </c>
      <c r="E107" s="43" t="n">
        <v>0.927731291759824</v>
      </c>
      <c r="F107" s="44" t="n">
        <f aca="false">IFERROR(1/E107,"")</f>
        <v>1.07789831913839</v>
      </c>
      <c r="G107" s="54" t="s">
        <v>154</v>
      </c>
      <c r="H107" s="43" t="n">
        <v>0.662154870267888</v>
      </c>
      <c r="I107" s="44" t="n">
        <f aca="false">IFERROR(1/H107,"")</f>
        <v>1.51022071255842</v>
      </c>
      <c r="J107" s="54" t="s">
        <v>158</v>
      </c>
      <c r="K107" s="43" t="n">
        <v>0.49089852254225</v>
      </c>
      <c r="L107" s="44" t="n">
        <f aca="false">IFERROR(1/K107,"")</f>
        <v>2.03708089162956</v>
      </c>
      <c r="M107" s="54" t="s">
        <v>156</v>
      </c>
      <c r="N107" s="43" t="n">
        <v>0.340429760461558</v>
      </c>
      <c r="O107" s="44" t="n">
        <f aca="false">IFERROR(1/N107,"")</f>
        <v>2.93746351272048</v>
      </c>
    </row>
    <row r="108" customFormat="false" ht="18.75" hidden="false" customHeight="true" outlineLevel="0" collapsed="false">
      <c r="A108" s="35" t="n">
        <v>38</v>
      </c>
      <c r="B108" s="33" t="n">
        <v>46358</v>
      </c>
      <c r="C108" s="34" t="s">
        <v>264</v>
      </c>
      <c r="D108" s="53" t="s">
        <v>140</v>
      </c>
      <c r="E108" s="36" t="n">
        <v>0.92958360995634</v>
      </c>
      <c r="F108" s="37" t="n">
        <f aca="false">IFERROR(1/E108,"")</f>
        <v>1.07575046428257</v>
      </c>
      <c r="G108" s="53" t="s">
        <v>154</v>
      </c>
      <c r="H108" s="36" t="n">
        <v>0.658210239705783</v>
      </c>
      <c r="I108" s="37" t="n">
        <f aca="false">IFERROR(1/H108,"")</f>
        <v>1.51927141158879</v>
      </c>
      <c r="J108" s="53" t="s">
        <v>155</v>
      </c>
      <c r="K108" s="36" t="n">
        <v>0.509974483028939</v>
      </c>
      <c r="L108" s="37" t="n">
        <f aca="false">IFERROR(1/K108,"")</f>
        <v>1.96088242309813</v>
      </c>
      <c r="M108" s="53" t="s">
        <v>158</v>
      </c>
      <c r="N108" s="36" t="n">
        <v>0.36233717964322</v>
      </c>
      <c r="O108" s="37" t="n">
        <f aca="false">IFERROR(1/N108,"")</f>
        <v>2.75986030742046</v>
      </c>
    </row>
    <row r="110" customFormat="false" ht="15" hidden="false" customHeight="false" outlineLevel="0" collapsed="false">
      <c r="A110" s="22" t="s">
        <v>265</v>
      </c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</row>
  </sheetData>
  <autoFilter ref="A5:O108"/>
  <mergeCells count="7">
    <mergeCell ref="A2:O2"/>
    <mergeCell ref="A4:C4"/>
    <mergeCell ref="D4:F4"/>
    <mergeCell ref="G4:I4"/>
    <mergeCell ref="J4:L4"/>
    <mergeCell ref="M4:O4"/>
    <mergeCell ref="A110:O110"/>
  </mergeCells>
  <conditionalFormatting sqref="E6:E108">
    <cfRule type="colorScale" priority="2">
      <colorScale>
        <cfvo type="num" val="0"/>
        <cfvo type="num" val="1"/>
        <color rgb="FFFFFFFF"/>
        <color rgb="FF9EC5F4"/>
      </colorScale>
    </cfRule>
  </conditionalFormatting>
  <conditionalFormatting sqref="H6:H108">
    <cfRule type="colorScale" priority="3">
      <colorScale>
        <cfvo type="num" val="0"/>
        <cfvo type="num" val="1"/>
        <color rgb="FFFFFFFF"/>
        <color rgb="FF9EC5F4"/>
      </colorScale>
    </cfRule>
  </conditionalFormatting>
  <conditionalFormatting sqref="K6:K108">
    <cfRule type="colorScale" priority="4">
      <colorScale>
        <cfvo type="num" val="0"/>
        <cfvo type="num" val="1"/>
        <color rgb="FFFFFFFF"/>
        <color rgb="FF9EC5F4"/>
      </colorScale>
    </cfRule>
  </conditionalFormatting>
  <conditionalFormatting sqref="N6:N108">
    <cfRule type="colorScale" priority="5">
      <colorScale>
        <cfvo type="num" val="0"/>
        <cfvo type="num" val="1"/>
        <color rgb="FFFFFFFF"/>
        <color rgb="FF9EC5F4"/>
      </colorScale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501F"/>
    <pageSetUpPr fitToPage="true"/>
  </sheetPr>
  <dimension ref="A1:O3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8" topLeftCell="C19" activePane="bottomRight" state="frozen"/>
      <selection pane="topLeft" activeCell="A1" activeCellId="0" sqref="A1"/>
      <selection pane="topRight" activeCell="C1" activeCellId="0" sqref="C1"/>
      <selection pane="bottomLeft" activeCell="A19" activeCellId="0" sqref="A1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4" min="3" style="0" width="8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7" min="7" style="0" width="17"/>
    <col collapsed="false" customWidth="true" hidden="false" outlineLevel="0" max="8" min="8" style="0" width="14"/>
    <col collapsed="false" customWidth="true" hidden="false" outlineLevel="0" max="9" min="9" style="0" width="7"/>
    <col collapsed="false" customWidth="true" hidden="false" outlineLevel="0" max="10" min="10" style="0" width="11"/>
    <col collapsed="false" customWidth="true" hidden="false" outlineLevel="0" max="11" min="11" style="0" width="32"/>
    <col collapsed="false" customWidth="true" hidden="false" outlineLevel="0" max="12" min="12" style="0" width="24"/>
    <col collapsed="false" customWidth="true" hidden="false" outlineLevel="0" max="13" min="13" style="0" width="8"/>
    <col collapsed="false" customWidth="true" hidden="false" outlineLevel="0" max="14" min="14" style="0" width="10"/>
    <col collapsed="false" customWidth="true" hidden="false" outlineLevel="0" max="15" min="15" style="0" width="11"/>
  </cols>
  <sheetData>
    <row r="1" customFormat="false" ht="30" hidden="false" customHeight="true" outlineLevel="0" collapsed="false">
      <c r="A1" s="23" t="s">
        <v>266</v>
      </c>
    </row>
    <row r="2" customFormat="false" ht="15.75" hidden="false" customHeight="true" outlineLevel="0" collapsed="false">
      <c r="A2" s="24" t="s">
        <v>267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</row>
    <row r="4" customFormat="false" ht="15" hidden="false" customHeight="false" outlineLevel="0" collapsed="false">
      <c r="A4" s="6" t="s">
        <v>268</v>
      </c>
    </row>
    <row r="5" customFormat="false" ht="15" hidden="false" customHeight="false" outlineLevel="0" collapsed="false">
      <c r="A5" s="55" t="s">
        <v>269</v>
      </c>
      <c r="B5" s="55"/>
      <c r="C5" s="55"/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</row>
    <row r="6" customFormat="false" ht="19.5" hidden="false" customHeight="true" outlineLevel="0" collapsed="false">
      <c r="A6" s="56" t="s">
        <v>270</v>
      </c>
      <c r="B6" s="49" t="s">
        <v>271</v>
      </c>
    </row>
    <row r="7" customFormat="false" ht="18.75" hidden="false" customHeight="true" outlineLevel="0" collapsed="false">
      <c r="A7" s="32" t="n">
        <v>1</v>
      </c>
      <c r="B7" s="57" t="n">
        <v>-0.0651444230485325</v>
      </c>
    </row>
    <row r="8" customFormat="false" ht="18.75" hidden="false" customHeight="true" outlineLevel="0" collapsed="false">
      <c r="A8" s="39" t="n">
        <v>2</v>
      </c>
      <c r="B8" s="58" t="n">
        <v>-0.126045050242739</v>
      </c>
    </row>
    <row r="9" customFormat="false" ht="18.75" hidden="false" customHeight="true" outlineLevel="0" collapsed="false">
      <c r="A9" s="32" t="n">
        <v>3</v>
      </c>
      <c r="B9" s="57" t="n">
        <v>-0.182978341215085</v>
      </c>
    </row>
    <row r="10" customFormat="false" ht="18.75" hidden="false" customHeight="true" outlineLevel="0" collapsed="false">
      <c r="A10" s="39" t="n">
        <v>4</v>
      </c>
      <c r="B10" s="58" t="n">
        <v>-0.236202745794783</v>
      </c>
    </row>
    <row r="11" customFormat="false" ht="18.75" hidden="false" customHeight="true" outlineLevel="0" collapsed="false">
      <c r="A11" s="32" t="n">
        <v>5</v>
      </c>
      <c r="B11" s="57" t="n">
        <v>-0.285959877246035</v>
      </c>
    </row>
    <row r="12" customFormat="false" ht="18.75" hidden="false" customHeight="true" outlineLevel="0" collapsed="false">
      <c r="A12" s="39" t="n">
        <v>6</v>
      </c>
      <c r="B12" s="58" t="n">
        <v>-0.332475609076346</v>
      </c>
    </row>
    <row r="13" customFormat="false" ht="18.75" hidden="false" customHeight="true" outlineLevel="0" collapsed="false">
      <c r="A13" s="32" t="n">
        <v>7</v>
      </c>
      <c r="B13" s="57" t="n">
        <v>-0.37596110039389</v>
      </c>
    </row>
    <row r="14" customFormat="false" ht="18.75" hidden="false" customHeight="true" outlineLevel="0" collapsed="false">
      <c r="A14" s="39" t="n">
        <v>8</v>
      </c>
      <c r="B14" s="58" t="n">
        <v>-0.416613754468571</v>
      </c>
    </row>
    <row r="16" customFormat="false" ht="15" hidden="false" customHeight="false" outlineLevel="0" collapsed="false">
      <c r="A16" s="6" t="s">
        <v>272</v>
      </c>
    </row>
    <row r="17" customFormat="false" ht="19.5" hidden="false" customHeight="true" outlineLevel="0" collapsed="false">
      <c r="A17" s="28" t="s">
        <v>273</v>
      </c>
      <c r="B17" s="28"/>
      <c r="C17" s="28"/>
      <c r="D17" s="26" t="s">
        <v>274</v>
      </c>
      <c r="E17" s="26"/>
      <c r="F17" s="26"/>
      <c r="G17" s="26"/>
      <c r="H17" s="26"/>
      <c r="I17" s="25" t="s">
        <v>275</v>
      </c>
      <c r="J17" s="25"/>
      <c r="K17" s="25"/>
      <c r="L17" s="25"/>
      <c r="M17" s="25"/>
      <c r="N17" s="25"/>
    </row>
    <row r="18" customFormat="false" ht="27.75" hidden="false" customHeight="true" outlineLevel="0" collapsed="false">
      <c r="A18" s="31" t="s">
        <v>67</v>
      </c>
      <c r="B18" s="31" t="s">
        <v>276</v>
      </c>
      <c r="C18" s="31" t="s">
        <v>277</v>
      </c>
      <c r="D18" s="31" t="s">
        <v>278</v>
      </c>
      <c r="E18" s="31" t="s">
        <v>279</v>
      </c>
      <c r="F18" s="31" t="s">
        <v>138</v>
      </c>
      <c r="G18" s="31" t="s">
        <v>280</v>
      </c>
      <c r="H18" s="31" t="s">
        <v>281</v>
      </c>
      <c r="I18" s="31" t="s">
        <v>282</v>
      </c>
      <c r="J18" s="31" t="s">
        <v>68</v>
      </c>
      <c r="K18" s="31" t="s">
        <v>135</v>
      </c>
      <c r="L18" s="31" t="s">
        <v>136</v>
      </c>
      <c r="M18" s="31" t="s">
        <v>137</v>
      </c>
      <c r="N18" s="31" t="s">
        <v>138</v>
      </c>
      <c r="O18" s="31" t="s">
        <v>283</v>
      </c>
    </row>
    <row r="19" customFormat="false" ht="18.75" hidden="false" customHeight="true" outlineLevel="0" collapsed="false">
      <c r="A19" s="42" t="n">
        <v>21</v>
      </c>
      <c r="B19" s="54" t="s">
        <v>284</v>
      </c>
      <c r="C19" s="59" t="n">
        <v>1.5</v>
      </c>
      <c r="D19" s="39" t="n">
        <v>2</v>
      </c>
      <c r="E19" s="43" t="n">
        <v>0.659335461850038</v>
      </c>
      <c r="F19" s="44" t="n">
        <v>1.51667862243309</v>
      </c>
      <c r="G19" s="44" t="n">
        <v>1.32550878926642</v>
      </c>
      <c r="H19" s="58" t="n">
        <v>-0.126045050242739</v>
      </c>
      <c r="I19" s="51" t="n">
        <v>1</v>
      </c>
      <c r="J19" s="60" t="n">
        <v>46297</v>
      </c>
      <c r="K19" s="41" t="s">
        <v>144</v>
      </c>
      <c r="L19" s="41" t="s">
        <v>86</v>
      </c>
      <c r="M19" s="43" t="n">
        <v>0.813649995185065</v>
      </c>
      <c r="N19" s="44" t="n">
        <v>1.22902968833982</v>
      </c>
      <c r="O19" s="51" t="s">
        <v>285</v>
      </c>
    </row>
    <row r="20" customFormat="false" ht="18.75" hidden="false" customHeight="true" outlineLevel="0" collapsed="false">
      <c r="A20" s="42" t="n">
        <v>21</v>
      </c>
      <c r="B20" s="54" t="s">
        <v>284</v>
      </c>
      <c r="C20" s="59" t="n">
        <v>1.5</v>
      </c>
      <c r="D20" s="39" t="n">
        <v>2</v>
      </c>
      <c r="E20" s="43" t="n">
        <v>0.659335461850038</v>
      </c>
      <c r="F20" s="44" t="n">
        <v>1.51667862243309</v>
      </c>
      <c r="G20" s="44" t="n">
        <v>1.32550878926642</v>
      </c>
      <c r="H20" s="58" t="n">
        <v>-0.126045050242739</v>
      </c>
      <c r="I20" s="51" t="n">
        <v>2</v>
      </c>
      <c r="J20" s="60" t="n">
        <v>46298</v>
      </c>
      <c r="K20" s="41" t="s">
        <v>147</v>
      </c>
      <c r="L20" s="41" t="s">
        <v>86</v>
      </c>
      <c r="M20" s="43" t="n">
        <v>0.810342857188946</v>
      </c>
      <c r="N20" s="44" t="n">
        <v>1.23404555383997</v>
      </c>
      <c r="O20" s="51" t="s">
        <v>285</v>
      </c>
    </row>
    <row r="21" customFormat="false" ht="18.75" hidden="false" customHeight="true" outlineLevel="0" collapsed="false">
      <c r="A21" s="35" t="n">
        <v>21</v>
      </c>
      <c r="B21" s="53" t="s">
        <v>286</v>
      </c>
      <c r="C21" s="61" t="n">
        <v>2</v>
      </c>
      <c r="D21" s="32" t="n">
        <v>2</v>
      </c>
      <c r="E21" s="36" t="n">
        <v>0.501315497738017</v>
      </c>
      <c r="F21" s="37" t="n">
        <v>1.99475181699368</v>
      </c>
      <c r="G21" s="37" t="n">
        <v>1.74332322399892</v>
      </c>
      <c r="H21" s="57" t="n">
        <v>-0.126045050242739</v>
      </c>
      <c r="I21" s="50" t="n">
        <v>1</v>
      </c>
      <c r="J21" s="62" t="n">
        <v>46233</v>
      </c>
      <c r="K21" s="34" t="s">
        <v>139</v>
      </c>
      <c r="L21" s="34" t="s">
        <v>145</v>
      </c>
      <c r="M21" s="36" t="n">
        <v>0.704133732116288</v>
      </c>
      <c r="N21" s="37" t="n">
        <v>1.42018476659892</v>
      </c>
      <c r="O21" s="50" t="s">
        <v>285</v>
      </c>
    </row>
    <row r="22" customFormat="false" ht="18.75" hidden="false" customHeight="true" outlineLevel="0" collapsed="false">
      <c r="A22" s="35" t="n">
        <v>21</v>
      </c>
      <c r="B22" s="53" t="s">
        <v>286</v>
      </c>
      <c r="C22" s="61" t="n">
        <v>2</v>
      </c>
      <c r="D22" s="32" t="n">
        <v>2</v>
      </c>
      <c r="E22" s="36" t="n">
        <v>0.501315497738017</v>
      </c>
      <c r="F22" s="37" t="n">
        <v>1.99475181699368</v>
      </c>
      <c r="G22" s="37" t="n">
        <v>1.74332322399892</v>
      </c>
      <c r="H22" s="57" t="n">
        <v>-0.126045050242739</v>
      </c>
      <c r="I22" s="50" t="n">
        <v>2</v>
      </c>
      <c r="J22" s="62" t="n">
        <v>46298</v>
      </c>
      <c r="K22" s="34" t="s">
        <v>147</v>
      </c>
      <c r="L22" s="34" t="s">
        <v>107</v>
      </c>
      <c r="M22" s="36" t="n">
        <v>0.711960633147489</v>
      </c>
      <c r="N22" s="37" t="n">
        <v>1.40457204154551</v>
      </c>
      <c r="O22" s="50" t="s">
        <v>285</v>
      </c>
    </row>
    <row r="23" customFormat="false" ht="18.75" hidden="false" customHeight="true" outlineLevel="0" collapsed="false">
      <c r="A23" s="42" t="n">
        <v>21</v>
      </c>
      <c r="B23" s="54" t="s">
        <v>287</v>
      </c>
      <c r="C23" s="59" t="n">
        <v>3</v>
      </c>
      <c r="D23" s="39" t="n">
        <v>2</v>
      </c>
      <c r="E23" s="43" t="n">
        <v>0.328979167490917</v>
      </c>
      <c r="F23" s="44" t="n">
        <v>3.03970615412178</v>
      </c>
      <c r="G23" s="44" t="n">
        <v>2.65656623920234</v>
      </c>
      <c r="H23" s="58" t="n">
        <v>-0.126045050242739</v>
      </c>
      <c r="I23" s="51" t="n">
        <v>1</v>
      </c>
      <c r="J23" s="60" t="n">
        <v>46297</v>
      </c>
      <c r="K23" s="41" t="s">
        <v>144</v>
      </c>
      <c r="L23" s="41" t="s">
        <v>163</v>
      </c>
      <c r="M23" s="43" t="n">
        <v>0.577583467972246</v>
      </c>
      <c r="N23" s="44" t="n">
        <v>1.73135149368239</v>
      </c>
      <c r="O23" s="51" t="s">
        <v>288</v>
      </c>
    </row>
    <row r="24" customFormat="false" ht="18.75" hidden="false" customHeight="true" outlineLevel="0" collapsed="false">
      <c r="A24" s="42" t="n">
        <v>21</v>
      </c>
      <c r="B24" s="54" t="s">
        <v>287</v>
      </c>
      <c r="C24" s="59" t="n">
        <v>3</v>
      </c>
      <c r="D24" s="39" t="n">
        <v>2</v>
      </c>
      <c r="E24" s="43" t="n">
        <v>0.328979167490917</v>
      </c>
      <c r="F24" s="44" t="n">
        <v>3.03970615412178</v>
      </c>
      <c r="G24" s="44" t="n">
        <v>2.65656623920234</v>
      </c>
      <c r="H24" s="58" t="n">
        <v>-0.126045050242739</v>
      </c>
      <c r="I24" s="51" t="n">
        <v>2</v>
      </c>
      <c r="J24" s="60" t="n">
        <v>46233</v>
      </c>
      <c r="K24" s="41" t="s">
        <v>139</v>
      </c>
      <c r="L24" s="41" t="s">
        <v>175</v>
      </c>
      <c r="M24" s="43" t="n">
        <v>0.569578573025788</v>
      </c>
      <c r="N24" s="44" t="n">
        <v>1.75568402211423</v>
      </c>
      <c r="O24" s="51" t="s">
        <v>288</v>
      </c>
    </row>
    <row r="25" customFormat="false" ht="18.75" hidden="false" customHeight="true" outlineLevel="0" collapsed="false">
      <c r="A25" s="35" t="n">
        <v>21</v>
      </c>
      <c r="B25" s="53" t="s">
        <v>289</v>
      </c>
      <c r="C25" s="61" t="n">
        <v>5</v>
      </c>
      <c r="D25" s="32" t="n">
        <v>2</v>
      </c>
      <c r="E25" s="36" t="n">
        <v>0.201400435221833</v>
      </c>
      <c r="F25" s="37" t="n">
        <v>4.9652325671419</v>
      </c>
      <c r="G25" s="37" t="n">
        <v>4.33938957874962</v>
      </c>
      <c r="H25" s="57" t="n">
        <v>-0.126045050242739</v>
      </c>
      <c r="I25" s="50" t="n">
        <v>1</v>
      </c>
      <c r="J25" s="62" t="n">
        <v>46298</v>
      </c>
      <c r="K25" s="34" t="s">
        <v>147</v>
      </c>
      <c r="L25" s="34" t="s">
        <v>142</v>
      </c>
      <c r="M25" s="36" t="n">
        <v>0.44275694737679</v>
      </c>
      <c r="N25" s="37" t="n">
        <v>2.25857551400315</v>
      </c>
      <c r="O25" s="50" t="s">
        <v>285</v>
      </c>
    </row>
    <row r="26" customFormat="false" ht="18.75" hidden="false" customHeight="true" outlineLevel="0" collapsed="false">
      <c r="A26" s="35" t="n">
        <v>21</v>
      </c>
      <c r="B26" s="53" t="s">
        <v>289</v>
      </c>
      <c r="C26" s="61" t="n">
        <v>5</v>
      </c>
      <c r="D26" s="32" t="n">
        <v>2</v>
      </c>
      <c r="E26" s="36" t="n">
        <v>0.201400435221833</v>
      </c>
      <c r="F26" s="37" t="n">
        <v>4.9652325671419</v>
      </c>
      <c r="G26" s="37" t="n">
        <v>4.33938957874962</v>
      </c>
      <c r="H26" s="57" t="n">
        <v>-0.126045050242739</v>
      </c>
      <c r="I26" s="50" t="n">
        <v>2</v>
      </c>
      <c r="J26" s="62" t="n">
        <v>46297</v>
      </c>
      <c r="K26" s="34" t="s">
        <v>144</v>
      </c>
      <c r="L26" s="34" t="s">
        <v>158</v>
      </c>
      <c r="M26" s="36" t="n">
        <v>0.45487809150161</v>
      </c>
      <c r="N26" s="37" t="n">
        <v>2.19839121444357</v>
      </c>
      <c r="O26" s="50" t="s">
        <v>288</v>
      </c>
    </row>
    <row r="27" customFormat="false" ht="18.75" hidden="false" customHeight="true" outlineLevel="0" collapsed="false">
      <c r="A27" s="42" t="n">
        <v>21</v>
      </c>
      <c r="B27" s="54" t="s">
        <v>290</v>
      </c>
      <c r="C27" s="59" t="n">
        <v>10</v>
      </c>
      <c r="D27" s="39" t="n">
        <v>3</v>
      </c>
      <c r="E27" s="43" t="n">
        <v>0.100353931781893</v>
      </c>
      <c r="F27" s="44" t="n">
        <v>9.96473164771838</v>
      </c>
      <c r="G27" s="44" t="n">
        <v>8.14140158016541</v>
      </c>
      <c r="H27" s="58" t="n">
        <v>-0.182978341215085</v>
      </c>
      <c r="I27" s="51" t="n">
        <v>1</v>
      </c>
      <c r="J27" s="60" t="n">
        <v>46233</v>
      </c>
      <c r="K27" s="41" t="s">
        <v>139</v>
      </c>
      <c r="L27" s="41" t="s">
        <v>259</v>
      </c>
      <c r="M27" s="43" t="n">
        <v>0.464443205920466</v>
      </c>
      <c r="N27" s="44" t="n">
        <v>2.15311578951431</v>
      </c>
      <c r="O27" s="51" t="s">
        <v>285</v>
      </c>
    </row>
    <row r="28" customFormat="false" ht="18.75" hidden="false" customHeight="true" outlineLevel="0" collapsed="false">
      <c r="A28" s="42" t="n">
        <v>21</v>
      </c>
      <c r="B28" s="54" t="s">
        <v>290</v>
      </c>
      <c r="C28" s="59" t="n">
        <v>10</v>
      </c>
      <c r="D28" s="39" t="n">
        <v>3</v>
      </c>
      <c r="E28" s="43" t="n">
        <v>0.100353931781893</v>
      </c>
      <c r="F28" s="44" t="n">
        <v>9.96473164771838</v>
      </c>
      <c r="G28" s="44" t="n">
        <v>8.14140158016541</v>
      </c>
      <c r="H28" s="58" t="n">
        <v>-0.182978341215085</v>
      </c>
      <c r="I28" s="51" t="n">
        <v>2</v>
      </c>
      <c r="J28" s="60" t="n">
        <v>46298</v>
      </c>
      <c r="K28" s="41" t="s">
        <v>147</v>
      </c>
      <c r="L28" s="41" t="s">
        <v>150</v>
      </c>
      <c r="M28" s="43" t="n">
        <v>0.462571246213642</v>
      </c>
      <c r="N28" s="44" t="n">
        <v>2.16182914131706</v>
      </c>
      <c r="O28" s="51" t="s">
        <v>285</v>
      </c>
    </row>
    <row r="29" customFormat="false" ht="18.75" hidden="false" customHeight="true" outlineLevel="0" collapsed="false">
      <c r="A29" s="42" t="n">
        <v>21</v>
      </c>
      <c r="B29" s="54" t="s">
        <v>290</v>
      </c>
      <c r="C29" s="59" t="n">
        <v>10</v>
      </c>
      <c r="D29" s="39" t="n">
        <v>3</v>
      </c>
      <c r="E29" s="43" t="n">
        <v>0.100353931781893</v>
      </c>
      <c r="F29" s="44" t="n">
        <v>9.96473164771838</v>
      </c>
      <c r="G29" s="44" t="n">
        <v>8.14140158016541</v>
      </c>
      <c r="H29" s="58" t="n">
        <v>-0.182978341215085</v>
      </c>
      <c r="I29" s="51" t="n">
        <v>3</v>
      </c>
      <c r="J29" s="60" t="n">
        <v>46297</v>
      </c>
      <c r="K29" s="41" t="s">
        <v>144</v>
      </c>
      <c r="L29" s="41" t="s">
        <v>170</v>
      </c>
      <c r="M29" s="43" t="n">
        <v>0.467114280941794</v>
      </c>
      <c r="N29" s="44" t="n">
        <v>2.14080374075441</v>
      </c>
      <c r="O29" s="51" t="s">
        <v>288</v>
      </c>
    </row>
    <row r="30" customFormat="false" ht="18.75" hidden="false" customHeight="true" outlineLevel="0" collapsed="false">
      <c r="A30" s="35" t="n">
        <v>29</v>
      </c>
      <c r="B30" s="53" t="s">
        <v>284</v>
      </c>
      <c r="C30" s="61" t="n">
        <v>1.5</v>
      </c>
      <c r="D30" s="32" t="n">
        <v>2</v>
      </c>
      <c r="E30" s="36" t="n">
        <v>0.667016563384686</v>
      </c>
      <c r="F30" s="37" t="n">
        <v>1.49921314536124</v>
      </c>
      <c r="G30" s="37" t="n">
        <v>1.31024474912961</v>
      </c>
      <c r="H30" s="57" t="n">
        <v>-0.126045050242739</v>
      </c>
      <c r="I30" s="50" t="n">
        <v>1</v>
      </c>
      <c r="J30" s="62" t="n">
        <v>46302</v>
      </c>
      <c r="K30" s="34" t="s">
        <v>148</v>
      </c>
      <c r="L30" s="34" t="s">
        <v>86</v>
      </c>
      <c r="M30" s="36" t="n">
        <v>0.815370185648016</v>
      </c>
      <c r="N30" s="37" t="n">
        <v>1.22643679840372</v>
      </c>
      <c r="O30" s="50" t="s">
        <v>285</v>
      </c>
    </row>
    <row r="31" customFormat="false" ht="18.75" hidden="false" customHeight="true" outlineLevel="0" collapsed="false">
      <c r="A31" s="35" t="n">
        <v>29</v>
      </c>
      <c r="B31" s="53" t="s">
        <v>284</v>
      </c>
      <c r="C31" s="61" t="n">
        <v>1.5</v>
      </c>
      <c r="D31" s="32" t="n">
        <v>2</v>
      </c>
      <c r="E31" s="36" t="n">
        <v>0.667016563384686</v>
      </c>
      <c r="F31" s="37" t="n">
        <v>1.49921314536124</v>
      </c>
      <c r="G31" s="37" t="n">
        <v>1.31024474912961</v>
      </c>
      <c r="H31" s="57" t="n">
        <v>-0.126045050242739</v>
      </c>
      <c r="I31" s="50" t="n">
        <v>2</v>
      </c>
      <c r="J31" s="62" t="n">
        <v>46302</v>
      </c>
      <c r="K31" s="34" t="s">
        <v>157</v>
      </c>
      <c r="L31" s="34" t="s">
        <v>86</v>
      </c>
      <c r="M31" s="36" t="n">
        <v>0.818053658479767</v>
      </c>
      <c r="N31" s="37" t="n">
        <v>1.22241370065914</v>
      </c>
      <c r="O31" s="50" t="s">
        <v>285</v>
      </c>
    </row>
    <row r="32" customFormat="false" ht="18.75" hidden="false" customHeight="true" outlineLevel="0" collapsed="false">
      <c r="A32" s="42" t="n">
        <v>29</v>
      </c>
      <c r="B32" s="54" t="s">
        <v>286</v>
      </c>
      <c r="C32" s="59" t="n">
        <v>2</v>
      </c>
      <c r="D32" s="39" t="n">
        <v>2</v>
      </c>
      <c r="E32" s="43" t="n">
        <v>0.499780376313151</v>
      </c>
      <c r="F32" s="44" t="n">
        <v>2.00087888079348</v>
      </c>
      <c r="G32" s="44" t="n">
        <v>1.74867800173423</v>
      </c>
      <c r="H32" s="58" t="n">
        <v>-0.126045050242739</v>
      </c>
      <c r="I32" s="51" t="n">
        <v>1</v>
      </c>
      <c r="J32" s="60" t="n">
        <v>46302</v>
      </c>
      <c r="K32" s="41" t="s">
        <v>151</v>
      </c>
      <c r="L32" s="41" t="s">
        <v>145</v>
      </c>
      <c r="M32" s="43" t="n">
        <v>0.708368937206021</v>
      </c>
      <c r="N32" s="44" t="n">
        <v>1.4116937480972</v>
      </c>
      <c r="O32" s="51" t="s">
        <v>285</v>
      </c>
    </row>
    <row r="33" customFormat="false" ht="18.75" hidden="false" customHeight="true" outlineLevel="0" collapsed="false">
      <c r="A33" s="42" t="n">
        <v>29</v>
      </c>
      <c r="B33" s="54" t="s">
        <v>286</v>
      </c>
      <c r="C33" s="59" t="n">
        <v>2</v>
      </c>
      <c r="D33" s="39" t="n">
        <v>2</v>
      </c>
      <c r="E33" s="43" t="n">
        <v>0.499780376313151</v>
      </c>
      <c r="F33" s="44" t="n">
        <v>2.00087888079348</v>
      </c>
      <c r="G33" s="44" t="n">
        <v>1.74867800173423</v>
      </c>
      <c r="H33" s="58" t="n">
        <v>-0.126045050242739</v>
      </c>
      <c r="I33" s="51" t="n">
        <v>2</v>
      </c>
      <c r="J33" s="60" t="n">
        <v>46302</v>
      </c>
      <c r="K33" s="41" t="s">
        <v>162</v>
      </c>
      <c r="L33" s="41" t="s">
        <v>154</v>
      </c>
      <c r="M33" s="43" t="n">
        <v>0.705536832662943</v>
      </c>
      <c r="N33" s="44" t="n">
        <v>1.41736044626565</v>
      </c>
      <c r="O33" s="51" t="s">
        <v>285</v>
      </c>
    </row>
    <row r="34" customFormat="false" ht="18.75" hidden="false" customHeight="true" outlineLevel="0" collapsed="false">
      <c r="A34" s="35" t="n">
        <v>29</v>
      </c>
      <c r="B34" s="53" t="s">
        <v>287</v>
      </c>
      <c r="C34" s="61" t="n">
        <v>3</v>
      </c>
      <c r="D34" s="32" t="n">
        <v>2</v>
      </c>
      <c r="E34" s="36" t="n">
        <v>0.331316640993125</v>
      </c>
      <c r="F34" s="37" t="n">
        <v>3.01826070976239</v>
      </c>
      <c r="G34" s="37" t="n">
        <v>2.63782388695471</v>
      </c>
      <c r="H34" s="57" t="n">
        <v>-0.126045050242739</v>
      </c>
      <c r="I34" s="50" t="n">
        <v>1</v>
      </c>
      <c r="J34" s="62" t="n">
        <v>46302</v>
      </c>
      <c r="K34" s="34" t="s">
        <v>162</v>
      </c>
      <c r="L34" s="34" t="s">
        <v>291</v>
      </c>
      <c r="M34" s="36" t="n">
        <v>0.577939882187782</v>
      </c>
      <c r="N34" s="37" t="n">
        <v>1.73028377314006</v>
      </c>
      <c r="O34" s="50" t="s">
        <v>285</v>
      </c>
    </row>
    <row r="35" customFormat="false" ht="18.75" hidden="false" customHeight="true" outlineLevel="0" collapsed="false">
      <c r="A35" s="35" t="n">
        <v>29</v>
      </c>
      <c r="B35" s="53" t="s">
        <v>287</v>
      </c>
      <c r="C35" s="61" t="n">
        <v>3</v>
      </c>
      <c r="D35" s="32" t="n">
        <v>2</v>
      </c>
      <c r="E35" s="36" t="n">
        <v>0.331316640993125</v>
      </c>
      <c r="F35" s="37" t="n">
        <v>3.01826070976239</v>
      </c>
      <c r="G35" s="37" t="n">
        <v>2.63782388695471</v>
      </c>
      <c r="H35" s="57" t="n">
        <v>-0.126045050242739</v>
      </c>
      <c r="I35" s="50" t="n">
        <v>2</v>
      </c>
      <c r="J35" s="62" t="n">
        <v>46302</v>
      </c>
      <c r="K35" s="34" t="s">
        <v>148</v>
      </c>
      <c r="L35" s="34" t="s">
        <v>155</v>
      </c>
      <c r="M35" s="36" t="n">
        <v>0.573271807681676</v>
      </c>
      <c r="N35" s="37" t="n">
        <v>1.74437323901209</v>
      </c>
      <c r="O35" s="50" t="s">
        <v>285</v>
      </c>
    </row>
    <row r="36" customFormat="false" ht="18.75" hidden="false" customHeight="true" outlineLevel="0" collapsed="false">
      <c r="A36" s="42" t="n">
        <v>29</v>
      </c>
      <c r="B36" s="54" t="s">
        <v>289</v>
      </c>
      <c r="C36" s="59" t="n">
        <v>5</v>
      </c>
      <c r="D36" s="39" t="n">
        <v>2</v>
      </c>
      <c r="E36" s="43" t="n">
        <v>0.199120478997421</v>
      </c>
      <c r="F36" s="44" t="n">
        <v>5.02208514681683</v>
      </c>
      <c r="G36" s="44" t="n">
        <v>4.38907617216299</v>
      </c>
      <c r="H36" s="58" t="n">
        <v>-0.126045050242739</v>
      </c>
      <c r="I36" s="51" t="n">
        <v>1</v>
      </c>
      <c r="J36" s="60" t="n">
        <v>46302</v>
      </c>
      <c r="K36" s="41" t="s">
        <v>157</v>
      </c>
      <c r="L36" s="41" t="s">
        <v>170</v>
      </c>
      <c r="M36" s="43" t="n">
        <v>0.447930418294902</v>
      </c>
      <c r="N36" s="44" t="n">
        <v>2.23248959918063</v>
      </c>
      <c r="O36" s="51" t="s">
        <v>288</v>
      </c>
    </row>
    <row r="37" customFormat="false" ht="18.75" hidden="false" customHeight="true" outlineLevel="0" collapsed="false">
      <c r="A37" s="42" t="n">
        <v>29</v>
      </c>
      <c r="B37" s="54" t="s">
        <v>289</v>
      </c>
      <c r="C37" s="59" t="n">
        <v>5</v>
      </c>
      <c r="D37" s="39" t="n">
        <v>2</v>
      </c>
      <c r="E37" s="43" t="n">
        <v>0.199120478997421</v>
      </c>
      <c r="F37" s="44" t="n">
        <v>5.02208514681683</v>
      </c>
      <c r="G37" s="44" t="n">
        <v>4.38907617216299</v>
      </c>
      <c r="H37" s="58" t="n">
        <v>-0.126045050242739</v>
      </c>
      <c r="I37" s="51" t="n">
        <v>2</v>
      </c>
      <c r="J37" s="60" t="n">
        <v>46302</v>
      </c>
      <c r="K37" s="41" t="s">
        <v>169</v>
      </c>
      <c r="L37" s="41" t="s">
        <v>188</v>
      </c>
      <c r="M37" s="43" t="n">
        <v>0.444534398345608</v>
      </c>
      <c r="N37" s="44" t="n">
        <v>2.24954470052628</v>
      </c>
      <c r="O37" s="51" t="s">
        <v>288</v>
      </c>
    </row>
    <row r="38" customFormat="false" ht="18.75" hidden="false" customHeight="true" outlineLevel="0" collapsed="false">
      <c r="A38" s="35" t="n">
        <v>29</v>
      </c>
      <c r="B38" s="53" t="s">
        <v>290</v>
      </c>
      <c r="C38" s="61" t="n">
        <v>10</v>
      </c>
      <c r="D38" s="32" t="n">
        <v>3</v>
      </c>
      <c r="E38" s="36" t="n">
        <v>0.0998690661753993</v>
      </c>
      <c r="F38" s="37" t="n">
        <v>10.0131105486028</v>
      </c>
      <c r="G38" s="37" t="n">
        <v>8.18092819001618</v>
      </c>
      <c r="H38" s="57" t="n">
        <v>-0.182978341215085</v>
      </c>
      <c r="I38" s="50" t="n">
        <v>1</v>
      </c>
      <c r="J38" s="62" t="n">
        <v>46302</v>
      </c>
      <c r="K38" s="34" t="s">
        <v>160</v>
      </c>
      <c r="L38" s="34" t="s">
        <v>259</v>
      </c>
      <c r="M38" s="36" t="n">
        <v>0.464536252150762</v>
      </c>
      <c r="N38" s="37" t="n">
        <v>2.15268452218764</v>
      </c>
      <c r="O38" s="50" t="s">
        <v>285</v>
      </c>
    </row>
    <row r="39" customFormat="false" ht="18.75" hidden="false" customHeight="true" outlineLevel="0" collapsed="false">
      <c r="A39" s="35" t="n">
        <v>29</v>
      </c>
      <c r="B39" s="53" t="s">
        <v>290</v>
      </c>
      <c r="C39" s="61" t="n">
        <v>10</v>
      </c>
      <c r="D39" s="32" t="n">
        <v>3</v>
      </c>
      <c r="E39" s="36" t="n">
        <v>0.0998690661753993</v>
      </c>
      <c r="F39" s="37" t="n">
        <v>10.0131105486028</v>
      </c>
      <c r="G39" s="37" t="n">
        <v>8.18092819001618</v>
      </c>
      <c r="H39" s="57" t="n">
        <v>-0.182978341215085</v>
      </c>
      <c r="I39" s="50" t="n">
        <v>2</v>
      </c>
      <c r="J39" s="62" t="n">
        <v>46302</v>
      </c>
      <c r="K39" s="34" t="s">
        <v>165</v>
      </c>
      <c r="L39" s="34" t="s">
        <v>175</v>
      </c>
      <c r="M39" s="36" t="n">
        <v>0.463688511809297</v>
      </c>
      <c r="N39" s="37" t="n">
        <v>2.15662017611356</v>
      </c>
      <c r="O39" s="50" t="s">
        <v>288</v>
      </c>
    </row>
    <row r="40" customFormat="false" ht="18.75" hidden="false" customHeight="true" outlineLevel="0" collapsed="false">
      <c r="A40" s="35" t="n">
        <v>29</v>
      </c>
      <c r="B40" s="53" t="s">
        <v>290</v>
      </c>
      <c r="C40" s="61" t="n">
        <v>10</v>
      </c>
      <c r="D40" s="32" t="n">
        <v>3</v>
      </c>
      <c r="E40" s="36" t="n">
        <v>0.0998690661753993</v>
      </c>
      <c r="F40" s="37" t="n">
        <v>10.0131105486028</v>
      </c>
      <c r="G40" s="37" t="n">
        <v>8.18092819001618</v>
      </c>
      <c r="H40" s="57" t="n">
        <v>-0.182978341215085</v>
      </c>
      <c r="I40" s="50" t="n">
        <v>3</v>
      </c>
      <c r="J40" s="62" t="n">
        <v>46302</v>
      </c>
      <c r="K40" s="34" t="s">
        <v>167</v>
      </c>
      <c r="L40" s="34" t="s">
        <v>292</v>
      </c>
      <c r="M40" s="36" t="n">
        <v>0.463644424060119</v>
      </c>
      <c r="N40" s="37" t="n">
        <v>2.15682524819997</v>
      </c>
      <c r="O40" s="50" t="s">
        <v>285</v>
      </c>
    </row>
    <row r="41" customFormat="false" ht="18.75" hidden="false" customHeight="true" outlineLevel="0" collapsed="false">
      <c r="A41" s="42" t="n">
        <v>29</v>
      </c>
      <c r="B41" s="54" t="s">
        <v>293</v>
      </c>
      <c r="C41" s="59" t="n">
        <v>25</v>
      </c>
      <c r="D41" s="39" t="n">
        <v>4</v>
      </c>
      <c r="E41" s="43" t="n">
        <v>0.0405816726455115</v>
      </c>
      <c r="F41" s="44" t="n">
        <v>24.6416654319596</v>
      </c>
      <c r="G41" s="44" t="n">
        <v>18.8212363959743</v>
      </c>
      <c r="H41" s="58" t="n">
        <v>-0.236202745794783</v>
      </c>
      <c r="I41" s="51" t="n">
        <v>1</v>
      </c>
      <c r="J41" s="60" t="n">
        <v>46302</v>
      </c>
      <c r="K41" s="41" t="s">
        <v>157</v>
      </c>
      <c r="L41" s="41" t="s">
        <v>170</v>
      </c>
      <c r="M41" s="43" t="n">
        <v>0.447930418294902</v>
      </c>
      <c r="N41" s="44" t="n">
        <v>2.23248959918063</v>
      </c>
      <c r="O41" s="51" t="s">
        <v>288</v>
      </c>
    </row>
    <row r="42" customFormat="false" ht="18.75" hidden="false" customHeight="true" outlineLevel="0" collapsed="false">
      <c r="A42" s="42" t="n">
        <v>29</v>
      </c>
      <c r="B42" s="54" t="s">
        <v>293</v>
      </c>
      <c r="C42" s="59" t="n">
        <v>25</v>
      </c>
      <c r="D42" s="39" t="n">
        <v>4</v>
      </c>
      <c r="E42" s="43" t="n">
        <v>0.0405816726455115</v>
      </c>
      <c r="F42" s="44" t="n">
        <v>24.6416654319596</v>
      </c>
      <c r="G42" s="44" t="n">
        <v>18.8212363959743</v>
      </c>
      <c r="H42" s="58" t="n">
        <v>-0.236202745794783</v>
      </c>
      <c r="I42" s="51" t="n">
        <v>2</v>
      </c>
      <c r="J42" s="60" t="n">
        <v>46302</v>
      </c>
      <c r="K42" s="41" t="s">
        <v>169</v>
      </c>
      <c r="L42" s="41" t="s">
        <v>188</v>
      </c>
      <c r="M42" s="43" t="n">
        <v>0.444534398345608</v>
      </c>
      <c r="N42" s="44" t="n">
        <v>2.24954470052628</v>
      </c>
      <c r="O42" s="51" t="s">
        <v>288</v>
      </c>
    </row>
    <row r="43" customFormat="false" ht="18.75" hidden="false" customHeight="true" outlineLevel="0" collapsed="false">
      <c r="A43" s="42" t="n">
        <v>29</v>
      </c>
      <c r="B43" s="54" t="s">
        <v>293</v>
      </c>
      <c r="C43" s="59" t="n">
        <v>25</v>
      </c>
      <c r="D43" s="39" t="n">
        <v>4</v>
      </c>
      <c r="E43" s="43" t="n">
        <v>0.0405816726455115</v>
      </c>
      <c r="F43" s="44" t="n">
        <v>24.6416654319596</v>
      </c>
      <c r="G43" s="44" t="n">
        <v>18.8212363959743</v>
      </c>
      <c r="H43" s="58" t="n">
        <v>-0.236202745794783</v>
      </c>
      <c r="I43" s="51" t="n">
        <v>3</v>
      </c>
      <c r="J43" s="60" t="n">
        <v>46302</v>
      </c>
      <c r="K43" s="41" t="s">
        <v>167</v>
      </c>
      <c r="L43" s="41" t="s">
        <v>159</v>
      </c>
      <c r="M43" s="43" t="n">
        <v>0.451262114963939</v>
      </c>
      <c r="N43" s="44" t="n">
        <v>2.21600698760168</v>
      </c>
      <c r="O43" s="51" t="s">
        <v>285</v>
      </c>
    </row>
    <row r="44" customFormat="false" ht="18.75" hidden="false" customHeight="true" outlineLevel="0" collapsed="false">
      <c r="A44" s="42" t="n">
        <v>29</v>
      </c>
      <c r="B44" s="54" t="s">
        <v>293</v>
      </c>
      <c r="C44" s="59" t="n">
        <v>25</v>
      </c>
      <c r="D44" s="39" t="n">
        <v>4</v>
      </c>
      <c r="E44" s="43" t="n">
        <v>0.0405816726455115</v>
      </c>
      <c r="F44" s="44" t="n">
        <v>24.6416654319596</v>
      </c>
      <c r="G44" s="44" t="n">
        <v>18.8212363959743</v>
      </c>
      <c r="H44" s="58" t="n">
        <v>-0.236202745794783</v>
      </c>
      <c r="I44" s="51" t="n">
        <v>4</v>
      </c>
      <c r="J44" s="60" t="n">
        <v>46302</v>
      </c>
      <c r="K44" s="41" t="s">
        <v>151</v>
      </c>
      <c r="L44" s="41" t="s">
        <v>155</v>
      </c>
      <c r="M44" s="43" t="n">
        <v>0.451632451889502</v>
      </c>
      <c r="N44" s="44" t="n">
        <v>2.2141898701395</v>
      </c>
      <c r="O44" s="51" t="s">
        <v>285</v>
      </c>
    </row>
    <row r="45" customFormat="false" ht="18.75" hidden="false" customHeight="true" outlineLevel="0" collapsed="false">
      <c r="A45" s="35" t="n">
        <v>29</v>
      </c>
      <c r="B45" s="53" t="s">
        <v>294</v>
      </c>
      <c r="C45" s="61" t="n">
        <v>50</v>
      </c>
      <c r="D45" s="32" t="n">
        <v>4</v>
      </c>
      <c r="E45" s="36" t="n">
        <v>0.0198965330134895</v>
      </c>
      <c r="F45" s="37" t="n">
        <v>50.260012602297</v>
      </c>
      <c r="G45" s="37" t="n">
        <v>38.388459621954</v>
      </c>
      <c r="H45" s="57" t="n">
        <v>-0.236202745794783</v>
      </c>
      <c r="I45" s="50" t="n">
        <v>1</v>
      </c>
      <c r="J45" s="62" t="n">
        <v>46302</v>
      </c>
      <c r="K45" s="34" t="s">
        <v>166</v>
      </c>
      <c r="L45" s="34" t="s">
        <v>146</v>
      </c>
      <c r="M45" s="36" t="n">
        <v>0.374996083769495</v>
      </c>
      <c r="N45" s="37" t="n">
        <v>2.66669451570776</v>
      </c>
      <c r="O45" s="50" t="s">
        <v>285</v>
      </c>
    </row>
    <row r="46" customFormat="false" ht="18.75" hidden="false" customHeight="true" outlineLevel="0" collapsed="false">
      <c r="A46" s="35" t="n">
        <v>29</v>
      </c>
      <c r="B46" s="53" t="s">
        <v>294</v>
      </c>
      <c r="C46" s="61" t="n">
        <v>50</v>
      </c>
      <c r="D46" s="32" t="n">
        <v>4</v>
      </c>
      <c r="E46" s="36" t="n">
        <v>0.0198965330134895</v>
      </c>
      <c r="F46" s="37" t="n">
        <v>50.260012602297</v>
      </c>
      <c r="G46" s="37" t="n">
        <v>38.388459621954</v>
      </c>
      <c r="H46" s="57" t="n">
        <v>-0.236202745794783</v>
      </c>
      <c r="I46" s="50" t="n">
        <v>2</v>
      </c>
      <c r="J46" s="62" t="n">
        <v>46302</v>
      </c>
      <c r="K46" s="34" t="s">
        <v>165</v>
      </c>
      <c r="L46" s="34" t="s">
        <v>146</v>
      </c>
      <c r="M46" s="36" t="n">
        <v>0.374083223545097</v>
      </c>
      <c r="N46" s="37" t="n">
        <v>2.67320194293462</v>
      </c>
      <c r="O46" s="50" t="s">
        <v>285</v>
      </c>
    </row>
    <row r="47" customFormat="false" ht="18.75" hidden="false" customHeight="true" outlineLevel="0" collapsed="false">
      <c r="A47" s="35" t="n">
        <v>29</v>
      </c>
      <c r="B47" s="53" t="s">
        <v>294</v>
      </c>
      <c r="C47" s="61" t="n">
        <v>50</v>
      </c>
      <c r="D47" s="32" t="n">
        <v>4</v>
      </c>
      <c r="E47" s="36" t="n">
        <v>0.0198965330134895</v>
      </c>
      <c r="F47" s="37" t="n">
        <v>50.260012602297</v>
      </c>
      <c r="G47" s="37" t="n">
        <v>38.388459621954</v>
      </c>
      <c r="H47" s="57" t="n">
        <v>-0.236202745794783</v>
      </c>
      <c r="I47" s="50" t="n">
        <v>3</v>
      </c>
      <c r="J47" s="62" t="n">
        <v>46302</v>
      </c>
      <c r="K47" s="34" t="s">
        <v>160</v>
      </c>
      <c r="L47" s="34" t="s">
        <v>110</v>
      </c>
      <c r="M47" s="36" t="n">
        <v>0.372772247477984</v>
      </c>
      <c r="N47" s="37" t="n">
        <v>2.68260313573654</v>
      </c>
      <c r="O47" s="50" t="s">
        <v>285</v>
      </c>
    </row>
    <row r="48" customFormat="false" ht="18.75" hidden="false" customHeight="true" outlineLevel="0" collapsed="false">
      <c r="A48" s="35" t="n">
        <v>29</v>
      </c>
      <c r="B48" s="53" t="s">
        <v>294</v>
      </c>
      <c r="C48" s="61" t="n">
        <v>50</v>
      </c>
      <c r="D48" s="32" t="n">
        <v>4</v>
      </c>
      <c r="E48" s="36" t="n">
        <v>0.0198965330134895</v>
      </c>
      <c r="F48" s="37" t="n">
        <v>50.260012602297</v>
      </c>
      <c r="G48" s="37" t="n">
        <v>38.388459621954</v>
      </c>
      <c r="H48" s="57" t="n">
        <v>-0.236202745794783</v>
      </c>
      <c r="I48" s="50" t="n">
        <v>4</v>
      </c>
      <c r="J48" s="62" t="n">
        <v>46302</v>
      </c>
      <c r="K48" s="34" t="s">
        <v>148</v>
      </c>
      <c r="L48" s="34" t="s">
        <v>158</v>
      </c>
      <c r="M48" s="36" t="n">
        <v>0.380486165669843</v>
      </c>
      <c r="N48" s="37" t="n">
        <v>2.62821645102262</v>
      </c>
      <c r="O48" s="50" t="s">
        <v>288</v>
      </c>
    </row>
    <row r="49" customFormat="false" ht="18.75" hidden="false" customHeight="true" outlineLevel="0" collapsed="false">
      <c r="A49" s="42" t="n">
        <v>29</v>
      </c>
      <c r="B49" s="54" t="s">
        <v>295</v>
      </c>
      <c r="C49" s="59" t="n">
        <v>100</v>
      </c>
      <c r="D49" s="39" t="n">
        <v>5</v>
      </c>
      <c r="E49" s="43" t="n">
        <v>0.0101018744643642</v>
      </c>
      <c r="F49" s="44" t="n">
        <v>98.9915290996382</v>
      </c>
      <c r="G49" s="44" t="n">
        <v>70.6839235899084</v>
      </c>
      <c r="H49" s="58" t="n">
        <v>-0.285959877246035</v>
      </c>
      <c r="I49" s="51" t="n">
        <v>1</v>
      </c>
      <c r="J49" s="60" t="n">
        <v>46302</v>
      </c>
      <c r="K49" s="41" t="s">
        <v>151</v>
      </c>
      <c r="L49" s="41" t="s">
        <v>150</v>
      </c>
      <c r="M49" s="43" t="n">
        <v>0.396470262864833</v>
      </c>
      <c r="N49" s="44" t="n">
        <v>2.52225726281249</v>
      </c>
      <c r="O49" s="51" t="s">
        <v>285</v>
      </c>
    </row>
    <row r="50" customFormat="false" ht="18.75" hidden="false" customHeight="true" outlineLevel="0" collapsed="false">
      <c r="A50" s="42" t="n">
        <v>29</v>
      </c>
      <c r="B50" s="54" t="s">
        <v>295</v>
      </c>
      <c r="C50" s="59" t="n">
        <v>100</v>
      </c>
      <c r="D50" s="39" t="n">
        <v>5</v>
      </c>
      <c r="E50" s="43" t="n">
        <v>0.0101018744643642</v>
      </c>
      <c r="F50" s="44" t="n">
        <v>98.9915290996382</v>
      </c>
      <c r="G50" s="44" t="n">
        <v>70.6839235899084</v>
      </c>
      <c r="H50" s="58" t="n">
        <v>-0.285959877246035</v>
      </c>
      <c r="I50" s="51" t="n">
        <v>2</v>
      </c>
      <c r="J50" s="60" t="n">
        <v>46302</v>
      </c>
      <c r="K50" s="41" t="s">
        <v>148</v>
      </c>
      <c r="L50" s="41" t="s">
        <v>159</v>
      </c>
      <c r="M50" s="43" t="n">
        <v>0.391869858980812</v>
      </c>
      <c r="N50" s="44" t="n">
        <v>2.5518676088047</v>
      </c>
      <c r="O50" s="51" t="s">
        <v>285</v>
      </c>
    </row>
    <row r="51" customFormat="false" ht="18.75" hidden="false" customHeight="true" outlineLevel="0" collapsed="false">
      <c r="A51" s="42" t="n">
        <v>29</v>
      </c>
      <c r="B51" s="54" t="s">
        <v>295</v>
      </c>
      <c r="C51" s="59" t="n">
        <v>100</v>
      </c>
      <c r="D51" s="39" t="n">
        <v>5</v>
      </c>
      <c r="E51" s="43" t="n">
        <v>0.0101018744643642</v>
      </c>
      <c r="F51" s="44" t="n">
        <v>98.9915290996382</v>
      </c>
      <c r="G51" s="44" t="n">
        <v>70.6839235899084</v>
      </c>
      <c r="H51" s="58" t="n">
        <v>-0.285959877246035</v>
      </c>
      <c r="I51" s="51" t="n">
        <v>3</v>
      </c>
      <c r="J51" s="60" t="n">
        <v>46302</v>
      </c>
      <c r="K51" s="41" t="s">
        <v>162</v>
      </c>
      <c r="L51" s="41" t="s">
        <v>170</v>
      </c>
      <c r="M51" s="43" t="n">
        <v>0.391782980114964</v>
      </c>
      <c r="N51" s="44" t="n">
        <v>2.55243349189534</v>
      </c>
      <c r="O51" s="51" t="s">
        <v>288</v>
      </c>
    </row>
    <row r="52" customFormat="false" ht="18.75" hidden="false" customHeight="true" outlineLevel="0" collapsed="false">
      <c r="A52" s="42" t="n">
        <v>29</v>
      </c>
      <c r="B52" s="54" t="s">
        <v>295</v>
      </c>
      <c r="C52" s="59" t="n">
        <v>100</v>
      </c>
      <c r="D52" s="39" t="n">
        <v>5</v>
      </c>
      <c r="E52" s="43" t="n">
        <v>0.0101018744643642</v>
      </c>
      <c r="F52" s="44" t="n">
        <v>98.9915290996382</v>
      </c>
      <c r="G52" s="44" t="n">
        <v>70.6839235899084</v>
      </c>
      <c r="H52" s="58" t="n">
        <v>-0.285959877246035</v>
      </c>
      <c r="I52" s="51" t="n">
        <v>4</v>
      </c>
      <c r="J52" s="60" t="n">
        <v>46302</v>
      </c>
      <c r="K52" s="41" t="s">
        <v>160</v>
      </c>
      <c r="L52" s="41" t="s">
        <v>150</v>
      </c>
      <c r="M52" s="43" t="n">
        <v>0.406160352978094</v>
      </c>
      <c r="N52" s="44" t="n">
        <v>2.46208176811865</v>
      </c>
      <c r="O52" s="51" t="s">
        <v>285</v>
      </c>
    </row>
    <row r="53" customFormat="false" ht="18.75" hidden="false" customHeight="true" outlineLevel="0" collapsed="false">
      <c r="A53" s="42" t="n">
        <v>29</v>
      </c>
      <c r="B53" s="54" t="s">
        <v>295</v>
      </c>
      <c r="C53" s="59" t="n">
        <v>100</v>
      </c>
      <c r="D53" s="39" t="n">
        <v>5</v>
      </c>
      <c r="E53" s="43" t="n">
        <v>0.0101018744643642</v>
      </c>
      <c r="F53" s="44" t="n">
        <v>98.9915290996382</v>
      </c>
      <c r="G53" s="44" t="n">
        <v>70.6839235899084</v>
      </c>
      <c r="H53" s="58" t="n">
        <v>-0.285959877246035</v>
      </c>
      <c r="I53" s="51" t="n">
        <v>5</v>
      </c>
      <c r="J53" s="60" t="n">
        <v>46302</v>
      </c>
      <c r="K53" s="41" t="s">
        <v>167</v>
      </c>
      <c r="L53" s="41" t="s">
        <v>170</v>
      </c>
      <c r="M53" s="43" t="n">
        <v>0.408607557216091</v>
      </c>
      <c r="N53" s="44" t="n">
        <v>2.44733603757395</v>
      </c>
      <c r="O53" s="51" t="s">
        <v>288</v>
      </c>
    </row>
    <row r="54" customFormat="false" ht="18.75" hidden="false" customHeight="true" outlineLevel="0" collapsed="false">
      <c r="A54" s="35" t="n">
        <v>29</v>
      </c>
      <c r="B54" s="53" t="s">
        <v>296</v>
      </c>
      <c r="C54" s="61" t="n">
        <v>250</v>
      </c>
      <c r="D54" s="32" t="n">
        <v>6</v>
      </c>
      <c r="E54" s="36" t="n">
        <v>0.00384596721832415</v>
      </c>
      <c r="F54" s="37" t="n">
        <v>260.012616653488</v>
      </c>
      <c r="G54" s="37" t="n">
        <v>173.564763564085</v>
      </c>
      <c r="H54" s="57" t="n">
        <v>-0.332475609076346</v>
      </c>
      <c r="I54" s="50" t="n">
        <v>1</v>
      </c>
      <c r="J54" s="62" t="n">
        <v>46302</v>
      </c>
      <c r="K54" s="34" t="s">
        <v>151</v>
      </c>
      <c r="L54" s="34" t="s">
        <v>150</v>
      </c>
      <c r="M54" s="36" t="n">
        <v>0.396470262864833</v>
      </c>
      <c r="N54" s="37" t="n">
        <v>2.52225726281249</v>
      </c>
      <c r="O54" s="50" t="s">
        <v>285</v>
      </c>
    </row>
    <row r="55" customFormat="false" ht="18.75" hidden="false" customHeight="true" outlineLevel="0" collapsed="false">
      <c r="A55" s="35" t="n">
        <v>29</v>
      </c>
      <c r="B55" s="53" t="s">
        <v>296</v>
      </c>
      <c r="C55" s="61" t="n">
        <v>250</v>
      </c>
      <c r="D55" s="32" t="n">
        <v>6</v>
      </c>
      <c r="E55" s="36" t="n">
        <v>0.00384596721832415</v>
      </c>
      <c r="F55" s="37" t="n">
        <v>260.012616653488</v>
      </c>
      <c r="G55" s="37" t="n">
        <v>173.564763564085</v>
      </c>
      <c r="H55" s="57" t="n">
        <v>-0.332475609076346</v>
      </c>
      <c r="I55" s="50" t="n">
        <v>2</v>
      </c>
      <c r="J55" s="62" t="n">
        <v>46302</v>
      </c>
      <c r="K55" s="34" t="s">
        <v>148</v>
      </c>
      <c r="L55" s="34" t="s">
        <v>159</v>
      </c>
      <c r="M55" s="36" t="n">
        <v>0.391869858980812</v>
      </c>
      <c r="N55" s="37" t="n">
        <v>2.5518676088047</v>
      </c>
      <c r="O55" s="50" t="s">
        <v>285</v>
      </c>
    </row>
    <row r="56" customFormat="false" ht="18.75" hidden="false" customHeight="true" outlineLevel="0" collapsed="false">
      <c r="A56" s="35" t="n">
        <v>29</v>
      </c>
      <c r="B56" s="53" t="s">
        <v>296</v>
      </c>
      <c r="C56" s="61" t="n">
        <v>250</v>
      </c>
      <c r="D56" s="32" t="n">
        <v>6</v>
      </c>
      <c r="E56" s="36" t="n">
        <v>0.00384596721832415</v>
      </c>
      <c r="F56" s="37" t="n">
        <v>260.012616653488</v>
      </c>
      <c r="G56" s="37" t="n">
        <v>173.564763564085</v>
      </c>
      <c r="H56" s="57" t="n">
        <v>-0.332475609076346</v>
      </c>
      <c r="I56" s="50" t="n">
        <v>3</v>
      </c>
      <c r="J56" s="62" t="n">
        <v>46302</v>
      </c>
      <c r="K56" s="34" t="s">
        <v>162</v>
      </c>
      <c r="L56" s="34" t="s">
        <v>170</v>
      </c>
      <c r="M56" s="36" t="n">
        <v>0.391782980114964</v>
      </c>
      <c r="N56" s="37" t="n">
        <v>2.55243349189534</v>
      </c>
      <c r="O56" s="50" t="s">
        <v>288</v>
      </c>
    </row>
    <row r="57" customFormat="false" ht="18.75" hidden="false" customHeight="true" outlineLevel="0" collapsed="false">
      <c r="A57" s="35" t="n">
        <v>29</v>
      </c>
      <c r="B57" s="53" t="s">
        <v>296</v>
      </c>
      <c r="C57" s="61" t="n">
        <v>250</v>
      </c>
      <c r="D57" s="32" t="n">
        <v>6</v>
      </c>
      <c r="E57" s="36" t="n">
        <v>0.00384596721832415</v>
      </c>
      <c r="F57" s="37" t="n">
        <v>260.012616653488</v>
      </c>
      <c r="G57" s="37" t="n">
        <v>173.564763564085</v>
      </c>
      <c r="H57" s="57" t="n">
        <v>-0.332475609076346</v>
      </c>
      <c r="I57" s="50" t="n">
        <v>4</v>
      </c>
      <c r="J57" s="62" t="n">
        <v>46302</v>
      </c>
      <c r="K57" s="34" t="s">
        <v>160</v>
      </c>
      <c r="L57" s="34" t="s">
        <v>150</v>
      </c>
      <c r="M57" s="36" t="n">
        <v>0.406160352978094</v>
      </c>
      <c r="N57" s="37" t="n">
        <v>2.46208176811865</v>
      </c>
      <c r="O57" s="50" t="s">
        <v>285</v>
      </c>
    </row>
    <row r="58" customFormat="false" ht="18.75" hidden="false" customHeight="true" outlineLevel="0" collapsed="false">
      <c r="A58" s="35" t="n">
        <v>29</v>
      </c>
      <c r="B58" s="53" t="s">
        <v>296</v>
      </c>
      <c r="C58" s="61" t="n">
        <v>250</v>
      </c>
      <c r="D58" s="32" t="n">
        <v>6</v>
      </c>
      <c r="E58" s="36" t="n">
        <v>0.00384596721832415</v>
      </c>
      <c r="F58" s="37" t="n">
        <v>260.012616653488</v>
      </c>
      <c r="G58" s="37" t="n">
        <v>173.564763564085</v>
      </c>
      <c r="H58" s="57" t="n">
        <v>-0.332475609076346</v>
      </c>
      <c r="I58" s="50" t="n">
        <v>5</v>
      </c>
      <c r="J58" s="62" t="n">
        <v>46302</v>
      </c>
      <c r="K58" s="34" t="s">
        <v>167</v>
      </c>
      <c r="L58" s="34" t="s">
        <v>170</v>
      </c>
      <c r="M58" s="36" t="n">
        <v>0.408607557216091</v>
      </c>
      <c r="N58" s="37" t="n">
        <v>2.44733603757395</v>
      </c>
      <c r="O58" s="50" t="s">
        <v>288</v>
      </c>
    </row>
    <row r="59" customFormat="false" ht="18.75" hidden="false" customHeight="true" outlineLevel="0" collapsed="false">
      <c r="A59" s="35" t="n">
        <v>29</v>
      </c>
      <c r="B59" s="53" t="s">
        <v>296</v>
      </c>
      <c r="C59" s="61" t="n">
        <v>250</v>
      </c>
      <c r="D59" s="32" t="n">
        <v>6</v>
      </c>
      <c r="E59" s="36" t="n">
        <v>0.00384596721832415</v>
      </c>
      <c r="F59" s="37" t="n">
        <v>260.012616653488</v>
      </c>
      <c r="G59" s="37" t="n">
        <v>173.564763564085</v>
      </c>
      <c r="H59" s="57" t="n">
        <v>-0.332475609076346</v>
      </c>
      <c r="I59" s="50" t="n">
        <v>6</v>
      </c>
      <c r="J59" s="62" t="n">
        <v>46302</v>
      </c>
      <c r="K59" s="34" t="s">
        <v>166</v>
      </c>
      <c r="L59" s="34" t="s">
        <v>143</v>
      </c>
      <c r="M59" s="36" t="n">
        <v>0.38071817580899</v>
      </c>
      <c r="N59" s="37" t="n">
        <v>2.62661481258439</v>
      </c>
      <c r="O59" s="50" t="s">
        <v>285</v>
      </c>
    </row>
    <row r="60" customFormat="false" ht="18.75" hidden="false" customHeight="true" outlineLevel="0" collapsed="false">
      <c r="A60" s="42" t="n">
        <v>30</v>
      </c>
      <c r="B60" s="54" t="s">
        <v>284</v>
      </c>
      <c r="C60" s="59" t="n">
        <v>1.5</v>
      </c>
      <c r="D60" s="39" t="n">
        <v>2</v>
      </c>
      <c r="E60" s="43" t="n">
        <v>0.667704298367076</v>
      </c>
      <c r="F60" s="44" t="n">
        <v>1.49766895682053</v>
      </c>
      <c r="G60" s="44" t="n">
        <v>1.30889519791109</v>
      </c>
      <c r="H60" s="58" t="n">
        <v>-0.126045050242739</v>
      </c>
      <c r="I60" s="51" t="n">
        <v>1</v>
      </c>
      <c r="J60" s="60" t="n">
        <v>46306</v>
      </c>
      <c r="K60" s="41" t="s">
        <v>180</v>
      </c>
      <c r="L60" s="41" t="s">
        <v>86</v>
      </c>
      <c r="M60" s="43" t="n">
        <v>0.816709013712443</v>
      </c>
      <c r="N60" s="44" t="n">
        <v>1.22442630509781</v>
      </c>
      <c r="O60" s="51" t="s">
        <v>285</v>
      </c>
    </row>
    <row r="61" customFormat="false" ht="18.75" hidden="false" customHeight="true" outlineLevel="0" collapsed="false">
      <c r="A61" s="42" t="n">
        <v>30</v>
      </c>
      <c r="B61" s="54" t="s">
        <v>284</v>
      </c>
      <c r="C61" s="59" t="n">
        <v>1.5</v>
      </c>
      <c r="D61" s="39" t="n">
        <v>2</v>
      </c>
      <c r="E61" s="43" t="n">
        <v>0.667704298367076</v>
      </c>
      <c r="F61" s="44" t="n">
        <v>1.49766895682053</v>
      </c>
      <c r="G61" s="44" t="n">
        <v>1.30889519791109</v>
      </c>
      <c r="H61" s="58" t="n">
        <v>-0.126045050242739</v>
      </c>
      <c r="I61" s="51" t="n">
        <v>2</v>
      </c>
      <c r="J61" s="60" t="n">
        <v>46306</v>
      </c>
      <c r="K61" s="41" t="s">
        <v>173</v>
      </c>
      <c r="L61" s="41" t="s">
        <v>86</v>
      </c>
      <c r="M61" s="43" t="n">
        <v>0.817554706947522</v>
      </c>
      <c r="N61" s="44" t="n">
        <v>1.22315973659264</v>
      </c>
      <c r="O61" s="51" t="s">
        <v>285</v>
      </c>
    </row>
    <row r="62" customFormat="false" ht="18.75" hidden="false" customHeight="true" outlineLevel="0" collapsed="false">
      <c r="A62" s="35" t="n">
        <v>30</v>
      </c>
      <c r="B62" s="53" t="s">
        <v>286</v>
      </c>
      <c r="C62" s="61" t="n">
        <v>2</v>
      </c>
      <c r="D62" s="32" t="n">
        <v>2</v>
      </c>
      <c r="E62" s="36" t="n">
        <v>0.500317533842566</v>
      </c>
      <c r="F62" s="37" t="n">
        <v>1.99873067073973</v>
      </c>
      <c r="G62" s="37" t="n">
        <v>1.74680056292464</v>
      </c>
      <c r="H62" s="57" t="n">
        <v>-0.126045050242739</v>
      </c>
      <c r="I62" s="50" t="n">
        <v>1</v>
      </c>
      <c r="J62" s="62" t="n">
        <v>46306</v>
      </c>
      <c r="K62" s="34" t="s">
        <v>178</v>
      </c>
      <c r="L62" s="34" t="s">
        <v>107</v>
      </c>
      <c r="M62" s="36" t="n">
        <v>0.706633263743484</v>
      </c>
      <c r="N62" s="37" t="n">
        <v>1.41516123187064</v>
      </c>
      <c r="O62" s="50" t="s">
        <v>285</v>
      </c>
    </row>
    <row r="63" customFormat="false" ht="18.75" hidden="false" customHeight="true" outlineLevel="0" collapsed="false">
      <c r="A63" s="35" t="n">
        <v>30</v>
      </c>
      <c r="B63" s="53" t="s">
        <v>286</v>
      </c>
      <c r="C63" s="61" t="n">
        <v>2</v>
      </c>
      <c r="D63" s="32" t="n">
        <v>2</v>
      </c>
      <c r="E63" s="36" t="n">
        <v>0.500317533842566</v>
      </c>
      <c r="F63" s="37" t="n">
        <v>1.99873067073973</v>
      </c>
      <c r="G63" s="37" t="n">
        <v>1.74680056292464</v>
      </c>
      <c r="H63" s="57" t="n">
        <v>-0.126045050242739</v>
      </c>
      <c r="I63" s="50" t="n">
        <v>2</v>
      </c>
      <c r="J63" s="62" t="n">
        <v>46306</v>
      </c>
      <c r="K63" s="34" t="s">
        <v>179</v>
      </c>
      <c r="L63" s="34" t="s">
        <v>149</v>
      </c>
      <c r="M63" s="36" t="n">
        <v>0.708029977519127</v>
      </c>
      <c r="N63" s="37" t="n">
        <v>1.41236957720902</v>
      </c>
      <c r="O63" s="50" t="s">
        <v>288</v>
      </c>
    </row>
    <row r="64" customFormat="false" ht="18.75" hidden="false" customHeight="true" outlineLevel="0" collapsed="false">
      <c r="A64" s="42" t="n">
        <v>30</v>
      </c>
      <c r="B64" s="54" t="s">
        <v>287</v>
      </c>
      <c r="C64" s="59" t="n">
        <v>3</v>
      </c>
      <c r="D64" s="39" t="n">
        <v>2</v>
      </c>
      <c r="E64" s="43" t="n">
        <v>0.332694444124926</v>
      </c>
      <c r="F64" s="44" t="n">
        <v>3.00576104488388</v>
      </c>
      <c r="G64" s="44" t="n">
        <v>2.62689974296382</v>
      </c>
      <c r="H64" s="58" t="n">
        <v>-0.126045050242739</v>
      </c>
      <c r="I64" s="51" t="n">
        <v>1</v>
      </c>
      <c r="J64" s="60" t="n">
        <v>46306</v>
      </c>
      <c r="K64" s="41" t="s">
        <v>181</v>
      </c>
      <c r="L64" s="41" t="s">
        <v>168</v>
      </c>
      <c r="M64" s="43" t="n">
        <v>0.57839887539768</v>
      </c>
      <c r="N64" s="44" t="n">
        <v>1.72891069214553</v>
      </c>
      <c r="O64" s="51" t="s">
        <v>285</v>
      </c>
    </row>
    <row r="65" customFormat="false" ht="18.75" hidden="false" customHeight="true" outlineLevel="0" collapsed="false">
      <c r="A65" s="42" t="n">
        <v>30</v>
      </c>
      <c r="B65" s="54" t="s">
        <v>287</v>
      </c>
      <c r="C65" s="59" t="n">
        <v>3</v>
      </c>
      <c r="D65" s="39" t="n">
        <v>2</v>
      </c>
      <c r="E65" s="43" t="n">
        <v>0.332694444124926</v>
      </c>
      <c r="F65" s="44" t="n">
        <v>3.00576104488388</v>
      </c>
      <c r="G65" s="44" t="n">
        <v>2.62689974296382</v>
      </c>
      <c r="H65" s="58" t="n">
        <v>-0.126045050242739</v>
      </c>
      <c r="I65" s="51" t="n">
        <v>2</v>
      </c>
      <c r="J65" s="60" t="n">
        <v>46306</v>
      </c>
      <c r="K65" s="41" t="s">
        <v>180</v>
      </c>
      <c r="L65" s="41" t="s">
        <v>161</v>
      </c>
      <c r="M65" s="43" t="n">
        <v>0.575198981664999</v>
      </c>
      <c r="N65" s="44" t="n">
        <v>1.73852880807499</v>
      </c>
      <c r="O65" s="51" t="s">
        <v>288</v>
      </c>
    </row>
    <row r="66" customFormat="false" ht="18.75" hidden="false" customHeight="true" outlineLevel="0" collapsed="false">
      <c r="A66" s="35" t="n">
        <v>30</v>
      </c>
      <c r="B66" s="53" t="s">
        <v>289</v>
      </c>
      <c r="C66" s="61" t="n">
        <v>5</v>
      </c>
      <c r="D66" s="32" t="n">
        <v>2</v>
      </c>
      <c r="E66" s="36" t="n">
        <v>0.19936279047645</v>
      </c>
      <c r="F66" s="37" t="n">
        <v>5.01598115480897</v>
      </c>
      <c r="G66" s="37" t="n">
        <v>4.38374155813444</v>
      </c>
      <c r="H66" s="57" t="n">
        <v>-0.126045050242739</v>
      </c>
      <c r="I66" s="50" t="n">
        <v>1</v>
      </c>
      <c r="J66" s="62" t="n">
        <v>46306</v>
      </c>
      <c r="K66" s="34" t="s">
        <v>172</v>
      </c>
      <c r="L66" s="34" t="s">
        <v>161</v>
      </c>
      <c r="M66" s="36" t="n">
        <v>0.446539948543352</v>
      </c>
      <c r="N66" s="37" t="n">
        <v>2.2394412935776</v>
      </c>
      <c r="O66" s="50" t="s">
        <v>288</v>
      </c>
    </row>
    <row r="67" customFormat="false" ht="18.75" hidden="false" customHeight="true" outlineLevel="0" collapsed="false">
      <c r="A67" s="35" t="n">
        <v>30</v>
      </c>
      <c r="B67" s="53" t="s">
        <v>289</v>
      </c>
      <c r="C67" s="61" t="n">
        <v>5</v>
      </c>
      <c r="D67" s="32" t="n">
        <v>2</v>
      </c>
      <c r="E67" s="36" t="n">
        <v>0.19936279047645</v>
      </c>
      <c r="F67" s="37" t="n">
        <v>5.01598115480897</v>
      </c>
      <c r="G67" s="37" t="n">
        <v>4.38374155813444</v>
      </c>
      <c r="H67" s="57" t="n">
        <v>-0.126045050242739</v>
      </c>
      <c r="I67" s="50" t="n">
        <v>2</v>
      </c>
      <c r="J67" s="62" t="n">
        <v>46306</v>
      </c>
      <c r="K67" s="34" t="s">
        <v>181</v>
      </c>
      <c r="L67" s="34" t="s">
        <v>110</v>
      </c>
      <c r="M67" s="36" t="n">
        <v>0.44646126539582</v>
      </c>
      <c r="N67" s="37" t="n">
        <v>2.23983596676282</v>
      </c>
      <c r="O67" s="50" t="s">
        <v>285</v>
      </c>
    </row>
    <row r="68" customFormat="false" ht="18.75" hidden="false" customHeight="true" outlineLevel="0" collapsed="false">
      <c r="A68" s="42" t="n">
        <v>30</v>
      </c>
      <c r="B68" s="54" t="s">
        <v>290</v>
      </c>
      <c r="C68" s="59" t="n">
        <v>10</v>
      </c>
      <c r="D68" s="39" t="n">
        <v>3</v>
      </c>
      <c r="E68" s="43" t="n">
        <v>0.0997575201474617</v>
      </c>
      <c r="F68" s="44" t="n">
        <v>10.0243069246489</v>
      </c>
      <c r="G68" s="44" t="n">
        <v>8.19007587174574</v>
      </c>
      <c r="H68" s="58" t="n">
        <v>-0.182978341215085</v>
      </c>
      <c r="I68" s="51" t="n">
        <v>1</v>
      </c>
      <c r="J68" s="60" t="n">
        <v>46306</v>
      </c>
      <c r="K68" s="41" t="s">
        <v>177</v>
      </c>
      <c r="L68" s="41" t="s">
        <v>292</v>
      </c>
      <c r="M68" s="43" t="n">
        <v>0.46399210606842</v>
      </c>
      <c r="N68" s="44" t="n">
        <v>2.15520907989875</v>
      </c>
      <c r="O68" s="51" t="s">
        <v>285</v>
      </c>
    </row>
    <row r="69" customFormat="false" ht="18.75" hidden="false" customHeight="true" outlineLevel="0" collapsed="false">
      <c r="A69" s="42" t="n">
        <v>30</v>
      </c>
      <c r="B69" s="54" t="s">
        <v>290</v>
      </c>
      <c r="C69" s="59" t="n">
        <v>10</v>
      </c>
      <c r="D69" s="39" t="n">
        <v>3</v>
      </c>
      <c r="E69" s="43" t="n">
        <v>0.0997575201474617</v>
      </c>
      <c r="F69" s="44" t="n">
        <v>10.0243069246489</v>
      </c>
      <c r="G69" s="44" t="n">
        <v>8.19007587174574</v>
      </c>
      <c r="H69" s="58" t="n">
        <v>-0.182978341215085</v>
      </c>
      <c r="I69" s="51" t="n">
        <v>2</v>
      </c>
      <c r="J69" s="60" t="n">
        <v>46306</v>
      </c>
      <c r="K69" s="41" t="s">
        <v>171</v>
      </c>
      <c r="L69" s="41" t="s">
        <v>142</v>
      </c>
      <c r="M69" s="43" t="n">
        <v>0.463884412539809</v>
      </c>
      <c r="N69" s="44" t="n">
        <v>2.15570942452002</v>
      </c>
      <c r="O69" s="51" t="s">
        <v>285</v>
      </c>
    </row>
    <row r="70" customFormat="false" ht="18.75" hidden="false" customHeight="true" outlineLevel="0" collapsed="false">
      <c r="A70" s="42" t="n">
        <v>30</v>
      </c>
      <c r="B70" s="54" t="s">
        <v>290</v>
      </c>
      <c r="C70" s="59" t="n">
        <v>10</v>
      </c>
      <c r="D70" s="39" t="n">
        <v>3</v>
      </c>
      <c r="E70" s="43" t="n">
        <v>0.0997575201474617</v>
      </c>
      <c r="F70" s="44" t="n">
        <v>10.0243069246489</v>
      </c>
      <c r="G70" s="44" t="n">
        <v>8.19007587174574</v>
      </c>
      <c r="H70" s="58" t="n">
        <v>-0.182978341215085</v>
      </c>
      <c r="I70" s="51" t="n">
        <v>3</v>
      </c>
      <c r="J70" s="60" t="n">
        <v>46306</v>
      </c>
      <c r="K70" s="41" t="s">
        <v>173</v>
      </c>
      <c r="L70" s="41" t="s">
        <v>175</v>
      </c>
      <c r="M70" s="43" t="n">
        <v>0.463473890042686</v>
      </c>
      <c r="N70" s="44" t="n">
        <v>2.15761884646382</v>
      </c>
      <c r="O70" s="51" t="s">
        <v>288</v>
      </c>
    </row>
    <row r="71" customFormat="false" ht="18.75" hidden="false" customHeight="true" outlineLevel="0" collapsed="false">
      <c r="A71" s="35" t="n">
        <v>30</v>
      </c>
      <c r="B71" s="53" t="s">
        <v>293</v>
      </c>
      <c r="C71" s="61" t="n">
        <v>25</v>
      </c>
      <c r="D71" s="32" t="n">
        <v>4</v>
      </c>
      <c r="E71" s="36" t="n">
        <v>0.0396446715736871</v>
      </c>
      <c r="F71" s="37" t="n">
        <v>25.2240707339778</v>
      </c>
      <c r="G71" s="37" t="n">
        <v>19.2660759664904</v>
      </c>
      <c r="H71" s="57" t="n">
        <v>-0.236202745794783</v>
      </c>
      <c r="I71" s="50" t="n">
        <v>1</v>
      </c>
      <c r="J71" s="62" t="n">
        <v>46306</v>
      </c>
      <c r="K71" s="34" t="s">
        <v>172</v>
      </c>
      <c r="L71" s="34" t="s">
        <v>161</v>
      </c>
      <c r="M71" s="36" t="n">
        <v>0.446539948543352</v>
      </c>
      <c r="N71" s="37" t="n">
        <v>2.2394412935776</v>
      </c>
      <c r="O71" s="50" t="s">
        <v>288</v>
      </c>
    </row>
    <row r="72" customFormat="false" ht="18.75" hidden="false" customHeight="true" outlineLevel="0" collapsed="false">
      <c r="A72" s="35" t="n">
        <v>30</v>
      </c>
      <c r="B72" s="53" t="s">
        <v>293</v>
      </c>
      <c r="C72" s="61" t="n">
        <v>25</v>
      </c>
      <c r="D72" s="32" t="n">
        <v>4</v>
      </c>
      <c r="E72" s="36" t="n">
        <v>0.0396446715736871</v>
      </c>
      <c r="F72" s="37" t="n">
        <v>25.2240707339778</v>
      </c>
      <c r="G72" s="37" t="n">
        <v>19.2660759664904</v>
      </c>
      <c r="H72" s="57" t="n">
        <v>-0.236202745794783</v>
      </c>
      <c r="I72" s="50" t="n">
        <v>2</v>
      </c>
      <c r="J72" s="62" t="n">
        <v>46306</v>
      </c>
      <c r="K72" s="34" t="s">
        <v>181</v>
      </c>
      <c r="L72" s="34" t="s">
        <v>110</v>
      </c>
      <c r="M72" s="36" t="n">
        <v>0.44646126539582</v>
      </c>
      <c r="N72" s="37" t="n">
        <v>2.23983596676282</v>
      </c>
      <c r="O72" s="50" t="s">
        <v>285</v>
      </c>
    </row>
    <row r="73" customFormat="false" ht="18.75" hidden="false" customHeight="true" outlineLevel="0" collapsed="false">
      <c r="A73" s="35" t="n">
        <v>30</v>
      </c>
      <c r="B73" s="53" t="s">
        <v>293</v>
      </c>
      <c r="C73" s="61" t="n">
        <v>25</v>
      </c>
      <c r="D73" s="32" t="n">
        <v>4</v>
      </c>
      <c r="E73" s="36" t="n">
        <v>0.0396446715736871</v>
      </c>
      <c r="F73" s="37" t="n">
        <v>25.2240707339778</v>
      </c>
      <c r="G73" s="37" t="n">
        <v>19.2660759664904</v>
      </c>
      <c r="H73" s="57" t="n">
        <v>-0.236202745794783</v>
      </c>
      <c r="I73" s="50" t="n">
        <v>3</v>
      </c>
      <c r="J73" s="62" t="n">
        <v>46306</v>
      </c>
      <c r="K73" s="34" t="s">
        <v>171</v>
      </c>
      <c r="L73" s="34" t="s">
        <v>150</v>
      </c>
      <c r="M73" s="36" t="n">
        <v>0.445953202528443</v>
      </c>
      <c r="N73" s="37" t="n">
        <v>2.24238775353613</v>
      </c>
      <c r="O73" s="50" t="s">
        <v>285</v>
      </c>
    </row>
    <row r="74" customFormat="false" ht="18.75" hidden="false" customHeight="true" outlineLevel="0" collapsed="false">
      <c r="A74" s="35" t="n">
        <v>30</v>
      </c>
      <c r="B74" s="53" t="s">
        <v>293</v>
      </c>
      <c r="C74" s="61" t="n">
        <v>25</v>
      </c>
      <c r="D74" s="32" t="n">
        <v>4</v>
      </c>
      <c r="E74" s="36" t="n">
        <v>0.0396446715736871</v>
      </c>
      <c r="F74" s="37" t="n">
        <v>25.2240707339778</v>
      </c>
      <c r="G74" s="37" t="n">
        <v>19.2660759664904</v>
      </c>
      <c r="H74" s="57" t="n">
        <v>-0.236202745794783</v>
      </c>
      <c r="I74" s="50" t="n">
        <v>4</v>
      </c>
      <c r="J74" s="62" t="n">
        <v>46306</v>
      </c>
      <c r="K74" s="34" t="s">
        <v>176</v>
      </c>
      <c r="L74" s="34" t="s">
        <v>161</v>
      </c>
      <c r="M74" s="36" t="n">
        <v>0.445914334451992</v>
      </c>
      <c r="N74" s="37" t="n">
        <v>2.24258321103078</v>
      </c>
      <c r="O74" s="50" t="s">
        <v>288</v>
      </c>
    </row>
    <row r="75" customFormat="false" ht="18.75" hidden="false" customHeight="true" outlineLevel="0" collapsed="false">
      <c r="A75" s="42" t="n">
        <v>30</v>
      </c>
      <c r="B75" s="54" t="s">
        <v>294</v>
      </c>
      <c r="C75" s="59" t="n">
        <v>50</v>
      </c>
      <c r="D75" s="39" t="n">
        <v>4</v>
      </c>
      <c r="E75" s="43" t="n">
        <v>0.0196202133119488</v>
      </c>
      <c r="F75" s="44" t="n">
        <v>50.9678454612414</v>
      </c>
      <c r="G75" s="44" t="n">
        <v>38.929100416052</v>
      </c>
      <c r="H75" s="58" t="n">
        <v>-0.236202745794783</v>
      </c>
      <c r="I75" s="51" t="n">
        <v>1</v>
      </c>
      <c r="J75" s="60" t="n">
        <v>46306</v>
      </c>
      <c r="K75" s="41" t="s">
        <v>172</v>
      </c>
      <c r="L75" s="41" t="s">
        <v>146</v>
      </c>
      <c r="M75" s="43" t="n">
        <v>0.375509023547433</v>
      </c>
      <c r="N75" s="44" t="n">
        <v>2.6630518504003</v>
      </c>
      <c r="O75" s="51" t="s">
        <v>285</v>
      </c>
    </row>
    <row r="76" customFormat="false" ht="18.75" hidden="false" customHeight="true" outlineLevel="0" collapsed="false">
      <c r="A76" s="42" t="n">
        <v>30</v>
      </c>
      <c r="B76" s="54" t="s">
        <v>294</v>
      </c>
      <c r="C76" s="59" t="n">
        <v>50</v>
      </c>
      <c r="D76" s="39" t="n">
        <v>4</v>
      </c>
      <c r="E76" s="43" t="n">
        <v>0.0196202133119488</v>
      </c>
      <c r="F76" s="44" t="n">
        <v>50.9678454612414</v>
      </c>
      <c r="G76" s="44" t="n">
        <v>38.929100416052</v>
      </c>
      <c r="H76" s="58" t="n">
        <v>-0.236202745794783</v>
      </c>
      <c r="I76" s="51" t="n">
        <v>2</v>
      </c>
      <c r="J76" s="60" t="n">
        <v>46306</v>
      </c>
      <c r="K76" s="41" t="s">
        <v>176</v>
      </c>
      <c r="L76" s="41" t="s">
        <v>146</v>
      </c>
      <c r="M76" s="43" t="n">
        <v>0.374333546247943</v>
      </c>
      <c r="N76" s="44" t="n">
        <v>2.67141433094442</v>
      </c>
      <c r="O76" s="51" t="s">
        <v>285</v>
      </c>
    </row>
    <row r="77" customFormat="false" ht="18.75" hidden="false" customHeight="true" outlineLevel="0" collapsed="false">
      <c r="A77" s="42" t="n">
        <v>30</v>
      </c>
      <c r="B77" s="54" t="s">
        <v>294</v>
      </c>
      <c r="C77" s="59" t="n">
        <v>50</v>
      </c>
      <c r="D77" s="39" t="n">
        <v>4</v>
      </c>
      <c r="E77" s="43" t="n">
        <v>0.0196202133119488</v>
      </c>
      <c r="F77" s="44" t="n">
        <v>50.9678454612414</v>
      </c>
      <c r="G77" s="44" t="n">
        <v>38.929100416052</v>
      </c>
      <c r="H77" s="58" t="n">
        <v>-0.236202745794783</v>
      </c>
      <c r="I77" s="51" t="n">
        <v>3</v>
      </c>
      <c r="J77" s="60" t="n">
        <v>46306</v>
      </c>
      <c r="K77" s="41" t="s">
        <v>173</v>
      </c>
      <c r="L77" s="41" t="s">
        <v>159</v>
      </c>
      <c r="M77" s="43" t="n">
        <v>0.373815327528422</v>
      </c>
      <c r="N77" s="44" t="n">
        <v>2.6751177021332</v>
      </c>
      <c r="O77" s="51" t="s">
        <v>285</v>
      </c>
    </row>
    <row r="78" customFormat="false" ht="18.75" hidden="false" customHeight="true" outlineLevel="0" collapsed="false">
      <c r="A78" s="42" t="n">
        <v>30</v>
      </c>
      <c r="B78" s="54" t="s">
        <v>294</v>
      </c>
      <c r="C78" s="59" t="n">
        <v>50</v>
      </c>
      <c r="D78" s="39" t="n">
        <v>4</v>
      </c>
      <c r="E78" s="43" t="n">
        <v>0.0196202133119488</v>
      </c>
      <c r="F78" s="44" t="n">
        <v>50.9678454612414</v>
      </c>
      <c r="G78" s="44" t="n">
        <v>38.929100416052</v>
      </c>
      <c r="H78" s="58" t="n">
        <v>-0.236202745794783</v>
      </c>
      <c r="I78" s="51" t="n">
        <v>4</v>
      </c>
      <c r="J78" s="60" t="n">
        <v>46306</v>
      </c>
      <c r="K78" s="41" t="s">
        <v>181</v>
      </c>
      <c r="L78" s="41" t="s">
        <v>150</v>
      </c>
      <c r="M78" s="43" t="n">
        <v>0.37339413645607</v>
      </c>
      <c r="N78" s="44" t="n">
        <v>2.67813525271479</v>
      </c>
      <c r="O78" s="51" t="s">
        <v>285</v>
      </c>
    </row>
    <row r="79" customFormat="false" ht="18.75" hidden="false" customHeight="true" outlineLevel="0" collapsed="false">
      <c r="A79" s="35" t="n">
        <v>30</v>
      </c>
      <c r="B79" s="53" t="s">
        <v>295</v>
      </c>
      <c r="C79" s="61" t="n">
        <v>100</v>
      </c>
      <c r="D79" s="32" t="n">
        <v>5</v>
      </c>
      <c r="E79" s="36" t="n">
        <v>0.010263219932762</v>
      </c>
      <c r="F79" s="37" t="n">
        <v>97.435308465701</v>
      </c>
      <c r="G79" s="37" t="n">
        <v>69.5727196174195</v>
      </c>
      <c r="H79" s="57" t="n">
        <v>-0.285959877246035</v>
      </c>
      <c r="I79" s="50" t="n">
        <v>1</v>
      </c>
      <c r="J79" s="62" t="n">
        <v>46306</v>
      </c>
      <c r="K79" s="34" t="s">
        <v>173</v>
      </c>
      <c r="L79" s="34" t="s">
        <v>143</v>
      </c>
      <c r="M79" s="36" t="n">
        <v>0.397247154704857</v>
      </c>
      <c r="N79" s="37" t="n">
        <v>2.51732451235043</v>
      </c>
      <c r="O79" s="50" t="s">
        <v>285</v>
      </c>
    </row>
    <row r="80" customFormat="false" ht="18.75" hidden="false" customHeight="true" outlineLevel="0" collapsed="false">
      <c r="A80" s="35" t="n">
        <v>30</v>
      </c>
      <c r="B80" s="53" t="s">
        <v>295</v>
      </c>
      <c r="C80" s="61" t="n">
        <v>100</v>
      </c>
      <c r="D80" s="32" t="n">
        <v>5</v>
      </c>
      <c r="E80" s="36" t="n">
        <v>0.010263219932762</v>
      </c>
      <c r="F80" s="37" t="n">
        <v>97.435308465701</v>
      </c>
      <c r="G80" s="37" t="n">
        <v>69.5727196174195</v>
      </c>
      <c r="H80" s="57" t="n">
        <v>-0.285959877246035</v>
      </c>
      <c r="I80" s="50" t="n">
        <v>2</v>
      </c>
      <c r="J80" s="62" t="n">
        <v>46306</v>
      </c>
      <c r="K80" s="34" t="s">
        <v>179</v>
      </c>
      <c r="L80" s="34" t="s">
        <v>159</v>
      </c>
      <c r="M80" s="36" t="n">
        <v>0.399961433939698</v>
      </c>
      <c r="N80" s="37" t="n">
        <v>2.50024106111884</v>
      </c>
      <c r="O80" s="50" t="s">
        <v>285</v>
      </c>
    </row>
    <row r="81" customFormat="false" ht="18.75" hidden="false" customHeight="true" outlineLevel="0" collapsed="false">
      <c r="A81" s="35" t="n">
        <v>30</v>
      </c>
      <c r="B81" s="53" t="s">
        <v>295</v>
      </c>
      <c r="C81" s="61" t="n">
        <v>100</v>
      </c>
      <c r="D81" s="32" t="n">
        <v>5</v>
      </c>
      <c r="E81" s="36" t="n">
        <v>0.010263219932762</v>
      </c>
      <c r="F81" s="37" t="n">
        <v>97.435308465701</v>
      </c>
      <c r="G81" s="37" t="n">
        <v>69.5727196174195</v>
      </c>
      <c r="H81" s="57" t="n">
        <v>-0.285959877246035</v>
      </c>
      <c r="I81" s="50" t="n">
        <v>3</v>
      </c>
      <c r="J81" s="62" t="n">
        <v>46306</v>
      </c>
      <c r="K81" s="34" t="s">
        <v>180</v>
      </c>
      <c r="L81" s="34" t="s">
        <v>142</v>
      </c>
      <c r="M81" s="36" t="n">
        <v>0.402726846670188</v>
      </c>
      <c r="N81" s="37" t="n">
        <v>2.48307260434253</v>
      </c>
      <c r="O81" s="50" t="s">
        <v>285</v>
      </c>
    </row>
    <row r="82" customFormat="false" ht="18.75" hidden="false" customHeight="true" outlineLevel="0" collapsed="false">
      <c r="A82" s="35" t="n">
        <v>30</v>
      </c>
      <c r="B82" s="53" t="s">
        <v>295</v>
      </c>
      <c r="C82" s="61" t="n">
        <v>100</v>
      </c>
      <c r="D82" s="32" t="n">
        <v>5</v>
      </c>
      <c r="E82" s="36" t="n">
        <v>0.010263219932762</v>
      </c>
      <c r="F82" s="37" t="n">
        <v>97.435308465701</v>
      </c>
      <c r="G82" s="37" t="n">
        <v>69.5727196174195</v>
      </c>
      <c r="H82" s="57" t="n">
        <v>-0.285959877246035</v>
      </c>
      <c r="I82" s="50" t="n">
        <v>4</v>
      </c>
      <c r="J82" s="62" t="n">
        <v>46306</v>
      </c>
      <c r="K82" s="34" t="s">
        <v>181</v>
      </c>
      <c r="L82" s="34" t="s">
        <v>146</v>
      </c>
      <c r="M82" s="36" t="n">
        <v>0.392469995669157</v>
      </c>
      <c r="N82" s="37" t="n">
        <v>2.54796547770489</v>
      </c>
      <c r="O82" s="50" t="s">
        <v>285</v>
      </c>
    </row>
    <row r="83" customFormat="false" ht="18.75" hidden="false" customHeight="true" outlineLevel="0" collapsed="false">
      <c r="A83" s="35" t="n">
        <v>30</v>
      </c>
      <c r="B83" s="53" t="s">
        <v>295</v>
      </c>
      <c r="C83" s="61" t="n">
        <v>100</v>
      </c>
      <c r="D83" s="32" t="n">
        <v>5</v>
      </c>
      <c r="E83" s="36" t="n">
        <v>0.010263219932762</v>
      </c>
      <c r="F83" s="37" t="n">
        <v>97.435308465701</v>
      </c>
      <c r="G83" s="37" t="n">
        <v>69.5727196174195</v>
      </c>
      <c r="H83" s="57" t="n">
        <v>-0.285959877246035</v>
      </c>
      <c r="I83" s="50" t="n">
        <v>5</v>
      </c>
      <c r="J83" s="62" t="n">
        <v>46306</v>
      </c>
      <c r="K83" s="34" t="s">
        <v>174</v>
      </c>
      <c r="L83" s="34" t="s">
        <v>170</v>
      </c>
      <c r="M83" s="36" t="n">
        <v>0.408684043352236</v>
      </c>
      <c r="N83" s="37" t="n">
        <v>2.44687801314064</v>
      </c>
      <c r="O83" s="50" t="s">
        <v>288</v>
      </c>
    </row>
    <row r="84" customFormat="false" ht="18.75" hidden="false" customHeight="true" outlineLevel="0" collapsed="false">
      <c r="A84" s="42" t="n">
        <v>30</v>
      </c>
      <c r="B84" s="54" t="s">
        <v>296</v>
      </c>
      <c r="C84" s="59" t="n">
        <v>250</v>
      </c>
      <c r="D84" s="39" t="n">
        <v>6</v>
      </c>
      <c r="E84" s="43" t="n">
        <v>0.00420719011854218</v>
      </c>
      <c r="F84" s="44" t="n">
        <v>237.68833159993</v>
      </c>
      <c r="G84" s="44" t="n">
        <v>158.662758780903</v>
      </c>
      <c r="H84" s="58" t="n">
        <v>-0.332475609076346</v>
      </c>
      <c r="I84" s="51" t="n">
        <v>1</v>
      </c>
      <c r="J84" s="60" t="n">
        <v>46306</v>
      </c>
      <c r="K84" s="41" t="s">
        <v>173</v>
      </c>
      <c r="L84" s="41" t="s">
        <v>143</v>
      </c>
      <c r="M84" s="43" t="n">
        <v>0.397247154704857</v>
      </c>
      <c r="N84" s="44" t="n">
        <v>2.51732451235043</v>
      </c>
      <c r="O84" s="51" t="s">
        <v>285</v>
      </c>
    </row>
    <row r="85" customFormat="false" ht="18.75" hidden="false" customHeight="true" outlineLevel="0" collapsed="false">
      <c r="A85" s="42" t="n">
        <v>30</v>
      </c>
      <c r="B85" s="54" t="s">
        <v>296</v>
      </c>
      <c r="C85" s="59" t="n">
        <v>250</v>
      </c>
      <c r="D85" s="39" t="n">
        <v>6</v>
      </c>
      <c r="E85" s="43" t="n">
        <v>0.00420719011854218</v>
      </c>
      <c r="F85" s="44" t="n">
        <v>237.68833159993</v>
      </c>
      <c r="G85" s="44" t="n">
        <v>158.662758780903</v>
      </c>
      <c r="H85" s="58" t="n">
        <v>-0.332475609076346</v>
      </c>
      <c r="I85" s="51" t="n">
        <v>2</v>
      </c>
      <c r="J85" s="60" t="n">
        <v>46306</v>
      </c>
      <c r="K85" s="41" t="s">
        <v>179</v>
      </c>
      <c r="L85" s="41" t="s">
        <v>159</v>
      </c>
      <c r="M85" s="43" t="n">
        <v>0.399961433939698</v>
      </c>
      <c r="N85" s="44" t="n">
        <v>2.50024106111884</v>
      </c>
      <c r="O85" s="51" t="s">
        <v>285</v>
      </c>
    </row>
    <row r="86" customFormat="false" ht="18.75" hidden="false" customHeight="true" outlineLevel="0" collapsed="false">
      <c r="A86" s="42" t="n">
        <v>30</v>
      </c>
      <c r="B86" s="54" t="s">
        <v>296</v>
      </c>
      <c r="C86" s="59" t="n">
        <v>250</v>
      </c>
      <c r="D86" s="39" t="n">
        <v>6</v>
      </c>
      <c r="E86" s="43" t="n">
        <v>0.00420719011854218</v>
      </c>
      <c r="F86" s="44" t="n">
        <v>237.68833159993</v>
      </c>
      <c r="G86" s="44" t="n">
        <v>158.662758780903</v>
      </c>
      <c r="H86" s="58" t="n">
        <v>-0.332475609076346</v>
      </c>
      <c r="I86" s="51" t="n">
        <v>3</v>
      </c>
      <c r="J86" s="60" t="n">
        <v>46306</v>
      </c>
      <c r="K86" s="41" t="s">
        <v>180</v>
      </c>
      <c r="L86" s="41" t="s">
        <v>142</v>
      </c>
      <c r="M86" s="43" t="n">
        <v>0.402726846670188</v>
      </c>
      <c r="N86" s="44" t="n">
        <v>2.48307260434253</v>
      </c>
      <c r="O86" s="51" t="s">
        <v>285</v>
      </c>
    </row>
    <row r="87" customFormat="false" ht="18.75" hidden="false" customHeight="true" outlineLevel="0" collapsed="false">
      <c r="A87" s="42" t="n">
        <v>30</v>
      </c>
      <c r="B87" s="54" t="s">
        <v>296</v>
      </c>
      <c r="C87" s="59" t="n">
        <v>250</v>
      </c>
      <c r="D87" s="39" t="n">
        <v>6</v>
      </c>
      <c r="E87" s="43" t="n">
        <v>0.00420719011854218</v>
      </c>
      <c r="F87" s="44" t="n">
        <v>237.68833159993</v>
      </c>
      <c r="G87" s="44" t="n">
        <v>158.662758780903</v>
      </c>
      <c r="H87" s="58" t="n">
        <v>-0.332475609076346</v>
      </c>
      <c r="I87" s="51" t="n">
        <v>4</v>
      </c>
      <c r="J87" s="60" t="n">
        <v>46306</v>
      </c>
      <c r="K87" s="41" t="s">
        <v>181</v>
      </c>
      <c r="L87" s="41" t="s">
        <v>146</v>
      </c>
      <c r="M87" s="43" t="n">
        <v>0.392469995669157</v>
      </c>
      <c r="N87" s="44" t="n">
        <v>2.54796547770489</v>
      </c>
      <c r="O87" s="51" t="s">
        <v>285</v>
      </c>
    </row>
    <row r="88" customFormat="false" ht="18.75" hidden="false" customHeight="true" outlineLevel="0" collapsed="false">
      <c r="A88" s="42" t="n">
        <v>30</v>
      </c>
      <c r="B88" s="54" t="s">
        <v>296</v>
      </c>
      <c r="C88" s="59" t="n">
        <v>250</v>
      </c>
      <c r="D88" s="39" t="n">
        <v>6</v>
      </c>
      <c r="E88" s="43" t="n">
        <v>0.00420719011854218</v>
      </c>
      <c r="F88" s="44" t="n">
        <v>237.68833159993</v>
      </c>
      <c r="G88" s="44" t="n">
        <v>158.662758780903</v>
      </c>
      <c r="H88" s="58" t="n">
        <v>-0.332475609076346</v>
      </c>
      <c r="I88" s="51" t="n">
        <v>5</v>
      </c>
      <c r="J88" s="60" t="n">
        <v>46306</v>
      </c>
      <c r="K88" s="41" t="s">
        <v>174</v>
      </c>
      <c r="L88" s="41" t="s">
        <v>170</v>
      </c>
      <c r="M88" s="43" t="n">
        <v>0.408684043352236</v>
      </c>
      <c r="N88" s="44" t="n">
        <v>2.44687801314064</v>
      </c>
      <c r="O88" s="51" t="s">
        <v>288</v>
      </c>
    </row>
    <row r="89" customFormat="false" ht="18.75" hidden="false" customHeight="true" outlineLevel="0" collapsed="false">
      <c r="A89" s="42" t="n">
        <v>30</v>
      </c>
      <c r="B89" s="54" t="s">
        <v>296</v>
      </c>
      <c r="C89" s="59" t="n">
        <v>250</v>
      </c>
      <c r="D89" s="39" t="n">
        <v>6</v>
      </c>
      <c r="E89" s="43" t="n">
        <v>0.00420719011854218</v>
      </c>
      <c r="F89" s="44" t="n">
        <v>237.68833159993</v>
      </c>
      <c r="G89" s="44" t="n">
        <v>158.662758780903</v>
      </c>
      <c r="H89" s="58" t="n">
        <v>-0.332475609076346</v>
      </c>
      <c r="I89" s="51" t="n">
        <v>6</v>
      </c>
      <c r="J89" s="60" t="n">
        <v>46306</v>
      </c>
      <c r="K89" s="41" t="s">
        <v>178</v>
      </c>
      <c r="L89" s="41" t="s">
        <v>159</v>
      </c>
      <c r="M89" s="43" t="n">
        <v>0.409928866974006</v>
      </c>
      <c r="N89" s="44" t="n">
        <v>2.43944762266135</v>
      </c>
      <c r="O89" s="51" t="s">
        <v>285</v>
      </c>
    </row>
    <row r="90" customFormat="false" ht="18.75" hidden="false" customHeight="true" outlineLevel="0" collapsed="false">
      <c r="A90" s="35" t="n">
        <v>31</v>
      </c>
      <c r="B90" s="53" t="s">
        <v>284</v>
      </c>
      <c r="C90" s="61" t="n">
        <v>1.5</v>
      </c>
      <c r="D90" s="32" t="n">
        <v>2</v>
      </c>
      <c r="E90" s="36" t="n">
        <v>0.667185679665432</v>
      </c>
      <c r="F90" s="37" t="n">
        <v>1.49883312918446</v>
      </c>
      <c r="G90" s="37" t="n">
        <v>1.30991263211092</v>
      </c>
      <c r="H90" s="57" t="n">
        <v>-0.126045050242739</v>
      </c>
      <c r="I90" s="50" t="n">
        <v>1</v>
      </c>
      <c r="J90" s="62" t="n">
        <v>46313</v>
      </c>
      <c r="K90" s="34" t="s">
        <v>189</v>
      </c>
      <c r="L90" s="34" t="s">
        <v>86</v>
      </c>
      <c r="M90" s="36" t="n">
        <v>0.816415073797958</v>
      </c>
      <c r="N90" s="37" t="n">
        <v>1.22486714429219</v>
      </c>
      <c r="O90" s="50" t="s">
        <v>285</v>
      </c>
    </row>
    <row r="91" customFormat="false" ht="18.75" hidden="false" customHeight="true" outlineLevel="0" collapsed="false">
      <c r="A91" s="35" t="n">
        <v>31</v>
      </c>
      <c r="B91" s="53" t="s">
        <v>284</v>
      </c>
      <c r="C91" s="61" t="n">
        <v>1.5</v>
      </c>
      <c r="D91" s="32" t="n">
        <v>2</v>
      </c>
      <c r="E91" s="36" t="n">
        <v>0.667185679665432</v>
      </c>
      <c r="F91" s="37" t="n">
        <v>1.49883312918446</v>
      </c>
      <c r="G91" s="37" t="n">
        <v>1.30991263211092</v>
      </c>
      <c r="H91" s="57" t="n">
        <v>-0.126045050242739</v>
      </c>
      <c r="I91" s="50" t="n">
        <v>2</v>
      </c>
      <c r="J91" s="62" t="n">
        <v>46313</v>
      </c>
      <c r="K91" s="34" t="s">
        <v>186</v>
      </c>
      <c r="L91" s="34" t="s">
        <v>86</v>
      </c>
      <c r="M91" s="36" t="n">
        <v>0.81721381816444</v>
      </c>
      <c r="N91" s="37" t="n">
        <v>1.22366995977396</v>
      </c>
      <c r="O91" s="50" t="s">
        <v>285</v>
      </c>
    </row>
    <row r="92" customFormat="false" ht="18.75" hidden="false" customHeight="true" outlineLevel="0" collapsed="false">
      <c r="A92" s="42" t="n">
        <v>31</v>
      </c>
      <c r="B92" s="54" t="s">
        <v>286</v>
      </c>
      <c r="C92" s="59" t="n">
        <v>2</v>
      </c>
      <c r="D92" s="39" t="n">
        <v>2</v>
      </c>
      <c r="E92" s="43" t="n">
        <v>0.50016543644877</v>
      </c>
      <c r="F92" s="44" t="n">
        <v>1.99933847308625</v>
      </c>
      <c r="G92" s="44" t="n">
        <v>1.74733175479385</v>
      </c>
      <c r="H92" s="58" t="n">
        <v>-0.126045050242739</v>
      </c>
      <c r="I92" s="51" t="n">
        <v>1</v>
      </c>
      <c r="J92" s="60" t="n">
        <v>46313</v>
      </c>
      <c r="K92" s="41" t="s">
        <v>183</v>
      </c>
      <c r="L92" s="41" t="s">
        <v>145</v>
      </c>
      <c r="M92" s="43" t="n">
        <v>0.707087941172498</v>
      </c>
      <c r="N92" s="44" t="n">
        <v>1.41425124340516</v>
      </c>
      <c r="O92" s="51" t="s">
        <v>285</v>
      </c>
    </row>
    <row r="93" customFormat="false" ht="18.75" hidden="false" customHeight="true" outlineLevel="0" collapsed="false">
      <c r="A93" s="42" t="n">
        <v>31</v>
      </c>
      <c r="B93" s="54" t="s">
        <v>286</v>
      </c>
      <c r="C93" s="59" t="n">
        <v>2</v>
      </c>
      <c r="D93" s="39" t="n">
        <v>2</v>
      </c>
      <c r="E93" s="43" t="n">
        <v>0.50016543644877</v>
      </c>
      <c r="F93" s="44" t="n">
        <v>1.99933847308625</v>
      </c>
      <c r="G93" s="44" t="n">
        <v>1.74733175479385</v>
      </c>
      <c r="H93" s="58" t="n">
        <v>-0.126045050242739</v>
      </c>
      <c r="I93" s="51" t="n">
        <v>2</v>
      </c>
      <c r="J93" s="60" t="n">
        <v>46313</v>
      </c>
      <c r="K93" s="41" t="s">
        <v>182</v>
      </c>
      <c r="L93" s="41" t="s">
        <v>149</v>
      </c>
      <c r="M93" s="43" t="n">
        <v>0.707359590405959</v>
      </c>
      <c r="N93" s="44" t="n">
        <v>1.41370812464152</v>
      </c>
      <c r="O93" s="51" t="s">
        <v>288</v>
      </c>
    </row>
    <row r="94" customFormat="false" ht="18.75" hidden="false" customHeight="true" outlineLevel="0" collapsed="false">
      <c r="A94" s="35" t="n">
        <v>31</v>
      </c>
      <c r="B94" s="53" t="s">
        <v>287</v>
      </c>
      <c r="C94" s="61" t="n">
        <v>3</v>
      </c>
      <c r="D94" s="32" t="n">
        <v>2</v>
      </c>
      <c r="E94" s="36" t="n">
        <v>0.33273423817986</v>
      </c>
      <c r="F94" s="37" t="n">
        <v>3.00540156453467</v>
      </c>
      <c r="G94" s="37" t="n">
        <v>2.62658557333329</v>
      </c>
      <c r="H94" s="57" t="n">
        <v>-0.126045050242739</v>
      </c>
      <c r="I94" s="50" t="n">
        <v>1</v>
      </c>
      <c r="J94" s="62" t="n">
        <v>46313</v>
      </c>
      <c r="K94" s="34" t="s">
        <v>183</v>
      </c>
      <c r="L94" s="34" t="s">
        <v>163</v>
      </c>
      <c r="M94" s="36" t="n">
        <v>0.580386450357992</v>
      </c>
      <c r="N94" s="37" t="n">
        <v>1.72298991367422</v>
      </c>
      <c r="O94" s="50" t="s">
        <v>288</v>
      </c>
    </row>
    <row r="95" customFormat="false" ht="18.75" hidden="false" customHeight="true" outlineLevel="0" collapsed="false">
      <c r="A95" s="35" t="n">
        <v>31</v>
      </c>
      <c r="B95" s="53" t="s">
        <v>287</v>
      </c>
      <c r="C95" s="61" t="n">
        <v>3</v>
      </c>
      <c r="D95" s="32" t="n">
        <v>2</v>
      </c>
      <c r="E95" s="36" t="n">
        <v>0.33273423817986</v>
      </c>
      <c r="F95" s="37" t="n">
        <v>3.00540156453467</v>
      </c>
      <c r="G95" s="37" t="n">
        <v>2.62658557333329</v>
      </c>
      <c r="H95" s="57" t="n">
        <v>-0.126045050242739</v>
      </c>
      <c r="I95" s="50" t="n">
        <v>2</v>
      </c>
      <c r="J95" s="62" t="n">
        <v>46313</v>
      </c>
      <c r="K95" s="34" t="s">
        <v>186</v>
      </c>
      <c r="L95" s="34" t="s">
        <v>161</v>
      </c>
      <c r="M95" s="36" t="n">
        <v>0.573297736317972</v>
      </c>
      <c r="N95" s="37" t="n">
        <v>1.74429434594063</v>
      </c>
      <c r="O95" s="50" t="s">
        <v>288</v>
      </c>
    </row>
    <row r="96" customFormat="false" ht="18.75" hidden="false" customHeight="true" outlineLevel="0" collapsed="false">
      <c r="A96" s="42" t="n">
        <v>31</v>
      </c>
      <c r="B96" s="54" t="s">
        <v>289</v>
      </c>
      <c r="C96" s="59" t="n">
        <v>5</v>
      </c>
      <c r="D96" s="39" t="n">
        <v>2</v>
      </c>
      <c r="E96" s="43" t="n">
        <v>0.200662299772571</v>
      </c>
      <c r="F96" s="44" t="n">
        <v>4.9834971548387</v>
      </c>
      <c r="G96" s="44" t="n">
        <v>4.35535200557251</v>
      </c>
      <c r="H96" s="58" t="n">
        <v>-0.126045050242739</v>
      </c>
      <c r="I96" s="51" t="n">
        <v>1</v>
      </c>
      <c r="J96" s="60" t="n">
        <v>46313</v>
      </c>
      <c r="K96" s="41" t="s">
        <v>190</v>
      </c>
      <c r="L96" s="41" t="s">
        <v>150</v>
      </c>
      <c r="M96" s="43" t="n">
        <v>0.446340843917538</v>
      </c>
      <c r="N96" s="44" t="n">
        <v>2.24044026807628</v>
      </c>
      <c r="O96" s="51" t="s">
        <v>285</v>
      </c>
    </row>
    <row r="97" customFormat="false" ht="18.75" hidden="false" customHeight="true" outlineLevel="0" collapsed="false">
      <c r="A97" s="42" t="n">
        <v>31</v>
      </c>
      <c r="B97" s="54" t="s">
        <v>289</v>
      </c>
      <c r="C97" s="59" t="n">
        <v>5</v>
      </c>
      <c r="D97" s="39" t="n">
        <v>2</v>
      </c>
      <c r="E97" s="43" t="n">
        <v>0.200662299772571</v>
      </c>
      <c r="F97" s="44" t="n">
        <v>4.9834971548387</v>
      </c>
      <c r="G97" s="44" t="n">
        <v>4.35535200557251</v>
      </c>
      <c r="H97" s="58" t="n">
        <v>-0.126045050242739</v>
      </c>
      <c r="I97" s="51" t="n">
        <v>2</v>
      </c>
      <c r="J97" s="60" t="n">
        <v>46313</v>
      </c>
      <c r="K97" s="41" t="s">
        <v>191</v>
      </c>
      <c r="L97" s="41" t="s">
        <v>159</v>
      </c>
      <c r="M97" s="43" t="n">
        <v>0.449571896695261</v>
      </c>
      <c r="N97" s="44" t="n">
        <v>2.22433832575136</v>
      </c>
      <c r="O97" s="51" t="s">
        <v>285</v>
      </c>
    </row>
    <row r="98" customFormat="false" ht="18.75" hidden="false" customHeight="true" outlineLevel="0" collapsed="false">
      <c r="A98" s="35" t="n">
        <v>31</v>
      </c>
      <c r="B98" s="53" t="s">
        <v>290</v>
      </c>
      <c r="C98" s="61" t="n">
        <v>10</v>
      </c>
      <c r="D98" s="32" t="n">
        <v>3</v>
      </c>
      <c r="E98" s="36" t="n">
        <v>0.0995220021955668</v>
      </c>
      <c r="F98" s="37" t="n">
        <v>10.0480293597283</v>
      </c>
      <c r="G98" s="37" t="n">
        <v>8.20945761500475</v>
      </c>
      <c r="H98" s="57" t="n">
        <v>-0.182978341215085</v>
      </c>
      <c r="I98" s="50" t="n">
        <v>1</v>
      </c>
      <c r="J98" s="62" t="n">
        <v>46313</v>
      </c>
      <c r="K98" s="34" t="s">
        <v>191</v>
      </c>
      <c r="L98" s="34" t="s">
        <v>292</v>
      </c>
      <c r="M98" s="36" t="n">
        <v>0.464010380811646</v>
      </c>
      <c r="N98" s="37" t="n">
        <v>2.15512419840867</v>
      </c>
      <c r="O98" s="50" t="s">
        <v>285</v>
      </c>
    </row>
    <row r="99" customFormat="false" ht="18.75" hidden="false" customHeight="true" outlineLevel="0" collapsed="false">
      <c r="A99" s="35" t="n">
        <v>31</v>
      </c>
      <c r="B99" s="53" t="s">
        <v>290</v>
      </c>
      <c r="C99" s="61" t="n">
        <v>10</v>
      </c>
      <c r="D99" s="32" t="n">
        <v>3</v>
      </c>
      <c r="E99" s="36" t="n">
        <v>0.0995220021955668</v>
      </c>
      <c r="F99" s="37" t="n">
        <v>10.0480293597283</v>
      </c>
      <c r="G99" s="37" t="n">
        <v>8.20945761500475</v>
      </c>
      <c r="H99" s="57" t="n">
        <v>-0.182978341215085</v>
      </c>
      <c r="I99" s="50" t="n">
        <v>2</v>
      </c>
      <c r="J99" s="62" t="n">
        <v>46313</v>
      </c>
      <c r="K99" s="34" t="s">
        <v>190</v>
      </c>
      <c r="L99" s="34" t="s">
        <v>142</v>
      </c>
      <c r="M99" s="36" t="n">
        <v>0.463442494671973</v>
      </c>
      <c r="N99" s="37" t="n">
        <v>2.15776501183346</v>
      </c>
      <c r="O99" s="50" t="s">
        <v>285</v>
      </c>
    </row>
    <row r="100" customFormat="false" ht="18.75" hidden="false" customHeight="true" outlineLevel="0" collapsed="false">
      <c r="A100" s="35" t="n">
        <v>31</v>
      </c>
      <c r="B100" s="53" t="s">
        <v>290</v>
      </c>
      <c r="C100" s="61" t="n">
        <v>10</v>
      </c>
      <c r="D100" s="32" t="n">
        <v>3</v>
      </c>
      <c r="E100" s="36" t="n">
        <v>0.0995220021955668</v>
      </c>
      <c r="F100" s="37" t="n">
        <v>10.0480293597283</v>
      </c>
      <c r="G100" s="37" t="n">
        <v>8.20945761500475</v>
      </c>
      <c r="H100" s="57" t="n">
        <v>-0.182978341215085</v>
      </c>
      <c r="I100" s="50" t="n">
        <v>3</v>
      </c>
      <c r="J100" s="62" t="n">
        <v>46313</v>
      </c>
      <c r="K100" s="34" t="s">
        <v>184</v>
      </c>
      <c r="L100" s="34" t="s">
        <v>292</v>
      </c>
      <c r="M100" s="36" t="n">
        <v>0.462802349097397</v>
      </c>
      <c r="N100" s="37" t="n">
        <v>2.16074962011386</v>
      </c>
      <c r="O100" s="50" t="s">
        <v>285</v>
      </c>
    </row>
    <row r="101" customFormat="false" ht="18.75" hidden="false" customHeight="true" outlineLevel="0" collapsed="false">
      <c r="A101" s="42" t="n">
        <v>31</v>
      </c>
      <c r="B101" s="54" t="s">
        <v>293</v>
      </c>
      <c r="C101" s="59" t="n">
        <v>25</v>
      </c>
      <c r="D101" s="39" t="n">
        <v>4</v>
      </c>
      <c r="E101" s="43" t="n">
        <v>0.0408628842519249</v>
      </c>
      <c r="F101" s="44" t="n">
        <v>24.4720855687737</v>
      </c>
      <c r="G101" s="44" t="n">
        <v>18.6917117621045</v>
      </c>
      <c r="H101" s="58" t="n">
        <v>-0.236202745794783</v>
      </c>
      <c r="I101" s="51" t="n">
        <v>1</v>
      </c>
      <c r="J101" s="60" t="n">
        <v>46313</v>
      </c>
      <c r="K101" s="41" t="s">
        <v>190</v>
      </c>
      <c r="L101" s="41" t="s">
        <v>150</v>
      </c>
      <c r="M101" s="43" t="n">
        <v>0.446340843917538</v>
      </c>
      <c r="N101" s="44" t="n">
        <v>2.24044026807628</v>
      </c>
      <c r="O101" s="51" t="s">
        <v>285</v>
      </c>
    </row>
    <row r="102" customFormat="false" ht="18.75" hidden="false" customHeight="true" outlineLevel="0" collapsed="false">
      <c r="A102" s="42" t="n">
        <v>31</v>
      </c>
      <c r="B102" s="54" t="s">
        <v>293</v>
      </c>
      <c r="C102" s="59" t="n">
        <v>25</v>
      </c>
      <c r="D102" s="39" t="n">
        <v>4</v>
      </c>
      <c r="E102" s="43" t="n">
        <v>0.0408628842519249</v>
      </c>
      <c r="F102" s="44" t="n">
        <v>24.4720855687737</v>
      </c>
      <c r="G102" s="44" t="n">
        <v>18.6917117621045</v>
      </c>
      <c r="H102" s="58" t="n">
        <v>-0.236202745794783</v>
      </c>
      <c r="I102" s="51" t="n">
        <v>2</v>
      </c>
      <c r="J102" s="60" t="n">
        <v>46313</v>
      </c>
      <c r="K102" s="41" t="s">
        <v>191</v>
      </c>
      <c r="L102" s="41" t="s">
        <v>159</v>
      </c>
      <c r="M102" s="43" t="n">
        <v>0.449571896695261</v>
      </c>
      <c r="N102" s="44" t="n">
        <v>2.22433832575136</v>
      </c>
      <c r="O102" s="51" t="s">
        <v>285</v>
      </c>
    </row>
    <row r="103" customFormat="false" ht="18.75" hidden="false" customHeight="true" outlineLevel="0" collapsed="false">
      <c r="A103" s="42" t="n">
        <v>31</v>
      </c>
      <c r="B103" s="54" t="s">
        <v>293</v>
      </c>
      <c r="C103" s="59" t="n">
        <v>25</v>
      </c>
      <c r="D103" s="39" t="n">
        <v>4</v>
      </c>
      <c r="E103" s="43" t="n">
        <v>0.0408628842519249</v>
      </c>
      <c r="F103" s="44" t="n">
        <v>24.4720855687737</v>
      </c>
      <c r="G103" s="44" t="n">
        <v>18.6917117621045</v>
      </c>
      <c r="H103" s="58" t="n">
        <v>-0.236202745794783</v>
      </c>
      <c r="I103" s="51" t="n">
        <v>3</v>
      </c>
      <c r="J103" s="60" t="n">
        <v>46313</v>
      </c>
      <c r="K103" s="41" t="s">
        <v>192</v>
      </c>
      <c r="L103" s="41" t="s">
        <v>150</v>
      </c>
      <c r="M103" s="43" t="n">
        <v>0.450811455499217</v>
      </c>
      <c r="N103" s="44" t="n">
        <v>2.21822224746402</v>
      </c>
      <c r="O103" s="51" t="s">
        <v>285</v>
      </c>
    </row>
    <row r="104" customFormat="false" ht="18.75" hidden="false" customHeight="true" outlineLevel="0" collapsed="false">
      <c r="A104" s="42" t="n">
        <v>31</v>
      </c>
      <c r="B104" s="54" t="s">
        <v>293</v>
      </c>
      <c r="C104" s="59" t="n">
        <v>25</v>
      </c>
      <c r="D104" s="39" t="n">
        <v>4</v>
      </c>
      <c r="E104" s="43" t="n">
        <v>0.0408628842519249</v>
      </c>
      <c r="F104" s="44" t="n">
        <v>24.4720855687737</v>
      </c>
      <c r="G104" s="44" t="n">
        <v>18.6917117621045</v>
      </c>
      <c r="H104" s="58" t="n">
        <v>-0.236202745794783</v>
      </c>
      <c r="I104" s="51" t="n">
        <v>4</v>
      </c>
      <c r="J104" s="60" t="n">
        <v>46313</v>
      </c>
      <c r="K104" s="41" t="s">
        <v>184</v>
      </c>
      <c r="L104" s="41" t="s">
        <v>156</v>
      </c>
      <c r="M104" s="43" t="n">
        <v>0.451718927999434</v>
      </c>
      <c r="N104" s="44" t="n">
        <v>2.21376599034445</v>
      </c>
      <c r="O104" s="51" t="s">
        <v>285</v>
      </c>
    </row>
    <row r="105" customFormat="false" ht="18.75" hidden="false" customHeight="true" outlineLevel="0" collapsed="false">
      <c r="A105" s="35" t="n">
        <v>31</v>
      </c>
      <c r="B105" s="53" t="s">
        <v>294</v>
      </c>
      <c r="C105" s="61" t="n">
        <v>50</v>
      </c>
      <c r="D105" s="32" t="n">
        <v>4</v>
      </c>
      <c r="E105" s="36" t="n">
        <v>0.019890435570611</v>
      </c>
      <c r="F105" s="37" t="n">
        <v>50.2754198845974</v>
      </c>
      <c r="G105" s="37" t="n">
        <v>38.4002276618698</v>
      </c>
      <c r="H105" s="57" t="n">
        <v>-0.236202745794783</v>
      </c>
      <c r="I105" s="50" t="n">
        <v>1</v>
      </c>
      <c r="J105" s="62" t="n">
        <v>46313</v>
      </c>
      <c r="K105" s="34" t="s">
        <v>186</v>
      </c>
      <c r="L105" s="34" t="s">
        <v>159</v>
      </c>
      <c r="M105" s="36" t="n">
        <v>0.37616415454233</v>
      </c>
      <c r="N105" s="37" t="n">
        <v>2.65841385449572</v>
      </c>
      <c r="O105" s="50" t="s">
        <v>285</v>
      </c>
    </row>
    <row r="106" customFormat="false" ht="18.75" hidden="false" customHeight="true" outlineLevel="0" collapsed="false">
      <c r="A106" s="35" t="n">
        <v>31</v>
      </c>
      <c r="B106" s="53" t="s">
        <v>294</v>
      </c>
      <c r="C106" s="61" t="n">
        <v>50</v>
      </c>
      <c r="D106" s="32" t="n">
        <v>4</v>
      </c>
      <c r="E106" s="36" t="n">
        <v>0.019890435570611</v>
      </c>
      <c r="F106" s="37" t="n">
        <v>50.2754198845974</v>
      </c>
      <c r="G106" s="37" t="n">
        <v>38.4002276618698</v>
      </c>
      <c r="H106" s="57" t="n">
        <v>-0.236202745794783</v>
      </c>
      <c r="I106" s="50" t="n">
        <v>2</v>
      </c>
      <c r="J106" s="62" t="n">
        <v>46313</v>
      </c>
      <c r="K106" s="34" t="s">
        <v>191</v>
      </c>
      <c r="L106" s="34" t="s">
        <v>143</v>
      </c>
      <c r="M106" s="36" t="n">
        <v>0.377280149274393</v>
      </c>
      <c r="N106" s="37" t="n">
        <v>2.65055026595823</v>
      </c>
      <c r="O106" s="50" t="s">
        <v>285</v>
      </c>
    </row>
    <row r="107" customFormat="false" ht="18.75" hidden="false" customHeight="true" outlineLevel="0" collapsed="false">
      <c r="A107" s="35" t="n">
        <v>31</v>
      </c>
      <c r="B107" s="53" t="s">
        <v>294</v>
      </c>
      <c r="C107" s="61" t="n">
        <v>50</v>
      </c>
      <c r="D107" s="32" t="n">
        <v>4</v>
      </c>
      <c r="E107" s="36" t="n">
        <v>0.019890435570611</v>
      </c>
      <c r="F107" s="37" t="n">
        <v>50.2754198845974</v>
      </c>
      <c r="G107" s="37" t="n">
        <v>38.4002276618698</v>
      </c>
      <c r="H107" s="57" t="n">
        <v>-0.236202745794783</v>
      </c>
      <c r="I107" s="50" t="n">
        <v>3</v>
      </c>
      <c r="J107" s="62" t="n">
        <v>46313</v>
      </c>
      <c r="K107" s="34" t="s">
        <v>183</v>
      </c>
      <c r="L107" s="34" t="s">
        <v>110</v>
      </c>
      <c r="M107" s="36" t="n">
        <v>0.374405296513394</v>
      </c>
      <c r="N107" s="37" t="n">
        <v>2.67090238656447</v>
      </c>
      <c r="O107" s="50" t="s">
        <v>285</v>
      </c>
    </row>
    <row r="108" customFormat="false" ht="18.75" hidden="false" customHeight="true" outlineLevel="0" collapsed="false">
      <c r="A108" s="35" t="n">
        <v>31</v>
      </c>
      <c r="B108" s="53" t="s">
        <v>294</v>
      </c>
      <c r="C108" s="61" t="n">
        <v>50</v>
      </c>
      <c r="D108" s="32" t="n">
        <v>4</v>
      </c>
      <c r="E108" s="36" t="n">
        <v>0.019890435570611</v>
      </c>
      <c r="F108" s="37" t="n">
        <v>50.2754198845974</v>
      </c>
      <c r="G108" s="37" t="n">
        <v>38.4002276618698</v>
      </c>
      <c r="H108" s="57" t="n">
        <v>-0.236202745794783</v>
      </c>
      <c r="I108" s="50" t="n">
        <v>4</v>
      </c>
      <c r="J108" s="62" t="n">
        <v>46313</v>
      </c>
      <c r="K108" s="34" t="s">
        <v>182</v>
      </c>
      <c r="L108" s="34" t="s">
        <v>159</v>
      </c>
      <c r="M108" s="36" t="n">
        <v>0.374335440442628</v>
      </c>
      <c r="N108" s="37" t="n">
        <v>2.67140081317859</v>
      </c>
      <c r="O108" s="50" t="s">
        <v>285</v>
      </c>
    </row>
    <row r="109" customFormat="false" ht="18.75" hidden="false" customHeight="true" outlineLevel="0" collapsed="false">
      <c r="A109" s="42" t="n">
        <v>31</v>
      </c>
      <c r="B109" s="54" t="s">
        <v>295</v>
      </c>
      <c r="C109" s="59" t="n">
        <v>100</v>
      </c>
      <c r="D109" s="39" t="n">
        <v>5</v>
      </c>
      <c r="E109" s="43" t="n">
        <v>0.00986769638060175</v>
      </c>
      <c r="F109" s="44" t="n">
        <v>101.340775134289</v>
      </c>
      <c r="G109" s="44" t="n">
        <v>72.3613795168698</v>
      </c>
      <c r="H109" s="58" t="n">
        <v>-0.285959877246035</v>
      </c>
      <c r="I109" s="51" t="n">
        <v>1</v>
      </c>
      <c r="J109" s="60" t="n">
        <v>46313</v>
      </c>
      <c r="K109" s="41" t="s">
        <v>189</v>
      </c>
      <c r="L109" s="41" t="s">
        <v>143</v>
      </c>
      <c r="M109" s="43" t="n">
        <v>0.398057052040988</v>
      </c>
      <c r="N109" s="44" t="n">
        <v>2.5122026977606</v>
      </c>
      <c r="O109" s="51" t="s">
        <v>285</v>
      </c>
    </row>
    <row r="110" customFormat="false" ht="18.75" hidden="false" customHeight="true" outlineLevel="0" collapsed="false">
      <c r="A110" s="42" t="n">
        <v>31</v>
      </c>
      <c r="B110" s="54" t="s">
        <v>295</v>
      </c>
      <c r="C110" s="59" t="n">
        <v>100</v>
      </c>
      <c r="D110" s="39" t="n">
        <v>5</v>
      </c>
      <c r="E110" s="43" t="n">
        <v>0.00986769638060175</v>
      </c>
      <c r="F110" s="44" t="n">
        <v>101.340775134289</v>
      </c>
      <c r="G110" s="44" t="n">
        <v>72.3613795168698</v>
      </c>
      <c r="H110" s="58" t="n">
        <v>-0.285959877246035</v>
      </c>
      <c r="I110" s="51" t="n">
        <v>2</v>
      </c>
      <c r="J110" s="60" t="n">
        <v>46313</v>
      </c>
      <c r="K110" s="41" t="s">
        <v>186</v>
      </c>
      <c r="L110" s="41" t="s">
        <v>142</v>
      </c>
      <c r="M110" s="43" t="n">
        <v>0.397122051891941</v>
      </c>
      <c r="N110" s="44" t="n">
        <v>2.51811752894575</v>
      </c>
      <c r="O110" s="51" t="s">
        <v>285</v>
      </c>
    </row>
    <row r="111" customFormat="false" ht="18.75" hidden="false" customHeight="true" outlineLevel="0" collapsed="false">
      <c r="A111" s="42" t="n">
        <v>31</v>
      </c>
      <c r="B111" s="54" t="s">
        <v>295</v>
      </c>
      <c r="C111" s="59" t="n">
        <v>100</v>
      </c>
      <c r="D111" s="39" t="n">
        <v>5</v>
      </c>
      <c r="E111" s="43" t="n">
        <v>0.00986769638060175</v>
      </c>
      <c r="F111" s="44" t="n">
        <v>101.340775134289</v>
      </c>
      <c r="G111" s="44" t="n">
        <v>72.3613795168698</v>
      </c>
      <c r="H111" s="58" t="n">
        <v>-0.285959877246035</v>
      </c>
      <c r="I111" s="51" t="n">
        <v>3</v>
      </c>
      <c r="J111" s="60" t="n">
        <v>46313</v>
      </c>
      <c r="K111" s="41" t="s">
        <v>183</v>
      </c>
      <c r="L111" s="41" t="s">
        <v>150</v>
      </c>
      <c r="M111" s="43" t="n">
        <v>0.399704629170491</v>
      </c>
      <c r="N111" s="44" t="n">
        <v>2.50184743187815</v>
      </c>
      <c r="O111" s="51" t="s">
        <v>285</v>
      </c>
    </row>
    <row r="112" customFormat="false" ht="18.75" hidden="false" customHeight="true" outlineLevel="0" collapsed="false">
      <c r="A112" s="42" t="n">
        <v>31</v>
      </c>
      <c r="B112" s="54" t="s">
        <v>295</v>
      </c>
      <c r="C112" s="59" t="n">
        <v>100</v>
      </c>
      <c r="D112" s="39" t="n">
        <v>5</v>
      </c>
      <c r="E112" s="43" t="n">
        <v>0.00986769638060175</v>
      </c>
      <c r="F112" s="44" t="n">
        <v>101.340775134289</v>
      </c>
      <c r="G112" s="44" t="n">
        <v>72.3613795168698</v>
      </c>
      <c r="H112" s="58" t="n">
        <v>-0.285959877246035</v>
      </c>
      <c r="I112" s="51" t="n">
        <v>4</v>
      </c>
      <c r="J112" s="60" t="n">
        <v>46313</v>
      </c>
      <c r="K112" s="41" t="s">
        <v>185</v>
      </c>
      <c r="L112" s="41" t="s">
        <v>146</v>
      </c>
      <c r="M112" s="43" t="n">
        <v>0.395371730334178</v>
      </c>
      <c r="N112" s="44" t="n">
        <v>2.52926530471659</v>
      </c>
      <c r="O112" s="51" t="s">
        <v>285</v>
      </c>
    </row>
    <row r="113" customFormat="false" ht="18.75" hidden="false" customHeight="true" outlineLevel="0" collapsed="false">
      <c r="A113" s="42" t="n">
        <v>31</v>
      </c>
      <c r="B113" s="54" t="s">
        <v>295</v>
      </c>
      <c r="C113" s="59" t="n">
        <v>100</v>
      </c>
      <c r="D113" s="39" t="n">
        <v>5</v>
      </c>
      <c r="E113" s="43" t="n">
        <v>0.00986769638060175</v>
      </c>
      <c r="F113" s="44" t="n">
        <v>101.340775134289</v>
      </c>
      <c r="G113" s="44" t="n">
        <v>72.3613795168698</v>
      </c>
      <c r="H113" s="58" t="n">
        <v>-0.285959877246035</v>
      </c>
      <c r="I113" s="51" t="n">
        <v>5</v>
      </c>
      <c r="J113" s="60" t="n">
        <v>46313</v>
      </c>
      <c r="K113" s="41" t="s">
        <v>182</v>
      </c>
      <c r="L113" s="41" t="s">
        <v>142</v>
      </c>
      <c r="M113" s="43" t="n">
        <v>0.395004151981302</v>
      </c>
      <c r="N113" s="44" t="n">
        <v>2.5316189588998</v>
      </c>
      <c r="O113" s="51" t="s">
        <v>285</v>
      </c>
    </row>
    <row r="114" customFormat="false" ht="18.75" hidden="false" customHeight="true" outlineLevel="0" collapsed="false">
      <c r="A114" s="35" t="n">
        <v>31</v>
      </c>
      <c r="B114" s="53" t="s">
        <v>296</v>
      </c>
      <c r="C114" s="61" t="n">
        <v>250</v>
      </c>
      <c r="D114" s="32" t="n">
        <v>6</v>
      </c>
      <c r="E114" s="36" t="n">
        <v>0.00389087389047939</v>
      </c>
      <c r="F114" s="37" t="n">
        <v>257.011670937706</v>
      </c>
      <c r="G114" s="37" t="n">
        <v>171.561559102963</v>
      </c>
      <c r="H114" s="57" t="n">
        <v>-0.332475609076346</v>
      </c>
      <c r="I114" s="50" t="n">
        <v>1</v>
      </c>
      <c r="J114" s="62" t="n">
        <v>46313</v>
      </c>
      <c r="K114" s="34" t="s">
        <v>189</v>
      </c>
      <c r="L114" s="34" t="s">
        <v>143</v>
      </c>
      <c r="M114" s="36" t="n">
        <v>0.398057052040988</v>
      </c>
      <c r="N114" s="37" t="n">
        <v>2.5122026977606</v>
      </c>
      <c r="O114" s="50" t="s">
        <v>285</v>
      </c>
    </row>
    <row r="115" customFormat="false" ht="18.75" hidden="false" customHeight="true" outlineLevel="0" collapsed="false">
      <c r="A115" s="35" t="n">
        <v>31</v>
      </c>
      <c r="B115" s="53" t="s">
        <v>296</v>
      </c>
      <c r="C115" s="61" t="n">
        <v>250</v>
      </c>
      <c r="D115" s="32" t="n">
        <v>6</v>
      </c>
      <c r="E115" s="36" t="n">
        <v>0.00389087389047939</v>
      </c>
      <c r="F115" s="37" t="n">
        <v>257.011670937706</v>
      </c>
      <c r="G115" s="37" t="n">
        <v>171.561559102963</v>
      </c>
      <c r="H115" s="57" t="n">
        <v>-0.332475609076346</v>
      </c>
      <c r="I115" s="50" t="n">
        <v>2</v>
      </c>
      <c r="J115" s="62" t="n">
        <v>46313</v>
      </c>
      <c r="K115" s="34" t="s">
        <v>183</v>
      </c>
      <c r="L115" s="34" t="s">
        <v>150</v>
      </c>
      <c r="M115" s="36" t="n">
        <v>0.399704629170491</v>
      </c>
      <c r="N115" s="37" t="n">
        <v>2.50184743187815</v>
      </c>
      <c r="O115" s="50" t="s">
        <v>285</v>
      </c>
    </row>
    <row r="116" customFormat="false" ht="18.75" hidden="false" customHeight="true" outlineLevel="0" collapsed="false">
      <c r="A116" s="35" t="n">
        <v>31</v>
      </c>
      <c r="B116" s="53" t="s">
        <v>296</v>
      </c>
      <c r="C116" s="61" t="n">
        <v>250</v>
      </c>
      <c r="D116" s="32" t="n">
        <v>6</v>
      </c>
      <c r="E116" s="36" t="n">
        <v>0.00389087389047939</v>
      </c>
      <c r="F116" s="37" t="n">
        <v>257.011670937706</v>
      </c>
      <c r="G116" s="37" t="n">
        <v>171.561559102963</v>
      </c>
      <c r="H116" s="57" t="n">
        <v>-0.332475609076346</v>
      </c>
      <c r="I116" s="50" t="n">
        <v>3</v>
      </c>
      <c r="J116" s="62" t="n">
        <v>46313</v>
      </c>
      <c r="K116" s="34" t="s">
        <v>186</v>
      </c>
      <c r="L116" s="34" t="s">
        <v>142</v>
      </c>
      <c r="M116" s="36" t="n">
        <v>0.397122051891941</v>
      </c>
      <c r="N116" s="37" t="n">
        <v>2.51811752894575</v>
      </c>
      <c r="O116" s="50" t="s">
        <v>285</v>
      </c>
    </row>
    <row r="117" customFormat="false" ht="18.75" hidden="false" customHeight="true" outlineLevel="0" collapsed="false">
      <c r="A117" s="35" t="n">
        <v>31</v>
      </c>
      <c r="B117" s="53" t="s">
        <v>296</v>
      </c>
      <c r="C117" s="61" t="n">
        <v>250</v>
      </c>
      <c r="D117" s="32" t="n">
        <v>6</v>
      </c>
      <c r="E117" s="36" t="n">
        <v>0.00389087389047939</v>
      </c>
      <c r="F117" s="37" t="n">
        <v>257.011670937706</v>
      </c>
      <c r="G117" s="37" t="n">
        <v>171.561559102963</v>
      </c>
      <c r="H117" s="57" t="n">
        <v>-0.332475609076346</v>
      </c>
      <c r="I117" s="50" t="n">
        <v>4</v>
      </c>
      <c r="J117" s="62" t="n">
        <v>46313</v>
      </c>
      <c r="K117" s="34" t="s">
        <v>185</v>
      </c>
      <c r="L117" s="34" t="s">
        <v>146</v>
      </c>
      <c r="M117" s="36" t="n">
        <v>0.395371730334178</v>
      </c>
      <c r="N117" s="37" t="n">
        <v>2.52926530471659</v>
      </c>
      <c r="O117" s="50" t="s">
        <v>285</v>
      </c>
    </row>
    <row r="118" customFormat="false" ht="18.75" hidden="false" customHeight="true" outlineLevel="0" collapsed="false">
      <c r="A118" s="35" t="n">
        <v>31</v>
      </c>
      <c r="B118" s="53" t="s">
        <v>296</v>
      </c>
      <c r="C118" s="61" t="n">
        <v>250</v>
      </c>
      <c r="D118" s="32" t="n">
        <v>6</v>
      </c>
      <c r="E118" s="36" t="n">
        <v>0.00389087389047939</v>
      </c>
      <c r="F118" s="37" t="n">
        <v>257.011670937706</v>
      </c>
      <c r="G118" s="37" t="n">
        <v>171.561559102963</v>
      </c>
      <c r="H118" s="57" t="n">
        <v>-0.332475609076346</v>
      </c>
      <c r="I118" s="50" t="n">
        <v>5</v>
      </c>
      <c r="J118" s="62" t="n">
        <v>46313</v>
      </c>
      <c r="K118" s="34" t="s">
        <v>182</v>
      </c>
      <c r="L118" s="34" t="s">
        <v>142</v>
      </c>
      <c r="M118" s="36" t="n">
        <v>0.395004151981302</v>
      </c>
      <c r="N118" s="37" t="n">
        <v>2.5316189588998</v>
      </c>
      <c r="O118" s="50" t="s">
        <v>285</v>
      </c>
    </row>
    <row r="119" customFormat="false" ht="18.75" hidden="false" customHeight="true" outlineLevel="0" collapsed="false">
      <c r="A119" s="35" t="n">
        <v>31</v>
      </c>
      <c r="B119" s="53" t="s">
        <v>296</v>
      </c>
      <c r="C119" s="61" t="n">
        <v>250</v>
      </c>
      <c r="D119" s="32" t="n">
        <v>6</v>
      </c>
      <c r="E119" s="36" t="n">
        <v>0.00389087389047939</v>
      </c>
      <c r="F119" s="37" t="n">
        <v>257.011670937706</v>
      </c>
      <c r="G119" s="37" t="n">
        <v>171.561559102963</v>
      </c>
      <c r="H119" s="57" t="n">
        <v>-0.332475609076346</v>
      </c>
      <c r="I119" s="50" t="n">
        <v>6</v>
      </c>
      <c r="J119" s="62" t="n">
        <v>46313</v>
      </c>
      <c r="K119" s="34" t="s">
        <v>187</v>
      </c>
      <c r="L119" s="34" t="s">
        <v>170</v>
      </c>
      <c r="M119" s="36" t="n">
        <v>0.394304176010948</v>
      </c>
      <c r="N119" s="37" t="n">
        <v>2.53611313508441</v>
      </c>
      <c r="O119" s="50" t="s">
        <v>288</v>
      </c>
    </row>
    <row r="120" customFormat="false" ht="18.75" hidden="false" customHeight="true" outlineLevel="0" collapsed="false">
      <c r="A120" s="42" t="n">
        <v>32</v>
      </c>
      <c r="B120" s="54" t="s">
        <v>284</v>
      </c>
      <c r="C120" s="59" t="n">
        <v>1.5</v>
      </c>
      <c r="D120" s="39" t="n">
        <v>2</v>
      </c>
      <c r="E120" s="43" t="n">
        <v>0.664482354189124</v>
      </c>
      <c r="F120" s="44" t="n">
        <v>1.50493085887934</v>
      </c>
      <c r="G120" s="44" t="n">
        <v>1.31524177316004</v>
      </c>
      <c r="H120" s="58" t="n">
        <v>-0.126045050242739</v>
      </c>
      <c r="I120" s="51" t="n">
        <v>1</v>
      </c>
      <c r="J120" s="60" t="n">
        <v>46320</v>
      </c>
      <c r="K120" s="41" t="s">
        <v>203</v>
      </c>
      <c r="L120" s="41" t="s">
        <v>86</v>
      </c>
      <c r="M120" s="43" t="n">
        <v>0.817392633118308</v>
      </c>
      <c r="N120" s="44" t="n">
        <v>1.22340226652772</v>
      </c>
      <c r="O120" s="51" t="s">
        <v>285</v>
      </c>
    </row>
    <row r="121" customFormat="false" ht="18.75" hidden="false" customHeight="true" outlineLevel="0" collapsed="false">
      <c r="A121" s="42" t="n">
        <v>32</v>
      </c>
      <c r="B121" s="54" t="s">
        <v>284</v>
      </c>
      <c r="C121" s="59" t="n">
        <v>1.5</v>
      </c>
      <c r="D121" s="39" t="n">
        <v>2</v>
      </c>
      <c r="E121" s="43" t="n">
        <v>0.664482354189124</v>
      </c>
      <c r="F121" s="44" t="n">
        <v>1.50493085887934</v>
      </c>
      <c r="G121" s="44" t="n">
        <v>1.31524177316004</v>
      </c>
      <c r="H121" s="58" t="n">
        <v>-0.126045050242739</v>
      </c>
      <c r="I121" s="51" t="n">
        <v>2</v>
      </c>
      <c r="J121" s="60" t="n">
        <v>46320</v>
      </c>
      <c r="K121" s="41" t="s">
        <v>198</v>
      </c>
      <c r="L121" s="41" t="s">
        <v>86</v>
      </c>
      <c r="M121" s="43" t="n">
        <v>0.81292921818265</v>
      </c>
      <c r="N121" s="44" t="n">
        <v>1.23011939740038</v>
      </c>
      <c r="O121" s="51" t="s">
        <v>285</v>
      </c>
    </row>
    <row r="122" customFormat="false" ht="18.75" hidden="false" customHeight="true" outlineLevel="0" collapsed="false">
      <c r="A122" s="35" t="n">
        <v>32</v>
      </c>
      <c r="B122" s="53" t="s">
        <v>286</v>
      </c>
      <c r="C122" s="61" t="n">
        <v>2</v>
      </c>
      <c r="D122" s="32" t="n">
        <v>2</v>
      </c>
      <c r="E122" s="36" t="n">
        <v>0.499590113586437</v>
      </c>
      <c r="F122" s="37" t="n">
        <v>2.00164089081195</v>
      </c>
      <c r="G122" s="37" t="n">
        <v>1.74934396416164</v>
      </c>
      <c r="H122" s="57" t="n">
        <v>-0.126045050242739</v>
      </c>
      <c r="I122" s="50" t="n">
        <v>1</v>
      </c>
      <c r="J122" s="62" t="n">
        <v>46320</v>
      </c>
      <c r="K122" s="34" t="s">
        <v>200</v>
      </c>
      <c r="L122" s="34" t="s">
        <v>163</v>
      </c>
      <c r="M122" s="36" t="n">
        <v>0.707268991876525</v>
      </c>
      <c r="N122" s="37" t="n">
        <v>1.41388921539852</v>
      </c>
      <c r="O122" s="50" t="s">
        <v>288</v>
      </c>
    </row>
    <row r="123" customFormat="false" ht="18.75" hidden="false" customHeight="true" outlineLevel="0" collapsed="false">
      <c r="A123" s="35" t="n">
        <v>32</v>
      </c>
      <c r="B123" s="53" t="s">
        <v>286</v>
      </c>
      <c r="C123" s="61" t="n">
        <v>2</v>
      </c>
      <c r="D123" s="32" t="n">
        <v>2</v>
      </c>
      <c r="E123" s="36" t="n">
        <v>0.499590113586437</v>
      </c>
      <c r="F123" s="37" t="n">
        <v>2.00164089081195</v>
      </c>
      <c r="G123" s="37" t="n">
        <v>1.74934396416164</v>
      </c>
      <c r="H123" s="57" t="n">
        <v>-0.126045050242739</v>
      </c>
      <c r="I123" s="50" t="n">
        <v>2</v>
      </c>
      <c r="J123" s="62" t="n">
        <v>46320</v>
      </c>
      <c r="K123" s="34" t="s">
        <v>195</v>
      </c>
      <c r="L123" s="34" t="s">
        <v>141</v>
      </c>
      <c r="M123" s="36" t="n">
        <v>0.706365073719583</v>
      </c>
      <c r="N123" s="37" t="n">
        <v>1.4156985349434</v>
      </c>
      <c r="O123" s="50" t="s">
        <v>285</v>
      </c>
    </row>
    <row r="124" customFormat="false" ht="18.75" hidden="false" customHeight="true" outlineLevel="0" collapsed="false">
      <c r="A124" s="42" t="n">
        <v>32</v>
      </c>
      <c r="B124" s="54" t="s">
        <v>287</v>
      </c>
      <c r="C124" s="59" t="n">
        <v>3</v>
      </c>
      <c r="D124" s="39" t="n">
        <v>2</v>
      </c>
      <c r="E124" s="43" t="n">
        <v>0.329220702828939</v>
      </c>
      <c r="F124" s="44" t="n">
        <v>3.03747604997853</v>
      </c>
      <c r="G124" s="44" t="n">
        <v>2.65461722864787</v>
      </c>
      <c r="H124" s="58" t="n">
        <v>-0.126045050242739</v>
      </c>
      <c r="I124" s="51" t="n">
        <v>1</v>
      </c>
      <c r="J124" s="60" t="n">
        <v>46320</v>
      </c>
      <c r="K124" s="41" t="s">
        <v>198</v>
      </c>
      <c r="L124" s="41" t="s">
        <v>110</v>
      </c>
      <c r="M124" s="43" t="n">
        <v>0.575311103818196</v>
      </c>
      <c r="N124" s="44" t="n">
        <v>1.73818998688405</v>
      </c>
      <c r="O124" s="51" t="s">
        <v>285</v>
      </c>
    </row>
    <row r="125" customFormat="false" ht="18.75" hidden="false" customHeight="true" outlineLevel="0" collapsed="false">
      <c r="A125" s="42" t="n">
        <v>32</v>
      </c>
      <c r="B125" s="54" t="s">
        <v>287</v>
      </c>
      <c r="C125" s="59" t="n">
        <v>3</v>
      </c>
      <c r="D125" s="39" t="n">
        <v>2</v>
      </c>
      <c r="E125" s="43" t="n">
        <v>0.329220702828939</v>
      </c>
      <c r="F125" s="44" t="n">
        <v>3.03747604997853</v>
      </c>
      <c r="G125" s="44" t="n">
        <v>2.65461722864787</v>
      </c>
      <c r="H125" s="58" t="n">
        <v>-0.126045050242739</v>
      </c>
      <c r="I125" s="51" t="n">
        <v>2</v>
      </c>
      <c r="J125" s="60" t="n">
        <v>46320</v>
      </c>
      <c r="K125" s="41" t="s">
        <v>193</v>
      </c>
      <c r="L125" s="41" t="s">
        <v>149</v>
      </c>
      <c r="M125" s="43" t="n">
        <v>0.572248129132193</v>
      </c>
      <c r="N125" s="44" t="n">
        <v>1.74749369913448</v>
      </c>
      <c r="O125" s="51" t="s">
        <v>288</v>
      </c>
    </row>
    <row r="126" customFormat="false" ht="18.75" hidden="false" customHeight="true" outlineLevel="0" collapsed="false">
      <c r="A126" s="35" t="n">
        <v>32</v>
      </c>
      <c r="B126" s="53" t="s">
        <v>289</v>
      </c>
      <c r="C126" s="61" t="n">
        <v>5</v>
      </c>
      <c r="D126" s="32" t="n">
        <v>2</v>
      </c>
      <c r="E126" s="36" t="n">
        <v>0.200264089526398</v>
      </c>
      <c r="F126" s="37" t="n">
        <v>4.99340646825343</v>
      </c>
      <c r="G126" s="37" t="n">
        <v>4.36401229908001</v>
      </c>
      <c r="H126" s="57" t="n">
        <v>-0.126045050242739</v>
      </c>
      <c r="I126" s="50" t="n">
        <v>1</v>
      </c>
      <c r="J126" s="62" t="n">
        <v>46320</v>
      </c>
      <c r="K126" s="34" t="s">
        <v>202</v>
      </c>
      <c r="L126" s="34" t="s">
        <v>158</v>
      </c>
      <c r="M126" s="36" t="n">
        <v>0.446455199616289</v>
      </c>
      <c r="N126" s="37" t="n">
        <v>2.23986639837426</v>
      </c>
      <c r="O126" s="50" t="s">
        <v>288</v>
      </c>
    </row>
    <row r="127" customFormat="false" ht="18.75" hidden="false" customHeight="true" outlineLevel="0" collapsed="false">
      <c r="A127" s="35" t="n">
        <v>32</v>
      </c>
      <c r="B127" s="53" t="s">
        <v>289</v>
      </c>
      <c r="C127" s="61" t="n">
        <v>5</v>
      </c>
      <c r="D127" s="32" t="n">
        <v>2</v>
      </c>
      <c r="E127" s="36" t="n">
        <v>0.200264089526398</v>
      </c>
      <c r="F127" s="37" t="n">
        <v>4.99340646825343</v>
      </c>
      <c r="G127" s="37" t="n">
        <v>4.36401229908001</v>
      </c>
      <c r="H127" s="57" t="n">
        <v>-0.126045050242739</v>
      </c>
      <c r="I127" s="50" t="n">
        <v>2</v>
      </c>
      <c r="J127" s="62" t="n">
        <v>46320</v>
      </c>
      <c r="K127" s="34" t="s">
        <v>199</v>
      </c>
      <c r="L127" s="34" t="s">
        <v>168</v>
      </c>
      <c r="M127" s="36" t="n">
        <v>0.448564804931194</v>
      </c>
      <c r="N127" s="37" t="n">
        <v>2.22933228154935</v>
      </c>
      <c r="O127" s="50" t="s">
        <v>285</v>
      </c>
    </row>
    <row r="128" customFormat="false" ht="18.75" hidden="false" customHeight="true" outlineLevel="0" collapsed="false">
      <c r="A128" s="42" t="n">
        <v>32</v>
      </c>
      <c r="B128" s="54" t="s">
        <v>290</v>
      </c>
      <c r="C128" s="59" t="n">
        <v>10</v>
      </c>
      <c r="D128" s="39" t="n">
        <v>3</v>
      </c>
      <c r="E128" s="43" t="n">
        <v>0.0999799435357494</v>
      </c>
      <c r="F128" s="44" t="n">
        <v>10.0020060487675</v>
      </c>
      <c r="G128" s="44" t="n">
        <v>8.17185557314079</v>
      </c>
      <c r="H128" s="58" t="n">
        <v>-0.182978341215085</v>
      </c>
      <c r="I128" s="51" t="n">
        <v>1</v>
      </c>
      <c r="J128" s="60" t="n">
        <v>46320</v>
      </c>
      <c r="K128" s="41" t="s">
        <v>201</v>
      </c>
      <c r="L128" s="41" t="s">
        <v>292</v>
      </c>
      <c r="M128" s="43" t="n">
        <v>0.463771600052513</v>
      </c>
      <c r="N128" s="44" t="n">
        <v>2.15623380104942</v>
      </c>
      <c r="O128" s="51" t="s">
        <v>285</v>
      </c>
    </row>
    <row r="129" customFormat="false" ht="18.75" hidden="false" customHeight="true" outlineLevel="0" collapsed="false">
      <c r="A129" s="42" t="n">
        <v>32</v>
      </c>
      <c r="B129" s="54" t="s">
        <v>290</v>
      </c>
      <c r="C129" s="59" t="n">
        <v>10</v>
      </c>
      <c r="D129" s="39" t="n">
        <v>3</v>
      </c>
      <c r="E129" s="43" t="n">
        <v>0.0999799435357494</v>
      </c>
      <c r="F129" s="44" t="n">
        <v>10.0020060487675</v>
      </c>
      <c r="G129" s="44" t="n">
        <v>8.17185557314079</v>
      </c>
      <c r="H129" s="58" t="n">
        <v>-0.182978341215085</v>
      </c>
      <c r="I129" s="51" t="n">
        <v>2</v>
      </c>
      <c r="J129" s="60" t="n">
        <v>46320</v>
      </c>
      <c r="K129" s="41" t="s">
        <v>195</v>
      </c>
      <c r="L129" s="41" t="s">
        <v>292</v>
      </c>
      <c r="M129" s="43" t="n">
        <v>0.462797472177204</v>
      </c>
      <c r="N129" s="44" t="n">
        <v>2.16077238990861</v>
      </c>
      <c r="O129" s="51" t="s">
        <v>285</v>
      </c>
    </row>
    <row r="130" customFormat="false" ht="18.75" hidden="false" customHeight="true" outlineLevel="0" collapsed="false">
      <c r="A130" s="42" t="n">
        <v>32</v>
      </c>
      <c r="B130" s="54" t="s">
        <v>290</v>
      </c>
      <c r="C130" s="59" t="n">
        <v>10</v>
      </c>
      <c r="D130" s="39" t="n">
        <v>3</v>
      </c>
      <c r="E130" s="43" t="n">
        <v>0.0999799435357494</v>
      </c>
      <c r="F130" s="44" t="n">
        <v>10.0020060487675</v>
      </c>
      <c r="G130" s="44" t="n">
        <v>8.17185557314079</v>
      </c>
      <c r="H130" s="58" t="n">
        <v>-0.182978341215085</v>
      </c>
      <c r="I130" s="51" t="n">
        <v>3</v>
      </c>
      <c r="J130" s="60" t="n">
        <v>46320</v>
      </c>
      <c r="K130" s="41" t="s">
        <v>200</v>
      </c>
      <c r="L130" s="41" t="s">
        <v>292</v>
      </c>
      <c r="M130" s="43" t="n">
        <v>0.465819600665948</v>
      </c>
      <c r="N130" s="44" t="n">
        <v>2.14675380462817</v>
      </c>
      <c r="O130" s="51" t="s">
        <v>285</v>
      </c>
    </row>
    <row r="131" customFormat="false" ht="18.75" hidden="false" customHeight="true" outlineLevel="0" collapsed="false">
      <c r="A131" s="35" t="n">
        <v>32</v>
      </c>
      <c r="B131" s="53" t="s">
        <v>293</v>
      </c>
      <c r="C131" s="61" t="n">
        <v>25</v>
      </c>
      <c r="D131" s="32" t="n">
        <v>4</v>
      </c>
      <c r="E131" s="36" t="n">
        <v>0.0401223503761577</v>
      </c>
      <c r="F131" s="37" t="n">
        <v>24.9237642018659</v>
      </c>
      <c r="G131" s="37" t="n">
        <v>19.0367026618435</v>
      </c>
      <c r="H131" s="57" t="n">
        <v>-0.236202745794783</v>
      </c>
      <c r="I131" s="50" t="n">
        <v>1</v>
      </c>
      <c r="J131" s="62" t="n">
        <v>46320</v>
      </c>
      <c r="K131" s="34" t="s">
        <v>202</v>
      </c>
      <c r="L131" s="34" t="s">
        <v>158</v>
      </c>
      <c r="M131" s="36" t="n">
        <v>0.446455199616289</v>
      </c>
      <c r="N131" s="37" t="n">
        <v>2.23986639837426</v>
      </c>
      <c r="O131" s="50" t="s">
        <v>288</v>
      </c>
    </row>
    <row r="132" customFormat="false" ht="18.75" hidden="false" customHeight="true" outlineLevel="0" collapsed="false">
      <c r="A132" s="35" t="n">
        <v>32</v>
      </c>
      <c r="B132" s="53" t="s">
        <v>293</v>
      </c>
      <c r="C132" s="61" t="n">
        <v>25</v>
      </c>
      <c r="D132" s="32" t="n">
        <v>4</v>
      </c>
      <c r="E132" s="36" t="n">
        <v>0.0401223503761577</v>
      </c>
      <c r="F132" s="37" t="n">
        <v>24.9237642018659</v>
      </c>
      <c r="G132" s="37" t="n">
        <v>19.0367026618435</v>
      </c>
      <c r="H132" s="57" t="n">
        <v>-0.236202745794783</v>
      </c>
      <c r="I132" s="50" t="n">
        <v>2</v>
      </c>
      <c r="J132" s="62" t="n">
        <v>46320</v>
      </c>
      <c r="K132" s="34" t="s">
        <v>199</v>
      </c>
      <c r="L132" s="34" t="s">
        <v>168</v>
      </c>
      <c r="M132" s="36" t="n">
        <v>0.448564804931194</v>
      </c>
      <c r="N132" s="37" t="n">
        <v>2.22933228154935</v>
      </c>
      <c r="O132" s="50" t="s">
        <v>285</v>
      </c>
    </row>
    <row r="133" customFormat="false" ht="18.75" hidden="false" customHeight="true" outlineLevel="0" collapsed="false">
      <c r="A133" s="35" t="n">
        <v>32</v>
      </c>
      <c r="B133" s="53" t="s">
        <v>293</v>
      </c>
      <c r="C133" s="61" t="n">
        <v>25</v>
      </c>
      <c r="D133" s="32" t="n">
        <v>4</v>
      </c>
      <c r="E133" s="36" t="n">
        <v>0.0401223503761577</v>
      </c>
      <c r="F133" s="37" t="n">
        <v>24.9237642018659</v>
      </c>
      <c r="G133" s="37" t="n">
        <v>19.0367026618435</v>
      </c>
      <c r="H133" s="57" t="n">
        <v>-0.236202745794783</v>
      </c>
      <c r="I133" s="50" t="n">
        <v>3</v>
      </c>
      <c r="J133" s="62" t="n">
        <v>46320</v>
      </c>
      <c r="K133" s="34" t="s">
        <v>198</v>
      </c>
      <c r="L133" s="34" t="s">
        <v>163</v>
      </c>
      <c r="M133" s="36" t="n">
        <v>0.444551898131073</v>
      </c>
      <c r="N133" s="37" t="n">
        <v>2.24945614719917</v>
      </c>
      <c r="O133" s="50" t="s">
        <v>288</v>
      </c>
    </row>
    <row r="134" customFormat="false" ht="18.75" hidden="false" customHeight="true" outlineLevel="0" collapsed="false">
      <c r="A134" s="35" t="n">
        <v>32</v>
      </c>
      <c r="B134" s="53" t="s">
        <v>293</v>
      </c>
      <c r="C134" s="61" t="n">
        <v>25</v>
      </c>
      <c r="D134" s="32" t="n">
        <v>4</v>
      </c>
      <c r="E134" s="36" t="n">
        <v>0.0401223503761577</v>
      </c>
      <c r="F134" s="37" t="n">
        <v>24.9237642018659</v>
      </c>
      <c r="G134" s="37" t="n">
        <v>19.0367026618435</v>
      </c>
      <c r="H134" s="57" t="n">
        <v>-0.236202745794783</v>
      </c>
      <c r="I134" s="50" t="n">
        <v>4</v>
      </c>
      <c r="J134" s="62" t="n">
        <v>46320</v>
      </c>
      <c r="K134" s="34" t="s">
        <v>201</v>
      </c>
      <c r="L134" s="34" t="s">
        <v>159</v>
      </c>
      <c r="M134" s="36" t="n">
        <v>0.450672249364158</v>
      </c>
      <c r="N134" s="37" t="n">
        <v>2.218907424211</v>
      </c>
      <c r="O134" s="50" t="s">
        <v>285</v>
      </c>
    </row>
    <row r="135" customFormat="false" ht="18.75" hidden="false" customHeight="true" outlineLevel="0" collapsed="false">
      <c r="A135" s="42" t="n">
        <v>32</v>
      </c>
      <c r="B135" s="54" t="s">
        <v>294</v>
      </c>
      <c r="C135" s="59" t="n">
        <v>50</v>
      </c>
      <c r="D135" s="39" t="n">
        <v>4</v>
      </c>
      <c r="E135" s="43" t="n">
        <v>0.0196735023819202</v>
      </c>
      <c r="F135" s="44" t="n">
        <v>50.8297902725745</v>
      </c>
      <c r="G135" s="44" t="n">
        <v>38.8236542420194</v>
      </c>
      <c r="H135" s="58" t="n">
        <v>-0.236202745794783</v>
      </c>
      <c r="I135" s="51" t="n">
        <v>1</v>
      </c>
      <c r="J135" s="60" t="n">
        <v>46320</v>
      </c>
      <c r="K135" s="41" t="s">
        <v>203</v>
      </c>
      <c r="L135" s="41" t="s">
        <v>159</v>
      </c>
      <c r="M135" s="43" t="n">
        <v>0.375829294432195</v>
      </c>
      <c r="N135" s="44" t="n">
        <v>2.66078247442314</v>
      </c>
      <c r="O135" s="51" t="s">
        <v>285</v>
      </c>
    </row>
    <row r="136" customFormat="false" ht="18.75" hidden="false" customHeight="true" outlineLevel="0" collapsed="false">
      <c r="A136" s="42" t="n">
        <v>32</v>
      </c>
      <c r="B136" s="54" t="s">
        <v>294</v>
      </c>
      <c r="C136" s="59" t="n">
        <v>50</v>
      </c>
      <c r="D136" s="39" t="n">
        <v>4</v>
      </c>
      <c r="E136" s="43" t="n">
        <v>0.0196735023819202</v>
      </c>
      <c r="F136" s="44" t="n">
        <v>50.8297902725745</v>
      </c>
      <c r="G136" s="44" t="n">
        <v>38.8236542420194</v>
      </c>
      <c r="H136" s="58" t="n">
        <v>-0.236202745794783</v>
      </c>
      <c r="I136" s="51" t="n">
        <v>2</v>
      </c>
      <c r="J136" s="60" t="n">
        <v>46320</v>
      </c>
      <c r="K136" s="41" t="s">
        <v>194</v>
      </c>
      <c r="L136" s="41" t="s">
        <v>146</v>
      </c>
      <c r="M136" s="43" t="n">
        <v>0.375194069816827</v>
      </c>
      <c r="N136" s="44" t="n">
        <v>2.66528732847033</v>
      </c>
      <c r="O136" s="51" t="s">
        <v>285</v>
      </c>
    </row>
    <row r="137" customFormat="false" ht="18.75" hidden="false" customHeight="true" outlineLevel="0" collapsed="false">
      <c r="A137" s="42" t="n">
        <v>32</v>
      </c>
      <c r="B137" s="54" t="s">
        <v>294</v>
      </c>
      <c r="C137" s="59" t="n">
        <v>50</v>
      </c>
      <c r="D137" s="39" t="n">
        <v>4</v>
      </c>
      <c r="E137" s="43" t="n">
        <v>0.0196735023819202</v>
      </c>
      <c r="F137" s="44" t="n">
        <v>50.8297902725745</v>
      </c>
      <c r="G137" s="44" t="n">
        <v>38.8236542420194</v>
      </c>
      <c r="H137" s="58" t="n">
        <v>-0.236202745794783</v>
      </c>
      <c r="I137" s="51" t="n">
        <v>3</v>
      </c>
      <c r="J137" s="60" t="n">
        <v>46320</v>
      </c>
      <c r="K137" s="41" t="s">
        <v>197</v>
      </c>
      <c r="L137" s="41" t="s">
        <v>146</v>
      </c>
      <c r="M137" s="43" t="n">
        <v>0.374480624310436</v>
      </c>
      <c r="N137" s="44" t="n">
        <v>2.67036512727832</v>
      </c>
      <c r="O137" s="51" t="s">
        <v>285</v>
      </c>
    </row>
    <row r="138" customFormat="false" ht="18.75" hidden="false" customHeight="true" outlineLevel="0" collapsed="false">
      <c r="A138" s="42" t="n">
        <v>32</v>
      </c>
      <c r="B138" s="54" t="s">
        <v>294</v>
      </c>
      <c r="C138" s="59" t="n">
        <v>50</v>
      </c>
      <c r="D138" s="39" t="n">
        <v>4</v>
      </c>
      <c r="E138" s="43" t="n">
        <v>0.0196735023819202</v>
      </c>
      <c r="F138" s="44" t="n">
        <v>50.8297902725745</v>
      </c>
      <c r="G138" s="44" t="n">
        <v>38.8236542420194</v>
      </c>
      <c r="H138" s="58" t="n">
        <v>-0.236202745794783</v>
      </c>
      <c r="I138" s="51" t="n">
        <v>4</v>
      </c>
      <c r="J138" s="60" t="n">
        <v>46320</v>
      </c>
      <c r="K138" s="41" t="s">
        <v>195</v>
      </c>
      <c r="L138" s="41" t="s">
        <v>146</v>
      </c>
      <c r="M138" s="43" t="n">
        <v>0.372568159148154</v>
      </c>
      <c r="N138" s="44" t="n">
        <v>2.68407263327714</v>
      </c>
      <c r="O138" s="51" t="s">
        <v>285</v>
      </c>
    </row>
    <row r="139" customFormat="false" ht="18.75" hidden="false" customHeight="true" outlineLevel="0" collapsed="false">
      <c r="A139" s="35" t="n">
        <v>32</v>
      </c>
      <c r="B139" s="53" t="s">
        <v>295</v>
      </c>
      <c r="C139" s="61" t="n">
        <v>100</v>
      </c>
      <c r="D139" s="32" t="n">
        <v>5</v>
      </c>
      <c r="E139" s="36" t="n">
        <v>0.0103445226712859</v>
      </c>
      <c r="F139" s="37" t="n">
        <v>96.6695160111908</v>
      </c>
      <c r="G139" s="37" t="n">
        <v>69.025913079197</v>
      </c>
      <c r="H139" s="57" t="n">
        <v>-0.285959877246035</v>
      </c>
      <c r="I139" s="50" t="n">
        <v>1</v>
      </c>
      <c r="J139" s="62" t="n">
        <v>46320</v>
      </c>
      <c r="K139" s="34" t="s">
        <v>203</v>
      </c>
      <c r="L139" s="34" t="s">
        <v>142</v>
      </c>
      <c r="M139" s="36" t="n">
        <v>0.396733998602439</v>
      </c>
      <c r="N139" s="37" t="n">
        <v>2.52058054898916</v>
      </c>
      <c r="O139" s="50" t="s">
        <v>285</v>
      </c>
    </row>
    <row r="140" customFormat="false" ht="18.75" hidden="false" customHeight="true" outlineLevel="0" collapsed="false">
      <c r="A140" s="35" t="n">
        <v>32</v>
      </c>
      <c r="B140" s="53" t="s">
        <v>295</v>
      </c>
      <c r="C140" s="61" t="n">
        <v>100</v>
      </c>
      <c r="D140" s="32" t="n">
        <v>5</v>
      </c>
      <c r="E140" s="36" t="n">
        <v>0.0103445226712859</v>
      </c>
      <c r="F140" s="37" t="n">
        <v>96.6695160111908</v>
      </c>
      <c r="G140" s="37" t="n">
        <v>69.025913079197</v>
      </c>
      <c r="H140" s="57" t="n">
        <v>-0.285959877246035</v>
      </c>
      <c r="I140" s="50" t="n">
        <v>2</v>
      </c>
      <c r="J140" s="62" t="n">
        <v>46320</v>
      </c>
      <c r="K140" s="34" t="s">
        <v>198</v>
      </c>
      <c r="L140" s="34" t="s">
        <v>159</v>
      </c>
      <c r="M140" s="36" t="n">
        <v>0.404715364043907</v>
      </c>
      <c r="N140" s="37" t="n">
        <v>2.47087234348611</v>
      </c>
      <c r="O140" s="50" t="s">
        <v>285</v>
      </c>
    </row>
    <row r="141" customFormat="false" ht="18.75" hidden="false" customHeight="true" outlineLevel="0" collapsed="false">
      <c r="A141" s="35" t="n">
        <v>32</v>
      </c>
      <c r="B141" s="53" t="s">
        <v>295</v>
      </c>
      <c r="C141" s="61" t="n">
        <v>100</v>
      </c>
      <c r="D141" s="32" t="n">
        <v>5</v>
      </c>
      <c r="E141" s="36" t="n">
        <v>0.0103445226712859</v>
      </c>
      <c r="F141" s="37" t="n">
        <v>96.6695160111908</v>
      </c>
      <c r="G141" s="37" t="n">
        <v>69.025913079197</v>
      </c>
      <c r="H141" s="57" t="n">
        <v>-0.285959877246035</v>
      </c>
      <c r="I141" s="50" t="n">
        <v>3</v>
      </c>
      <c r="J141" s="62" t="n">
        <v>46320</v>
      </c>
      <c r="K141" s="34" t="s">
        <v>199</v>
      </c>
      <c r="L141" s="34" t="s">
        <v>159</v>
      </c>
      <c r="M141" s="36" t="n">
        <v>0.408494035908802</v>
      </c>
      <c r="N141" s="37" t="n">
        <v>2.44801615713982</v>
      </c>
      <c r="O141" s="50" t="s">
        <v>285</v>
      </c>
    </row>
    <row r="142" customFormat="false" ht="18.75" hidden="false" customHeight="true" outlineLevel="0" collapsed="false">
      <c r="A142" s="35" t="n">
        <v>32</v>
      </c>
      <c r="B142" s="53" t="s">
        <v>295</v>
      </c>
      <c r="C142" s="61" t="n">
        <v>100</v>
      </c>
      <c r="D142" s="32" t="n">
        <v>5</v>
      </c>
      <c r="E142" s="36" t="n">
        <v>0.0103445226712859</v>
      </c>
      <c r="F142" s="37" t="n">
        <v>96.6695160111908</v>
      </c>
      <c r="G142" s="37" t="n">
        <v>69.025913079197</v>
      </c>
      <c r="H142" s="57" t="n">
        <v>-0.285959877246035</v>
      </c>
      <c r="I142" s="50" t="n">
        <v>4</v>
      </c>
      <c r="J142" s="62" t="n">
        <v>46320</v>
      </c>
      <c r="K142" s="34" t="s">
        <v>202</v>
      </c>
      <c r="L142" s="34" t="s">
        <v>159</v>
      </c>
      <c r="M142" s="36" t="n">
        <v>0.408758120060984</v>
      </c>
      <c r="N142" s="37" t="n">
        <v>2.44643458055538</v>
      </c>
      <c r="O142" s="50" t="s">
        <v>285</v>
      </c>
    </row>
    <row r="143" customFormat="false" ht="18.75" hidden="false" customHeight="true" outlineLevel="0" collapsed="false">
      <c r="A143" s="35" t="n">
        <v>32</v>
      </c>
      <c r="B143" s="53" t="s">
        <v>295</v>
      </c>
      <c r="C143" s="61" t="n">
        <v>100</v>
      </c>
      <c r="D143" s="32" t="n">
        <v>5</v>
      </c>
      <c r="E143" s="36" t="n">
        <v>0.0103445226712859</v>
      </c>
      <c r="F143" s="37" t="n">
        <v>96.6695160111908</v>
      </c>
      <c r="G143" s="37" t="n">
        <v>69.025913079197</v>
      </c>
      <c r="H143" s="57" t="n">
        <v>-0.285959877246035</v>
      </c>
      <c r="I143" s="50" t="n">
        <v>5</v>
      </c>
      <c r="J143" s="62" t="n">
        <v>46320</v>
      </c>
      <c r="K143" s="34" t="s">
        <v>194</v>
      </c>
      <c r="L143" s="34" t="s">
        <v>143</v>
      </c>
      <c r="M143" s="36" t="n">
        <v>0.38584176131359</v>
      </c>
      <c r="N143" s="37" t="n">
        <v>2.59173604380076</v>
      </c>
      <c r="O143" s="50" t="s">
        <v>285</v>
      </c>
    </row>
    <row r="144" customFormat="false" ht="18.75" hidden="false" customHeight="true" outlineLevel="0" collapsed="false">
      <c r="A144" s="42" t="n">
        <v>32</v>
      </c>
      <c r="B144" s="54" t="s">
        <v>296</v>
      </c>
      <c r="C144" s="59" t="n">
        <v>250</v>
      </c>
      <c r="D144" s="39" t="n">
        <v>6</v>
      </c>
      <c r="E144" s="43" t="n">
        <v>0.00426038199755972</v>
      </c>
      <c r="F144" s="44" t="n">
        <v>234.720736444006</v>
      </c>
      <c r="G144" s="44" t="n">
        <v>156.681816631937</v>
      </c>
      <c r="H144" s="58" t="n">
        <v>-0.332475609076346</v>
      </c>
      <c r="I144" s="51" t="n">
        <v>1</v>
      </c>
      <c r="J144" s="60" t="n">
        <v>46320</v>
      </c>
      <c r="K144" s="41" t="s">
        <v>203</v>
      </c>
      <c r="L144" s="41" t="s">
        <v>142</v>
      </c>
      <c r="M144" s="43" t="n">
        <v>0.396733998602439</v>
      </c>
      <c r="N144" s="44" t="n">
        <v>2.52058054898916</v>
      </c>
      <c r="O144" s="51" t="s">
        <v>285</v>
      </c>
    </row>
    <row r="145" customFormat="false" ht="18.75" hidden="false" customHeight="true" outlineLevel="0" collapsed="false">
      <c r="A145" s="42" t="n">
        <v>32</v>
      </c>
      <c r="B145" s="54" t="s">
        <v>296</v>
      </c>
      <c r="C145" s="59" t="n">
        <v>250</v>
      </c>
      <c r="D145" s="39" t="n">
        <v>6</v>
      </c>
      <c r="E145" s="43" t="n">
        <v>0.00426038199755972</v>
      </c>
      <c r="F145" s="44" t="n">
        <v>234.720736444006</v>
      </c>
      <c r="G145" s="44" t="n">
        <v>156.681816631937</v>
      </c>
      <c r="H145" s="58" t="n">
        <v>-0.332475609076346</v>
      </c>
      <c r="I145" s="51" t="n">
        <v>2</v>
      </c>
      <c r="J145" s="60" t="n">
        <v>46320</v>
      </c>
      <c r="K145" s="41" t="s">
        <v>198</v>
      </c>
      <c r="L145" s="41" t="s">
        <v>159</v>
      </c>
      <c r="M145" s="43" t="n">
        <v>0.404715364043907</v>
      </c>
      <c r="N145" s="44" t="n">
        <v>2.47087234348611</v>
      </c>
      <c r="O145" s="51" t="s">
        <v>285</v>
      </c>
    </row>
    <row r="146" customFormat="false" ht="18.75" hidden="false" customHeight="true" outlineLevel="0" collapsed="false">
      <c r="A146" s="42" t="n">
        <v>32</v>
      </c>
      <c r="B146" s="54" t="s">
        <v>296</v>
      </c>
      <c r="C146" s="59" t="n">
        <v>250</v>
      </c>
      <c r="D146" s="39" t="n">
        <v>6</v>
      </c>
      <c r="E146" s="43" t="n">
        <v>0.00426038199755972</v>
      </c>
      <c r="F146" s="44" t="n">
        <v>234.720736444006</v>
      </c>
      <c r="G146" s="44" t="n">
        <v>156.681816631937</v>
      </c>
      <c r="H146" s="58" t="n">
        <v>-0.332475609076346</v>
      </c>
      <c r="I146" s="51" t="n">
        <v>3</v>
      </c>
      <c r="J146" s="60" t="n">
        <v>46320</v>
      </c>
      <c r="K146" s="41" t="s">
        <v>199</v>
      </c>
      <c r="L146" s="41" t="s">
        <v>159</v>
      </c>
      <c r="M146" s="43" t="n">
        <v>0.408494035908802</v>
      </c>
      <c r="N146" s="44" t="n">
        <v>2.44801615713982</v>
      </c>
      <c r="O146" s="51" t="s">
        <v>285</v>
      </c>
    </row>
    <row r="147" customFormat="false" ht="18.75" hidden="false" customHeight="true" outlineLevel="0" collapsed="false">
      <c r="A147" s="42" t="n">
        <v>32</v>
      </c>
      <c r="B147" s="54" t="s">
        <v>296</v>
      </c>
      <c r="C147" s="59" t="n">
        <v>250</v>
      </c>
      <c r="D147" s="39" t="n">
        <v>6</v>
      </c>
      <c r="E147" s="43" t="n">
        <v>0.00426038199755972</v>
      </c>
      <c r="F147" s="44" t="n">
        <v>234.720736444006</v>
      </c>
      <c r="G147" s="44" t="n">
        <v>156.681816631937</v>
      </c>
      <c r="H147" s="58" t="n">
        <v>-0.332475609076346</v>
      </c>
      <c r="I147" s="51" t="n">
        <v>4</v>
      </c>
      <c r="J147" s="60" t="n">
        <v>46320</v>
      </c>
      <c r="K147" s="41" t="s">
        <v>202</v>
      </c>
      <c r="L147" s="41" t="s">
        <v>159</v>
      </c>
      <c r="M147" s="43" t="n">
        <v>0.408758120060984</v>
      </c>
      <c r="N147" s="44" t="n">
        <v>2.44643458055538</v>
      </c>
      <c r="O147" s="51" t="s">
        <v>285</v>
      </c>
    </row>
    <row r="148" customFormat="false" ht="18.75" hidden="false" customHeight="true" outlineLevel="0" collapsed="false">
      <c r="A148" s="42" t="n">
        <v>32</v>
      </c>
      <c r="B148" s="54" t="s">
        <v>296</v>
      </c>
      <c r="C148" s="59" t="n">
        <v>250</v>
      </c>
      <c r="D148" s="39" t="n">
        <v>6</v>
      </c>
      <c r="E148" s="43" t="n">
        <v>0.00426038199755972</v>
      </c>
      <c r="F148" s="44" t="n">
        <v>234.720736444006</v>
      </c>
      <c r="G148" s="44" t="n">
        <v>156.681816631937</v>
      </c>
      <c r="H148" s="58" t="n">
        <v>-0.332475609076346</v>
      </c>
      <c r="I148" s="51" t="n">
        <v>5</v>
      </c>
      <c r="J148" s="60" t="n">
        <v>46320</v>
      </c>
      <c r="K148" s="41" t="s">
        <v>194</v>
      </c>
      <c r="L148" s="41" t="s">
        <v>143</v>
      </c>
      <c r="M148" s="43" t="n">
        <v>0.38584176131359</v>
      </c>
      <c r="N148" s="44" t="n">
        <v>2.59173604380076</v>
      </c>
      <c r="O148" s="51" t="s">
        <v>285</v>
      </c>
    </row>
    <row r="149" customFormat="false" ht="18.75" hidden="false" customHeight="true" outlineLevel="0" collapsed="false">
      <c r="A149" s="42" t="n">
        <v>32</v>
      </c>
      <c r="B149" s="54" t="s">
        <v>296</v>
      </c>
      <c r="C149" s="59" t="n">
        <v>250</v>
      </c>
      <c r="D149" s="39" t="n">
        <v>6</v>
      </c>
      <c r="E149" s="43" t="n">
        <v>0.00426038199755972</v>
      </c>
      <c r="F149" s="44" t="n">
        <v>234.720736444006</v>
      </c>
      <c r="G149" s="44" t="n">
        <v>156.681816631937</v>
      </c>
      <c r="H149" s="58" t="n">
        <v>-0.332475609076346</v>
      </c>
      <c r="I149" s="51" t="n">
        <v>6</v>
      </c>
      <c r="J149" s="60" t="n">
        <v>46320</v>
      </c>
      <c r="K149" s="41" t="s">
        <v>197</v>
      </c>
      <c r="L149" s="41" t="s">
        <v>170</v>
      </c>
      <c r="M149" s="43" t="n">
        <v>0.411849065726888</v>
      </c>
      <c r="N149" s="44" t="n">
        <v>2.42807397956594</v>
      </c>
      <c r="O149" s="51" t="s">
        <v>288</v>
      </c>
    </row>
    <row r="150" customFormat="false" ht="18.75" hidden="false" customHeight="true" outlineLevel="0" collapsed="false">
      <c r="A150" s="35" t="n">
        <v>33</v>
      </c>
      <c r="B150" s="53" t="s">
        <v>284</v>
      </c>
      <c r="C150" s="61" t="n">
        <v>1.5</v>
      </c>
      <c r="D150" s="32" t="n">
        <v>2</v>
      </c>
      <c r="E150" s="36" t="n">
        <v>0.667297984258445</v>
      </c>
      <c r="F150" s="37" t="n">
        <v>1.4985808792923</v>
      </c>
      <c r="G150" s="37" t="n">
        <v>1.30969217706909</v>
      </c>
      <c r="H150" s="57" t="n">
        <v>-0.126045050242739</v>
      </c>
      <c r="I150" s="50" t="n">
        <v>1</v>
      </c>
      <c r="J150" s="62" t="n">
        <v>46323</v>
      </c>
      <c r="K150" s="34" t="s">
        <v>209</v>
      </c>
      <c r="L150" s="34" t="s">
        <v>86</v>
      </c>
      <c r="M150" s="36" t="n">
        <v>0.815832856021549</v>
      </c>
      <c r="N150" s="37" t="n">
        <v>1.22574126871594</v>
      </c>
      <c r="O150" s="50" t="s">
        <v>285</v>
      </c>
    </row>
    <row r="151" customFormat="false" ht="18.75" hidden="false" customHeight="true" outlineLevel="0" collapsed="false">
      <c r="A151" s="35" t="n">
        <v>33</v>
      </c>
      <c r="B151" s="53" t="s">
        <v>284</v>
      </c>
      <c r="C151" s="61" t="n">
        <v>1.5</v>
      </c>
      <c r="D151" s="32" t="n">
        <v>2</v>
      </c>
      <c r="E151" s="36" t="n">
        <v>0.667297984258445</v>
      </c>
      <c r="F151" s="37" t="n">
        <v>1.4985808792923</v>
      </c>
      <c r="G151" s="37" t="n">
        <v>1.30969217706909</v>
      </c>
      <c r="H151" s="57" t="n">
        <v>-0.126045050242739</v>
      </c>
      <c r="I151" s="50" t="n">
        <v>2</v>
      </c>
      <c r="J151" s="62" t="n">
        <v>46323</v>
      </c>
      <c r="K151" s="34" t="s">
        <v>204</v>
      </c>
      <c r="L151" s="34" t="s">
        <v>86</v>
      </c>
      <c r="M151" s="36" t="n">
        <v>0.817934677836534</v>
      </c>
      <c r="N151" s="37" t="n">
        <v>1.22259151873232</v>
      </c>
      <c r="O151" s="50" t="s">
        <v>285</v>
      </c>
    </row>
    <row r="152" customFormat="false" ht="18.75" hidden="false" customHeight="true" outlineLevel="0" collapsed="false">
      <c r="A152" s="42" t="n">
        <v>33</v>
      </c>
      <c r="B152" s="54" t="s">
        <v>286</v>
      </c>
      <c r="C152" s="59" t="n">
        <v>2</v>
      </c>
      <c r="D152" s="39" t="n">
        <v>2</v>
      </c>
      <c r="E152" s="43" t="n">
        <v>0.499615400895086</v>
      </c>
      <c r="F152" s="44" t="n">
        <v>2.00153958066235</v>
      </c>
      <c r="G152" s="44" t="n">
        <v>1.74925542365493</v>
      </c>
      <c r="H152" s="58" t="n">
        <v>-0.126045050242739</v>
      </c>
      <c r="I152" s="51" t="n">
        <v>1</v>
      </c>
      <c r="J152" s="60" t="n">
        <v>46323</v>
      </c>
      <c r="K152" s="41" t="s">
        <v>212</v>
      </c>
      <c r="L152" s="41" t="s">
        <v>107</v>
      </c>
      <c r="M152" s="43" t="n">
        <v>0.706967833684001</v>
      </c>
      <c r="N152" s="44" t="n">
        <v>1.41449151199569</v>
      </c>
      <c r="O152" s="51" t="s">
        <v>285</v>
      </c>
    </row>
    <row r="153" customFormat="false" ht="18.75" hidden="false" customHeight="true" outlineLevel="0" collapsed="false">
      <c r="A153" s="42" t="n">
        <v>33</v>
      </c>
      <c r="B153" s="54" t="s">
        <v>286</v>
      </c>
      <c r="C153" s="59" t="n">
        <v>2</v>
      </c>
      <c r="D153" s="39" t="n">
        <v>2</v>
      </c>
      <c r="E153" s="43" t="n">
        <v>0.499615400895086</v>
      </c>
      <c r="F153" s="44" t="n">
        <v>2.00153958066235</v>
      </c>
      <c r="G153" s="44" t="n">
        <v>1.74925542365493</v>
      </c>
      <c r="H153" s="58" t="n">
        <v>-0.126045050242739</v>
      </c>
      <c r="I153" s="51" t="n">
        <v>2</v>
      </c>
      <c r="J153" s="60" t="n">
        <v>46323</v>
      </c>
      <c r="K153" s="41" t="s">
        <v>213</v>
      </c>
      <c r="L153" s="41" t="s">
        <v>145</v>
      </c>
      <c r="M153" s="43" t="n">
        <v>0.706701743828423</v>
      </c>
      <c r="N153" s="44" t="n">
        <v>1.41502410137364</v>
      </c>
      <c r="O153" s="51" t="s">
        <v>285</v>
      </c>
    </row>
    <row r="154" customFormat="false" ht="18.75" hidden="false" customHeight="true" outlineLevel="0" collapsed="false">
      <c r="A154" s="35" t="n">
        <v>33</v>
      </c>
      <c r="B154" s="53" t="s">
        <v>287</v>
      </c>
      <c r="C154" s="61" t="n">
        <v>3</v>
      </c>
      <c r="D154" s="32" t="n">
        <v>2</v>
      </c>
      <c r="E154" s="36" t="n">
        <v>0.335141402179798</v>
      </c>
      <c r="F154" s="37" t="n">
        <v>2.98381517024123</v>
      </c>
      <c r="G154" s="37" t="n">
        <v>2.60772003719313</v>
      </c>
      <c r="H154" s="57" t="n">
        <v>-0.126045050242739</v>
      </c>
      <c r="I154" s="50" t="n">
        <v>1</v>
      </c>
      <c r="J154" s="62" t="n">
        <v>46323</v>
      </c>
      <c r="K154" s="34" t="s">
        <v>209</v>
      </c>
      <c r="L154" s="34" t="s">
        <v>155</v>
      </c>
      <c r="M154" s="36" t="n">
        <v>0.577432124134003</v>
      </c>
      <c r="N154" s="37" t="n">
        <v>1.73180527754624</v>
      </c>
      <c r="O154" s="50" t="s">
        <v>285</v>
      </c>
    </row>
    <row r="155" customFormat="false" ht="18.75" hidden="false" customHeight="true" outlineLevel="0" collapsed="false">
      <c r="A155" s="35" t="n">
        <v>33</v>
      </c>
      <c r="B155" s="53" t="s">
        <v>287</v>
      </c>
      <c r="C155" s="61" t="n">
        <v>3</v>
      </c>
      <c r="D155" s="32" t="n">
        <v>2</v>
      </c>
      <c r="E155" s="36" t="n">
        <v>0.335141402179798</v>
      </c>
      <c r="F155" s="37" t="n">
        <v>2.98381517024123</v>
      </c>
      <c r="G155" s="37" t="n">
        <v>2.60772003719313</v>
      </c>
      <c r="H155" s="57" t="n">
        <v>-0.126045050242739</v>
      </c>
      <c r="I155" s="50" t="n">
        <v>2</v>
      </c>
      <c r="J155" s="62" t="n">
        <v>46323</v>
      </c>
      <c r="K155" s="34" t="s">
        <v>204</v>
      </c>
      <c r="L155" s="34" t="s">
        <v>291</v>
      </c>
      <c r="M155" s="36" t="n">
        <v>0.58039964901922</v>
      </c>
      <c r="N155" s="37" t="n">
        <v>1.72295073177566</v>
      </c>
      <c r="O155" s="50" t="s">
        <v>285</v>
      </c>
    </row>
    <row r="156" customFormat="false" ht="18.75" hidden="false" customHeight="true" outlineLevel="0" collapsed="false">
      <c r="A156" s="42" t="n">
        <v>33</v>
      </c>
      <c r="B156" s="54" t="s">
        <v>289</v>
      </c>
      <c r="C156" s="59" t="n">
        <v>5</v>
      </c>
      <c r="D156" s="39" t="n">
        <v>2</v>
      </c>
      <c r="E156" s="43" t="n">
        <v>0.199464466132254</v>
      </c>
      <c r="F156" s="44" t="n">
        <v>5.01342429251011</v>
      </c>
      <c r="G156" s="44" t="n">
        <v>4.3815069756725</v>
      </c>
      <c r="H156" s="58" t="n">
        <v>-0.126045050242739</v>
      </c>
      <c r="I156" s="51" t="n">
        <v>1</v>
      </c>
      <c r="J156" s="60" t="n">
        <v>46323</v>
      </c>
      <c r="K156" s="41" t="s">
        <v>213</v>
      </c>
      <c r="L156" s="41" t="s">
        <v>161</v>
      </c>
      <c r="M156" s="43" t="n">
        <v>0.446638468692575</v>
      </c>
      <c r="N156" s="44" t="n">
        <v>2.23894731442918</v>
      </c>
      <c r="O156" s="51" t="s">
        <v>288</v>
      </c>
    </row>
    <row r="157" customFormat="false" ht="18.75" hidden="false" customHeight="true" outlineLevel="0" collapsed="false">
      <c r="A157" s="42" t="n">
        <v>33</v>
      </c>
      <c r="B157" s="54" t="s">
        <v>289</v>
      </c>
      <c r="C157" s="59" t="n">
        <v>5</v>
      </c>
      <c r="D157" s="39" t="n">
        <v>2</v>
      </c>
      <c r="E157" s="43" t="n">
        <v>0.199464466132254</v>
      </c>
      <c r="F157" s="44" t="n">
        <v>5.01342429251011</v>
      </c>
      <c r="G157" s="44" t="n">
        <v>4.3815069756725</v>
      </c>
      <c r="H157" s="58" t="n">
        <v>-0.126045050242739</v>
      </c>
      <c r="I157" s="51" t="n">
        <v>2</v>
      </c>
      <c r="J157" s="60" t="n">
        <v>46323</v>
      </c>
      <c r="K157" s="41" t="s">
        <v>211</v>
      </c>
      <c r="L157" s="41" t="s">
        <v>161</v>
      </c>
      <c r="M157" s="43" t="n">
        <v>0.446590430770859</v>
      </c>
      <c r="N157" s="44" t="n">
        <v>2.23918814891287</v>
      </c>
      <c r="O157" s="51" t="s">
        <v>288</v>
      </c>
    </row>
    <row r="158" customFormat="false" ht="18.75" hidden="false" customHeight="true" outlineLevel="0" collapsed="false">
      <c r="A158" s="35" t="n">
        <v>33</v>
      </c>
      <c r="B158" s="53" t="s">
        <v>290</v>
      </c>
      <c r="C158" s="61" t="n">
        <v>10</v>
      </c>
      <c r="D158" s="32" t="n">
        <v>3</v>
      </c>
      <c r="E158" s="36" t="n">
        <v>0.0993677335310965</v>
      </c>
      <c r="F158" s="37" t="n">
        <v>10.0636289514147</v>
      </c>
      <c r="G158" s="37" t="n">
        <v>8.2222028192807</v>
      </c>
      <c r="H158" s="57" t="n">
        <v>-0.182978341215085</v>
      </c>
      <c r="I158" s="50" t="n">
        <v>1</v>
      </c>
      <c r="J158" s="62" t="n">
        <v>46323</v>
      </c>
      <c r="K158" s="34" t="s">
        <v>204</v>
      </c>
      <c r="L158" s="34" t="s">
        <v>292</v>
      </c>
      <c r="M158" s="36" t="n">
        <v>0.466066435223552</v>
      </c>
      <c r="N158" s="37" t="n">
        <v>2.14561685721982</v>
      </c>
      <c r="O158" s="50" t="s">
        <v>285</v>
      </c>
    </row>
    <row r="159" customFormat="false" ht="18.75" hidden="false" customHeight="true" outlineLevel="0" collapsed="false">
      <c r="A159" s="35" t="n">
        <v>33</v>
      </c>
      <c r="B159" s="53" t="s">
        <v>290</v>
      </c>
      <c r="C159" s="61" t="n">
        <v>10</v>
      </c>
      <c r="D159" s="32" t="n">
        <v>3</v>
      </c>
      <c r="E159" s="36" t="n">
        <v>0.0993677335310965</v>
      </c>
      <c r="F159" s="37" t="n">
        <v>10.0636289514147</v>
      </c>
      <c r="G159" s="37" t="n">
        <v>8.2222028192807</v>
      </c>
      <c r="H159" s="57" t="n">
        <v>-0.182978341215085</v>
      </c>
      <c r="I159" s="50" t="n">
        <v>2</v>
      </c>
      <c r="J159" s="62" t="n">
        <v>46323</v>
      </c>
      <c r="K159" s="34" t="s">
        <v>208</v>
      </c>
      <c r="L159" s="34" t="s">
        <v>143</v>
      </c>
      <c r="M159" s="36" t="n">
        <v>0.461792939476874</v>
      </c>
      <c r="N159" s="37" t="n">
        <v>2.16547269244267</v>
      </c>
      <c r="O159" s="50" t="s">
        <v>285</v>
      </c>
    </row>
    <row r="160" customFormat="false" ht="18.75" hidden="false" customHeight="true" outlineLevel="0" collapsed="false">
      <c r="A160" s="35" t="n">
        <v>33</v>
      </c>
      <c r="B160" s="53" t="s">
        <v>290</v>
      </c>
      <c r="C160" s="61" t="n">
        <v>10</v>
      </c>
      <c r="D160" s="32" t="n">
        <v>3</v>
      </c>
      <c r="E160" s="36" t="n">
        <v>0.0993677335310965</v>
      </c>
      <c r="F160" s="37" t="n">
        <v>10.0636289514147</v>
      </c>
      <c r="G160" s="37" t="n">
        <v>8.2222028192807</v>
      </c>
      <c r="H160" s="57" t="n">
        <v>-0.182978341215085</v>
      </c>
      <c r="I160" s="50" t="n">
        <v>3</v>
      </c>
      <c r="J160" s="62" t="n">
        <v>46323</v>
      </c>
      <c r="K160" s="34" t="s">
        <v>211</v>
      </c>
      <c r="L160" s="34" t="s">
        <v>292</v>
      </c>
      <c r="M160" s="36" t="n">
        <v>0.461689787569228</v>
      </c>
      <c r="N160" s="37" t="n">
        <v>2.16595650786418</v>
      </c>
      <c r="O160" s="50" t="s">
        <v>285</v>
      </c>
    </row>
    <row r="161" customFormat="false" ht="18.75" hidden="false" customHeight="true" outlineLevel="0" collapsed="false">
      <c r="A161" s="42" t="n">
        <v>33</v>
      </c>
      <c r="B161" s="54" t="s">
        <v>293</v>
      </c>
      <c r="C161" s="59" t="n">
        <v>25</v>
      </c>
      <c r="D161" s="39" t="n">
        <v>4</v>
      </c>
      <c r="E161" s="43" t="n">
        <v>0.0399902803083832</v>
      </c>
      <c r="F161" s="44" t="n">
        <v>25.0060762837506</v>
      </c>
      <c r="G161" s="44" t="n">
        <v>19.0995724039749</v>
      </c>
      <c r="H161" s="58" t="n">
        <v>-0.236202745794783</v>
      </c>
      <c r="I161" s="51" t="n">
        <v>1</v>
      </c>
      <c r="J161" s="60" t="n">
        <v>46323</v>
      </c>
      <c r="K161" s="41" t="s">
        <v>213</v>
      </c>
      <c r="L161" s="41" t="s">
        <v>161</v>
      </c>
      <c r="M161" s="43" t="n">
        <v>0.446638468692575</v>
      </c>
      <c r="N161" s="44" t="n">
        <v>2.23894731442918</v>
      </c>
      <c r="O161" s="51" t="s">
        <v>288</v>
      </c>
    </row>
    <row r="162" customFormat="false" ht="18.75" hidden="false" customHeight="true" outlineLevel="0" collapsed="false">
      <c r="A162" s="42" t="n">
        <v>33</v>
      </c>
      <c r="B162" s="54" t="s">
        <v>293</v>
      </c>
      <c r="C162" s="59" t="n">
        <v>25</v>
      </c>
      <c r="D162" s="39" t="n">
        <v>4</v>
      </c>
      <c r="E162" s="43" t="n">
        <v>0.0399902803083832</v>
      </c>
      <c r="F162" s="44" t="n">
        <v>25.0060762837506</v>
      </c>
      <c r="G162" s="44" t="n">
        <v>19.0995724039749</v>
      </c>
      <c r="H162" s="58" t="n">
        <v>-0.236202745794783</v>
      </c>
      <c r="I162" s="51" t="n">
        <v>2</v>
      </c>
      <c r="J162" s="60" t="n">
        <v>46323</v>
      </c>
      <c r="K162" s="41" t="s">
        <v>211</v>
      </c>
      <c r="L162" s="41" t="s">
        <v>161</v>
      </c>
      <c r="M162" s="43" t="n">
        <v>0.446590430770859</v>
      </c>
      <c r="N162" s="44" t="n">
        <v>2.23918814891287</v>
      </c>
      <c r="O162" s="51" t="s">
        <v>288</v>
      </c>
    </row>
    <row r="163" customFormat="false" ht="18.75" hidden="false" customHeight="true" outlineLevel="0" collapsed="false">
      <c r="A163" s="42" t="n">
        <v>33</v>
      </c>
      <c r="B163" s="54" t="s">
        <v>293</v>
      </c>
      <c r="C163" s="59" t="n">
        <v>25</v>
      </c>
      <c r="D163" s="39" t="n">
        <v>4</v>
      </c>
      <c r="E163" s="43" t="n">
        <v>0.0399902803083832</v>
      </c>
      <c r="F163" s="44" t="n">
        <v>25.0060762837506</v>
      </c>
      <c r="G163" s="44" t="n">
        <v>19.0995724039749</v>
      </c>
      <c r="H163" s="58" t="n">
        <v>-0.236202745794783</v>
      </c>
      <c r="I163" s="51" t="n">
        <v>3</v>
      </c>
      <c r="J163" s="60" t="n">
        <v>46323</v>
      </c>
      <c r="K163" s="41" t="s">
        <v>208</v>
      </c>
      <c r="L163" s="41" t="s">
        <v>158</v>
      </c>
      <c r="M163" s="43" t="n">
        <v>0.446053994323241</v>
      </c>
      <c r="N163" s="44" t="n">
        <v>2.24188105638918</v>
      </c>
      <c r="O163" s="51" t="s">
        <v>288</v>
      </c>
    </row>
    <row r="164" customFormat="false" ht="18.75" hidden="false" customHeight="true" outlineLevel="0" collapsed="false">
      <c r="A164" s="42" t="n">
        <v>33</v>
      </c>
      <c r="B164" s="54" t="s">
        <v>293</v>
      </c>
      <c r="C164" s="59" t="n">
        <v>25</v>
      </c>
      <c r="D164" s="39" t="n">
        <v>4</v>
      </c>
      <c r="E164" s="43" t="n">
        <v>0.0399902803083832</v>
      </c>
      <c r="F164" s="44" t="n">
        <v>25.0060762837506</v>
      </c>
      <c r="G164" s="44" t="n">
        <v>19.0995724039749</v>
      </c>
      <c r="H164" s="58" t="n">
        <v>-0.236202745794783</v>
      </c>
      <c r="I164" s="51" t="n">
        <v>4</v>
      </c>
      <c r="J164" s="60" t="n">
        <v>46323</v>
      </c>
      <c r="K164" s="41" t="s">
        <v>210</v>
      </c>
      <c r="L164" s="41" t="s">
        <v>168</v>
      </c>
      <c r="M164" s="43" t="n">
        <v>0.449470793477639</v>
      </c>
      <c r="N164" s="44" t="n">
        <v>2.22483866473907</v>
      </c>
      <c r="O164" s="51" t="s">
        <v>285</v>
      </c>
    </row>
    <row r="165" customFormat="false" ht="18.75" hidden="false" customHeight="true" outlineLevel="0" collapsed="false">
      <c r="A165" s="35" t="n">
        <v>33</v>
      </c>
      <c r="B165" s="53" t="s">
        <v>294</v>
      </c>
      <c r="C165" s="61" t="n">
        <v>50</v>
      </c>
      <c r="D165" s="32" t="n">
        <v>4</v>
      </c>
      <c r="E165" s="36" t="n">
        <v>0.0202238473922259</v>
      </c>
      <c r="F165" s="37" t="n">
        <v>49.4465756493199</v>
      </c>
      <c r="G165" s="37" t="n">
        <v>37.7671587108011</v>
      </c>
      <c r="H165" s="57" t="n">
        <v>-0.236202745794783</v>
      </c>
      <c r="I165" s="50" t="n">
        <v>1</v>
      </c>
      <c r="J165" s="62" t="n">
        <v>46323</v>
      </c>
      <c r="K165" s="34" t="s">
        <v>211</v>
      </c>
      <c r="L165" s="34" t="s">
        <v>146</v>
      </c>
      <c r="M165" s="36" t="n">
        <v>0.374339587003103</v>
      </c>
      <c r="N165" s="37" t="n">
        <v>2.67137122206557</v>
      </c>
      <c r="O165" s="50" t="s">
        <v>285</v>
      </c>
    </row>
    <row r="166" customFormat="false" ht="18.75" hidden="false" customHeight="true" outlineLevel="0" collapsed="false">
      <c r="A166" s="35" t="n">
        <v>33</v>
      </c>
      <c r="B166" s="53" t="s">
        <v>294</v>
      </c>
      <c r="C166" s="61" t="n">
        <v>50</v>
      </c>
      <c r="D166" s="32" t="n">
        <v>4</v>
      </c>
      <c r="E166" s="36" t="n">
        <v>0.0202238473922259</v>
      </c>
      <c r="F166" s="37" t="n">
        <v>49.4465756493199</v>
      </c>
      <c r="G166" s="37" t="n">
        <v>37.7671587108011</v>
      </c>
      <c r="H166" s="57" t="n">
        <v>-0.236202745794783</v>
      </c>
      <c r="I166" s="50" t="n">
        <v>2</v>
      </c>
      <c r="J166" s="62" t="n">
        <v>46323</v>
      </c>
      <c r="K166" s="34" t="s">
        <v>213</v>
      </c>
      <c r="L166" s="34" t="s">
        <v>146</v>
      </c>
      <c r="M166" s="36" t="n">
        <v>0.382464863880927</v>
      </c>
      <c r="N166" s="37" t="n">
        <v>2.61461926163061</v>
      </c>
      <c r="O166" s="50" t="s">
        <v>285</v>
      </c>
    </row>
    <row r="167" customFormat="false" ht="18.75" hidden="false" customHeight="true" outlineLevel="0" collapsed="false">
      <c r="A167" s="35" t="n">
        <v>33</v>
      </c>
      <c r="B167" s="53" t="s">
        <v>294</v>
      </c>
      <c r="C167" s="61" t="n">
        <v>50</v>
      </c>
      <c r="D167" s="32" t="n">
        <v>4</v>
      </c>
      <c r="E167" s="36" t="n">
        <v>0.0202238473922259</v>
      </c>
      <c r="F167" s="37" t="n">
        <v>49.4465756493199</v>
      </c>
      <c r="G167" s="37" t="n">
        <v>37.7671587108011</v>
      </c>
      <c r="H167" s="57" t="n">
        <v>-0.236202745794783</v>
      </c>
      <c r="I167" s="50" t="n">
        <v>3</v>
      </c>
      <c r="J167" s="62" t="n">
        <v>46323</v>
      </c>
      <c r="K167" s="34" t="s">
        <v>206</v>
      </c>
      <c r="L167" s="34" t="s">
        <v>146</v>
      </c>
      <c r="M167" s="36" t="n">
        <v>0.384178277148839</v>
      </c>
      <c r="N167" s="37" t="n">
        <v>2.60295820841682</v>
      </c>
      <c r="O167" s="50" t="s">
        <v>285</v>
      </c>
    </row>
    <row r="168" customFormat="false" ht="18.75" hidden="false" customHeight="true" outlineLevel="0" collapsed="false">
      <c r="A168" s="35" t="n">
        <v>33</v>
      </c>
      <c r="B168" s="53" t="s">
        <v>294</v>
      </c>
      <c r="C168" s="61" t="n">
        <v>50</v>
      </c>
      <c r="D168" s="32" t="n">
        <v>4</v>
      </c>
      <c r="E168" s="36" t="n">
        <v>0.0202238473922259</v>
      </c>
      <c r="F168" s="37" t="n">
        <v>49.4465756493199</v>
      </c>
      <c r="G168" s="37" t="n">
        <v>37.7671587108011</v>
      </c>
      <c r="H168" s="57" t="n">
        <v>-0.236202745794783</v>
      </c>
      <c r="I168" s="50" t="n">
        <v>4</v>
      </c>
      <c r="J168" s="62" t="n">
        <v>46323</v>
      </c>
      <c r="K168" s="34" t="s">
        <v>204</v>
      </c>
      <c r="L168" s="34" t="s">
        <v>159</v>
      </c>
      <c r="M168" s="36" t="n">
        <v>0.367683104736877</v>
      </c>
      <c r="N168" s="37" t="n">
        <v>2.71973334405894</v>
      </c>
      <c r="O168" s="50" t="s">
        <v>285</v>
      </c>
    </row>
    <row r="169" customFormat="false" ht="18.75" hidden="false" customHeight="true" outlineLevel="0" collapsed="false">
      <c r="A169" s="42" t="n">
        <v>33</v>
      </c>
      <c r="B169" s="54" t="s">
        <v>295</v>
      </c>
      <c r="C169" s="59" t="n">
        <v>100</v>
      </c>
      <c r="D169" s="39" t="n">
        <v>5</v>
      </c>
      <c r="E169" s="43" t="n">
        <v>0.0100893740279141</v>
      </c>
      <c r="F169" s="44" t="n">
        <v>99.1141766806656</v>
      </c>
      <c r="G169" s="44" t="n">
        <v>70.7714988837206</v>
      </c>
      <c r="H169" s="58" t="n">
        <v>-0.285959877246035</v>
      </c>
      <c r="I169" s="51" t="n">
        <v>1</v>
      </c>
      <c r="J169" s="60" t="n">
        <v>46323</v>
      </c>
      <c r="K169" s="41" t="s">
        <v>205</v>
      </c>
      <c r="L169" s="41" t="s">
        <v>159</v>
      </c>
      <c r="M169" s="43" t="n">
        <v>0.399656798559838</v>
      </c>
      <c r="N169" s="44" t="n">
        <v>2.50214685100691</v>
      </c>
      <c r="O169" s="51" t="s">
        <v>285</v>
      </c>
    </row>
    <row r="170" customFormat="false" ht="18.75" hidden="false" customHeight="true" outlineLevel="0" collapsed="false">
      <c r="A170" s="42" t="n">
        <v>33</v>
      </c>
      <c r="B170" s="54" t="s">
        <v>295</v>
      </c>
      <c r="C170" s="59" t="n">
        <v>100</v>
      </c>
      <c r="D170" s="39" t="n">
        <v>5</v>
      </c>
      <c r="E170" s="43" t="n">
        <v>0.0100893740279141</v>
      </c>
      <c r="F170" s="44" t="n">
        <v>99.1141766806656</v>
      </c>
      <c r="G170" s="44" t="n">
        <v>70.7714988837206</v>
      </c>
      <c r="H170" s="58" t="n">
        <v>-0.285959877246035</v>
      </c>
      <c r="I170" s="51" t="n">
        <v>2</v>
      </c>
      <c r="J170" s="60" t="n">
        <v>46323</v>
      </c>
      <c r="K170" s="41" t="s">
        <v>206</v>
      </c>
      <c r="L170" s="41" t="s">
        <v>150</v>
      </c>
      <c r="M170" s="43" t="n">
        <v>0.396166137687971</v>
      </c>
      <c r="N170" s="44" t="n">
        <v>2.52419352606966</v>
      </c>
      <c r="O170" s="51" t="s">
        <v>285</v>
      </c>
    </row>
    <row r="171" customFormat="false" ht="18.75" hidden="false" customHeight="true" outlineLevel="0" collapsed="false">
      <c r="A171" s="42" t="n">
        <v>33</v>
      </c>
      <c r="B171" s="54" t="s">
        <v>295</v>
      </c>
      <c r="C171" s="59" t="n">
        <v>100</v>
      </c>
      <c r="D171" s="39" t="n">
        <v>5</v>
      </c>
      <c r="E171" s="43" t="n">
        <v>0.0100893740279141</v>
      </c>
      <c r="F171" s="44" t="n">
        <v>99.1141766806656</v>
      </c>
      <c r="G171" s="44" t="n">
        <v>70.7714988837206</v>
      </c>
      <c r="H171" s="58" t="n">
        <v>-0.285959877246035</v>
      </c>
      <c r="I171" s="51" t="n">
        <v>3</v>
      </c>
      <c r="J171" s="60" t="n">
        <v>46323</v>
      </c>
      <c r="K171" s="41" t="s">
        <v>204</v>
      </c>
      <c r="L171" s="41" t="s">
        <v>168</v>
      </c>
      <c r="M171" s="43" t="n">
        <v>0.396093893217481</v>
      </c>
      <c r="N171" s="44" t="n">
        <v>2.52465391949614</v>
      </c>
      <c r="O171" s="51" t="s">
        <v>285</v>
      </c>
    </row>
    <row r="172" customFormat="false" ht="18.75" hidden="false" customHeight="true" outlineLevel="0" collapsed="false">
      <c r="A172" s="42" t="n">
        <v>33</v>
      </c>
      <c r="B172" s="54" t="s">
        <v>295</v>
      </c>
      <c r="C172" s="59" t="n">
        <v>100</v>
      </c>
      <c r="D172" s="39" t="n">
        <v>5</v>
      </c>
      <c r="E172" s="43" t="n">
        <v>0.0100893740279141</v>
      </c>
      <c r="F172" s="44" t="n">
        <v>99.1141766806656</v>
      </c>
      <c r="G172" s="44" t="n">
        <v>70.7714988837206</v>
      </c>
      <c r="H172" s="58" t="n">
        <v>-0.285959877246035</v>
      </c>
      <c r="I172" s="51" t="n">
        <v>4</v>
      </c>
      <c r="J172" s="60" t="n">
        <v>46323</v>
      </c>
      <c r="K172" s="41" t="s">
        <v>213</v>
      </c>
      <c r="L172" s="41" t="s">
        <v>150</v>
      </c>
      <c r="M172" s="43" t="n">
        <v>0.400440851013774</v>
      </c>
      <c r="N172" s="44" t="n">
        <v>2.49724771453351</v>
      </c>
      <c r="O172" s="51" t="s">
        <v>285</v>
      </c>
    </row>
    <row r="173" customFormat="false" ht="18.75" hidden="false" customHeight="true" outlineLevel="0" collapsed="false">
      <c r="A173" s="42" t="n">
        <v>33</v>
      </c>
      <c r="B173" s="54" t="s">
        <v>295</v>
      </c>
      <c r="C173" s="59" t="n">
        <v>100</v>
      </c>
      <c r="D173" s="39" t="n">
        <v>5</v>
      </c>
      <c r="E173" s="43" t="n">
        <v>0.0100893740279141</v>
      </c>
      <c r="F173" s="44" t="n">
        <v>99.1141766806656</v>
      </c>
      <c r="G173" s="44" t="n">
        <v>70.7714988837206</v>
      </c>
      <c r="H173" s="58" t="n">
        <v>-0.285959877246035</v>
      </c>
      <c r="I173" s="51" t="n">
        <v>5</v>
      </c>
      <c r="J173" s="60" t="n">
        <v>46323</v>
      </c>
      <c r="K173" s="41" t="s">
        <v>207</v>
      </c>
      <c r="L173" s="41" t="s">
        <v>159</v>
      </c>
      <c r="M173" s="43" t="n">
        <v>0.401756714026901</v>
      </c>
      <c r="N173" s="44" t="n">
        <v>2.48906854592862</v>
      </c>
      <c r="O173" s="51" t="s">
        <v>285</v>
      </c>
    </row>
    <row r="174" customFormat="false" ht="18.75" hidden="false" customHeight="true" outlineLevel="0" collapsed="false">
      <c r="A174" s="35" t="n">
        <v>33</v>
      </c>
      <c r="B174" s="53" t="s">
        <v>296</v>
      </c>
      <c r="C174" s="61" t="n">
        <v>250</v>
      </c>
      <c r="D174" s="32" t="n">
        <v>6</v>
      </c>
      <c r="E174" s="36" t="n">
        <v>0.00392116039006614</v>
      </c>
      <c r="F174" s="37" t="n">
        <v>255.026548399652</v>
      </c>
      <c r="G174" s="37" t="n">
        <v>170.236441389839</v>
      </c>
      <c r="H174" s="57" t="n">
        <v>-0.332475609076346</v>
      </c>
      <c r="I174" s="50" t="n">
        <v>1</v>
      </c>
      <c r="J174" s="62" t="n">
        <v>46323</v>
      </c>
      <c r="K174" s="34" t="s">
        <v>205</v>
      </c>
      <c r="L174" s="34" t="s">
        <v>159</v>
      </c>
      <c r="M174" s="36" t="n">
        <v>0.399656798559838</v>
      </c>
      <c r="N174" s="37" t="n">
        <v>2.50214685100691</v>
      </c>
      <c r="O174" s="50" t="s">
        <v>285</v>
      </c>
    </row>
    <row r="175" customFormat="false" ht="18.75" hidden="false" customHeight="true" outlineLevel="0" collapsed="false">
      <c r="A175" s="35" t="n">
        <v>33</v>
      </c>
      <c r="B175" s="53" t="s">
        <v>296</v>
      </c>
      <c r="C175" s="61" t="n">
        <v>250</v>
      </c>
      <c r="D175" s="32" t="n">
        <v>6</v>
      </c>
      <c r="E175" s="36" t="n">
        <v>0.00392116039006614</v>
      </c>
      <c r="F175" s="37" t="n">
        <v>255.026548399652</v>
      </c>
      <c r="G175" s="37" t="n">
        <v>170.236441389839</v>
      </c>
      <c r="H175" s="57" t="n">
        <v>-0.332475609076346</v>
      </c>
      <c r="I175" s="50" t="n">
        <v>2</v>
      </c>
      <c r="J175" s="62" t="n">
        <v>46323</v>
      </c>
      <c r="K175" s="34" t="s">
        <v>213</v>
      </c>
      <c r="L175" s="34" t="s">
        <v>150</v>
      </c>
      <c r="M175" s="36" t="n">
        <v>0.400440851013774</v>
      </c>
      <c r="N175" s="37" t="n">
        <v>2.49724771453351</v>
      </c>
      <c r="O175" s="50" t="s">
        <v>285</v>
      </c>
    </row>
    <row r="176" customFormat="false" ht="18.75" hidden="false" customHeight="true" outlineLevel="0" collapsed="false">
      <c r="A176" s="35" t="n">
        <v>33</v>
      </c>
      <c r="B176" s="53" t="s">
        <v>296</v>
      </c>
      <c r="C176" s="61" t="n">
        <v>250</v>
      </c>
      <c r="D176" s="32" t="n">
        <v>6</v>
      </c>
      <c r="E176" s="36" t="n">
        <v>0.00392116039006614</v>
      </c>
      <c r="F176" s="37" t="n">
        <v>255.026548399652</v>
      </c>
      <c r="G176" s="37" t="n">
        <v>170.236441389839</v>
      </c>
      <c r="H176" s="57" t="n">
        <v>-0.332475609076346</v>
      </c>
      <c r="I176" s="50" t="n">
        <v>3</v>
      </c>
      <c r="J176" s="62" t="n">
        <v>46323</v>
      </c>
      <c r="K176" s="34" t="s">
        <v>206</v>
      </c>
      <c r="L176" s="34" t="s">
        <v>150</v>
      </c>
      <c r="M176" s="36" t="n">
        <v>0.396166137687971</v>
      </c>
      <c r="N176" s="37" t="n">
        <v>2.52419352606966</v>
      </c>
      <c r="O176" s="50" t="s">
        <v>285</v>
      </c>
    </row>
    <row r="177" customFormat="false" ht="18.75" hidden="false" customHeight="true" outlineLevel="0" collapsed="false">
      <c r="A177" s="35" t="n">
        <v>33</v>
      </c>
      <c r="B177" s="53" t="s">
        <v>296</v>
      </c>
      <c r="C177" s="61" t="n">
        <v>250</v>
      </c>
      <c r="D177" s="32" t="n">
        <v>6</v>
      </c>
      <c r="E177" s="36" t="n">
        <v>0.00392116039006614</v>
      </c>
      <c r="F177" s="37" t="n">
        <v>255.026548399652</v>
      </c>
      <c r="G177" s="37" t="n">
        <v>170.236441389839</v>
      </c>
      <c r="H177" s="57" t="n">
        <v>-0.332475609076346</v>
      </c>
      <c r="I177" s="50" t="n">
        <v>4</v>
      </c>
      <c r="J177" s="62" t="n">
        <v>46323</v>
      </c>
      <c r="K177" s="34" t="s">
        <v>204</v>
      </c>
      <c r="L177" s="34" t="s">
        <v>168</v>
      </c>
      <c r="M177" s="36" t="n">
        <v>0.396093893217481</v>
      </c>
      <c r="N177" s="37" t="n">
        <v>2.52465391949614</v>
      </c>
      <c r="O177" s="50" t="s">
        <v>285</v>
      </c>
    </row>
    <row r="178" customFormat="false" ht="18.75" hidden="false" customHeight="true" outlineLevel="0" collapsed="false">
      <c r="A178" s="35" t="n">
        <v>33</v>
      </c>
      <c r="B178" s="53" t="s">
        <v>296</v>
      </c>
      <c r="C178" s="61" t="n">
        <v>250</v>
      </c>
      <c r="D178" s="32" t="n">
        <v>6</v>
      </c>
      <c r="E178" s="36" t="n">
        <v>0.00392116039006614</v>
      </c>
      <c r="F178" s="37" t="n">
        <v>255.026548399652</v>
      </c>
      <c r="G178" s="37" t="n">
        <v>170.236441389839</v>
      </c>
      <c r="H178" s="57" t="n">
        <v>-0.332475609076346</v>
      </c>
      <c r="I178" s="50" t="n">
        <v>5</v>
      </c>
      <c r="J178" s="62" t="n">
        <v>46323</v>
      </c>
      <c r="K178" s="34" t="s">
        <v>207</v>
      </c>
      <c r="L178" s="34" t="s">
        <v>159</v>
      </c>
      <c r="M178" s="36" t="n">
        <v>0.401756714026901</v>
      </c>
      <c r="N178" s="37" t="n">
        <v>2.48906854592862</v>
      </c>
      <c r="O178" s="50" t="s">
        <v>285</v>
      </c>
    </row>
    <row r="179" customFormat="false" ht="18.75" hidden="false" customHeight="true" outlineLevel="0" collapsed="false">
      <c r="A179" s="35" t="n">
        <v>33</v>
      </c>
      <c r="B179" s="53" t="s">
        <v>296</v>
      </c>
      <c r="C179" s="61" t="n">
        <v>250</v>
      </c>
      <c r="D179" s="32" t="n">
        <v>6</v>
      </c>
      <c r="E179" s="36" t="n">
        <v>0.00392116039006614</v>
      </c>
      <c r="F179" s="37" t="n">
        <v>255.026548399652</v>
      </c>
      <c r="G179" s="37" t="n">
        <v>170.236441389839</v>
      </c>
      <c r="H179" s="57" t="n">
        <v>-0.332475609076346</v>
      </c>
      <c r="I179" s="50" t="n">
        <v>6</v>
      </c>
      <c r="J179" s="62" t="n">
        <v>46323</v>
      </c>
      <c r="K179" s="34" t="s">
        <v>209</v>
      </c>
      <c r="L179" s="34" t="s">
        <v>159</v>
      </c>
      <c r="M179" s="36" t="n">
        <v>0.388642583694243</v>
      </c>
      <c r="N179" s="37" t="n">
        <v>2.57305823385203</v>
      </c>
      <c r="O179" s="50" t="s">
        <v>285</v>
      </c>
    </row>
    <row r="180" customFormat="false" ht="18.75" hidden="false" customHeight="true" outlineLevel="0" collapsed="false">
      <c r="A180" s="42" t="n">
        <v>34</v>
      </c>
      <c r="B180" s="54" t="s">
        <v>284</v>
      </c>
      <c r="C180" s="59" t="n">
        <v>1.5</v>
      </c>
      <c r="D180" s="39" t="n">
        <v>2</v>
      </c>
      <c r="E180" s="43" t="n">
        <v>0.668645465412342</v>
      </c>
      <c r="F180" s="44" t="n">
        <v>1.49556087901279</v>
      </c>
      <c r="G180" s="44" t="n">
        <v>1.30705283287655</v>
      </c>
      <c r="H180" s="58" t="n">
        <v>-0.126045050242739</v>
      </c>
      <c r="I180" s="51" t="n">
        <v>1</v>
      </c>
      <c r="J180" s="60" t="n">
        <v>46330</v>
      </c>
      <c r="K180" s="41" t="s">
        <v>223</v>
      </c>
      <c r="L180" s="41" t="s">
        <v>86</v>
      </c>
      <c r="M180" s="43" t="n">
        <v>0.817543006461994</v>
      </c>
      <c r="N180" s="44" t="n">
        <v>1.22317724217055</v>
      </c>
      <c r="O180" s="51" t="s">
        <v>285</v>
      </c>
    </row>
    <row r="181" customFormat="false" ht="18.75" hidden="false" customHeight="true" outlineLevel="0" collapsed="false">
      <c r="A181" s="42" t="n">
        <v>34</v>
      </c>
      <c r="B181" s="54" t="s">
        <v>284</v>
      </c>
      <c r="C181" s="59" t="n">
        <v>1.5</v>
      </c>
      <c r="D181" s="39" t="n">
        <v>2</v>
      </c>
      <c r="E181" s="43" t="n">
        <v>0.668645465412342</v>
      </c>
      <c r="F181" s="44" t="n">
        <v>1.49556087901279</v>
      </c>
      <c r="G181" s="44" t="n">
        <v>1.30705283287655</v>
      </c>
      <c r="H181" s="58" t="n">
        <v>-0.126045050242739</v>
      </c>
      <c r="I181" s="51" t="n">
        <v>2</v>
      </c>
      <c r="J181" s="60" t="n">
        <v>46330</v>
      </c>
      <c r="K181" s="41" t="s">
        <v>222</v>
      </c>
      <c r="L181" s="41" t="s">
        <v>86</v>
      </c>
      <c r="M181" s="43" t="n">
        <v>0.817871916372911</v>
      </c>
      <c r="N181" s="44" t="n">
        <v>1.22268533737506</v>
      </c>
      <c r="O181" s="51" t="s">
        <v>285</v>
      </c>
    </row>
    <row r="182" customFormat="false" ht="18.75" hidden="false" customHeight="true" outlineLevel="0" collapsed="false">
      <c r="A182" s="35" t="n">
        <v>34</v>
      </c>
      <c r="B182" s="53" t="s">
        <v>286</v>
      </c>
      <c r="C182" s="61" t="n">
        <v>2</v>
      </c>
      <c r="D182" s="32" t="n">
        <v>2</v>
      </c>
      <c r="E182" s="36" t="n">
        <v>0.497586445170835</v>
      </c>
      <c r="F182" s="37" t="n">
        <v>2.00970104733595</v>
      </c>
      <c r="G182" s="37" t="n">
        <v>1.75638817785161</v>
      </c>
      <c r="H182" s="57" t="n">
        <v>-0.126045050242739</v>
      </c>
      <c r="I182" s="50" t="n">
        <v>1</v>
      </c>
      <c r="J182" s="62" t="n">
        <v>46330</v>
      </c>
      <c r="K182" s="34" t="s">
        <v>218</v>
      </c>
      <c r="L182" s="34" t="s">
        <v>107</v>
      </c>
      <c r="M182" s="36" t="n">
        <v>0.706463183502398</v>
      </c>
      <c r="N182" s="37" t="n">
        <v>1.41550193039409</v>
      </c>
      <c r="O182" s="50" t="s">
        <v>285</v>
      </c>
    </row>
    <row r="183" customFormat="false" ht="18.75" hidden="false" customHeight="true" outlineLevel="0" collapsed="false">
      <c r="A183" s="35" t="n">
        <v>34</v>
      </c>
      <c r="B183" s="53" t="s">
        <v>286</v>
      </c>
      <c r="C183" s="61" t="n">
        <v>2</v>
      </c>
      <c r="D183" s="32" t="n">
        <v>2</v>
      </c>
      <c r="E183" s="36" t="n">
        <v>0.497586445170835</v>
      </c>
      <c r="F183" s="37" t="n">
        <v>2.00970104733595</v>
      </c>
      <c r="G183" s="37" t="n">
        <v>1.75638817785161</v>
      </c>
      <c r="H183" s="57" t="n">
        <v>-0.126045050242739</v>
      </c>
      <c r="I183" s="50" t="n">
        <v>2</v>
      </c>
      <c r="J183" s="62" t="n">
        <v>46330</v>
      </c>
      <c r="K183" s="34" t="s">
        <v>220</v>
      </c>
      <c r="L183" s="34" t="s">
        <v>196</v>
      </c>
      <c r="M183" s="36" t="n">
        <v>0.704334573677252</v>
      </c>
      <c r="N183" s="37" t="n">
        <v>1.41977979978906</v>
      </c>
      <c r="O183" s="50" t="s">
        <v>288</v>
      </c>
    </row>
    <row r="184" customFormat="false" ht="18.75" hidden="false" customHeight="true" outlineLevel="0" collapsed="false">
      <c r="A184" s="42" t="n">
        <v>34</v>
      </c>
      <c r="B184" s="54" t="s">
        <v>287</v>
      </c>
      <c r="C184" s="59" t="n">
        <v>3</v>
      </c>
      <c r="D184" s="39" t="n">
        <v>2</v>
      </c>
      <c r="E184" s="43" t="n">
        <v>0.333171610448789</v>
      </c>
      <c r="F184" s="44" t="n">
        <v>3.00145621246954</v>
      </c>
      <c r="G184" s="44" t="n">
        <v>2.62313751336744</v>
      </c>
      <c r="H184" s="58" t="n">
        <v>-0.126045050242739</v>
      </c>
      <c r="I184" s="51" t="n">
        <v>1</v>
      </c>
      <c r="J184" s="60" t="n">
        <v>46330</v>
      </c>
      <c r="K184" s="41" t="s">
        <v>220</v>
      </c>
      <c r="L184" s="41" t="s">
        <v>163</v>
      </c>
      <c r="M184" s="43" t="n">
        <v>0.58142195364414</v>
      </c>
      <c r="N184" s="44" t="n">
        <v>1.7199212959407</v>
      </c>
      <c r="O184" s="51" t="s">
        <v>288</v>
      </c>
    </row>
    <row r="185" customFormat="false" ht="18.75" hidden="false" customHeight="true" outlineLevel="0" collapsed="false">
      <c r="A185" s="42" t="n">
        <v>34</v>
      </c>
      <c r="B185" s="54" t="s">
        <v>287</v>
      </c>
      <c r="C185" s="59" t="n">
        <v>3</v>
      </c>
      <c r="D185" s="39" t="n">
        <v>2</v>
      </c>
      <c r="E185" s="43" t="n">
        <v>0.333171610448789</v>
      </c>
      <c r="F185" s="44" t="n">
        <v>3.00145621246954</v>
      </c>
      <c r="G185" s="44" t="n">
        <v>2.62313751336744</v>
      </c>
      <c r="H185" s="58" t="n">
        <v>-0.126045050242739</v>
      </c>
      <c r="I185" s="51" t="n">
        <v>2</v>
      </c>
      <c r="J185" s="60" t="n">
        <v>46330</v>
      </c>
      <c r="K185" s="41" t="s">
        <v>221</v>
      </c>
      <c r="L185" s="41" t="s">
        <v>154</v>
      </c>
      <c r="M185" s="43" t="n">
        <v>0.57302894801373</v>
      </c>
      <c r="N185" s="44" t="n">
        <v>1.74511253483138</v>
      </c>
      <c r="O185" s="51" t="s">
        <v>285</v>
      </c>
    </row>
    <row r="186" customFormat="false" ht="18.75" hidden="false" customHeight="true" outlineLevel="0" collapsed="false">
      <c r="A186" s="35" t="n">
        <v>34</v>
      </c>
      <c r="B186" s="53" t="s">
        <v>289</v>
      </c>
      <c r="C186" s="61" t="n">
        <v>5</v>
      </c>
      <c r="D186" s="32" t="n">
        <v>2</v>
      </c>
      <c r="E186" s="36" t="n">
        <v>0.199471441107575</v>
      </c>
      <c r="F186" s="37" t="n">
        <v>5.0132489866592</v>
      </c>
      <c r="G186" s="37" t="n">
        <v>4.38135376625638</v>
      </c>
      <c r="H186" s="57" t="n">
        <v>-0.126045050242739</v>
      </c>
      <c r="I186" s="50" t="n">
        <v>1</v>
      </c>
      <c r="J186" s="62" t="n">
        <v>46330</v>
      </c>
      <c r="K186" s="34" t="s">
        <v>215</v>
      </c>
      <c r="L186" s="34" t="s">
        <v>158</v>
      </c>
      <c r="M186" s="36" t="n">
        <v>0.446647738233331</v>
      </c>
      <c r="N186" s="37" t="n">
        <v>2.23890084825101</v>
      </c>
      <c r="O186" s="50" t="s">
        <v>288</v>
      </c>
    </row>
    <row r="187" customFormat="false" ht="18.75" hidden="false" customHeight="true" outlineLevel="0" collapsed="false">
      <c r="A187" s="35" t="n">
        <v>34</v>
      </c>
      <c r="B187" s="53" t="s">
        <v>289</v>
      </c>
      <c r="C187" s="61" t="n">
        <v>5</v>
      </c>
      <c r="D187" s="32" t="n">
        <v>2</v>
      </c>
      <c r="E187" s="36" t="n">
        <v>0.199471441107575</v>
      </c>
      <c r="F187" s="37" t="n">
        <v>5.0132489866592</v>
      </c>
      <c r="G187" s="37" t="n">
        <v>4.38135376625638</v>
      </c>
      <c r="H187" s="57" t="n">
        <v>-0.126045050242739</v>
      </c>
      <c r="I187" s="50" t="n">
        <v>2</v>
      </c>
      <c r="J187" s="62" t="n">
        <v>46330</v>
      </c>
      <c r="K187" s="34" t="s">
        <v>217</v>
      </c>
      <c r="L187" s="34" t="s">
        <v>161</v>
      </c>
      <c r="M187" s="36" t="n">
        <v>0.446596778697601</v>
      </c>
      <c r="N187" s="37" t="n">
        <v>2.23915632109187</v>
      </c>
      <c r="O187" s="50" t="s">
        <v>288</v>
      </c>
    </row>
    <row r="188" customFormat="false" ht="18.75" hidden="false" customHeight="true" outlineLevel="0" collapsed="false">
      <c r="A188" s="42" t="n">
        <v>34</v>
      </c>
      <c r="B188" s="54" t="s">
        <v>290</v>
      </c>
      <c r="C188" s="59" t="n">
        <v>10</v>
      </c>
      <c r="D188" s="39" t="n">
        <v>3</v>
      </c>
      <c r="E188" s="43" t="n">
        <v>0.100156699828741</v>
      </c>
      <c r="F188" s="44" t="n">
        <v>9.98435453354503</v>
      </c>
      <c r="G188" s="44" t="n">
        <v>8.15743390289365</v>
      </c>
      <c r="H188" s="58" t="n">
        <v>-0.182978341215085</v>
      </c>
      <c r="I188" s="51" t="n">
        <v>1</v>
      </c>
      <c r="J188" s="60" t="n">
        <v>46330</v>
      </c>
      <c r="K188" s="41" t="s">
        <v>214</v>
      </c>
      <c r="L188" s="41" t="s">
        <v>292</v>
      </c>
      <c r="M188" s="43" t="n">
        <v>0.463798873235705</v>
      </c>
      <c r="N188" s="44" t="n">
        <v>2.15610700608968</v>
      </c>
      <c r="O188" s="51" t="s">
        <v>285</v>
      </c>
    </row>
    <row r="189" customFormat="false" ht="18.75" hidden="false" customHeight="true" outlineLevel="0" collapsed="false">
      <c r="A189" s="42" t="n">
        <v>34</v>
      </c>
      <c r="B189" s="54" t="s">
        <v>290</v>
      </c>
      <c r="C189" s="59" t="n">
        <v>10</v>
      </c>
      <c r="D189" s="39" t="n">
        <v>3</v>
      </c>
      <c r="E189" s="43" t="n">
        <v>0.100156699828741</v>
      </c>
      <c r="F189" s="44" t="n">
        <v>9.98435453354503</v>
      </c>
      <c r="G189" s="44" t="n">
        <v>8.15743390289365</v>
      </c>
      <c r="H189" s="58" t="n">
        <v>-0.182978341215085</v>
      </c>
      <c r="I189" s="51" t="n">
        <v>2</v>
      </c>
      <c r="J189" s="60" t="n">
        <v>46330</v>
      </c>
      <c r="K189" s="41" t="s">
        <v>219</v>
      </c>
      <c r="L189" s="41" t="s">
        <v>158</v>
      </c>
      <c r="M189" s="43" t="n">
        <v>0.464698636189141</v>
      </c>
      <c r="N189" s="44" t="n">
        <v>2.15193228928045</v>
      </c>
      <c r="O189" s="51" t="s">
        <v>288</v>
      </c>
    </row>
    <row r="190" customFormat="false" ht="18.75" hidden="false" customHeight="true" outlineLevel="0" collapsed="false">
      <c r="A190" s="42" t="n">
        <v>34</v>
      </c>
      <c r="B190" s="54" t="s">
        <v>290</v>
      </c>
      <c r="C190" s="59" t="n">
        <v>10</v>
      </c>
      <c r="D190" s="39" t="n">
        <v>3</v>
      </c>
      <c r="E190" s="43" t="n">
        <v>0.100156699828741</v>
      </c>
      <c r="F190" s="44" t="n">
        <v>9.98435453354503</v>
      </c>
      <c r="G190" s="44" t="n">
        <v>8.15743390289365</v>
      </c>
      <c r="H190" s="58" t="n">
        <v>-0.182978341215085</v>
      </c>
      <c r="I190" s="51" t="n">
        <v>3</v>
      </c>
      <c r="J190" s="60" t="n">
        <v>46330</v>
      </c>
      <c r="K190" s="41" t="s">
        <v>223</v>
      </c>
      <c r="L190" s="41" t="s">
        <v>175</v>
      </c>
      <c r="M190" s="43" t="n">
        <v>0.464706683838156</v>
      </c>
      <c r="N190" s="44" t="n">
        <v>2.15189502277155</v>
      </c>
      <c r="O190" s="51" t="s">
        <v>288</v>
      </c>
    </row>
    <row r="191" customFormat="false" ht="18.75" hidden="false" customHeight="true" outlineLevel="0" collapsed="false">
      <c r="A191" s="35" t="n">
        <v>34</v>
      </c>
      <c r="B191" s="53" t="s">
        <v>293</v>
      </c>
      <c r="C191" s="61" t="n">
        <v>25</v>
      </c>
      <c r="D191" s="32" t="n">
        <v>4</v>
      </c>
      <c r="E191" s="36" t="n">
        <v>0.0399457309863749</v>
      </c>
      <c r="F191" s="37" t="n">
        <v>25.033964213625</v>
      </c>
      <c r="G191" s="37" t="n">
        <v>19.1208731282384</v>
      </c>
      <c r="H191" s="57" t="n">
        <v>-0.236202745794783</v>
      </c>
      <c r="I191" s="50" t="n">
        <v>1</v>
      </c>
      <c r="J191" s="62" t="n">
        <v>46330</v>
      </c>
      <c r="K191" s="34" t="s">
        <v>215</v>
      </c>
      <c r="L191" s="34" t="s">
        <v>158</v>
      </c>
      <c r="M191" s="36" t="n">
        <v>0.446647738233331</v>
      </c>
      <c r="N191" s="37" t="n">
        <v>2.23890084825101</v>
      </c>
      <c r="O191" s="50" t="s">
        <v>288</v>
      </c>
    </row>
    <row r="192" customFormat="false" ht="18.75" hidden="false" customHeight="true" outlineLevel="0" collapsed="false">
      <c r="A192" s="35" t="n">
        <v>34</v>
      </c>
      <c r="B192" s="53" t="s">
        <v>293</v>
      </c>
      <c r="C192" s="61" t="n">
        <v>25</v>
      </c>
      <c r="D192" s="32" t="n">
        <v>4</v>
      </c>
      <c r="E192" s="36" t="n">
        <v>0.0399457309863749</v>
      </c>
      <c r="F192" s="37" t="n">
        <v>25.033964213625</v>
      </c>
      <c r="G192" s="37" t="n">
        <v>19.1208731282384</v>
      </c>
      <c r="H192" s="57" t="n">
        <v>-0.236202745794783</v>
      </c>
      <c r="I192" s="50" t="n">
        <v>2</v>
      </c>
      <c r="J192" s="62" t="n">
        <v>46330</v>
      </c>
      <c r="K192" s="34" t="s">
        <v>217</v>
      </c>
      <c r="L192" s="34" t="s">
        <v>161</v>
      </c>
      <c r="M192" s="36" t="n">
        <v>0.446596778697601</v>
      </c>
      <c r="N192" s="37" t="n">
        <v>2.23915632109187</v>
      </c>
      <c r="O192" s="50" t="s">
        <v>288</v>
      </c>
    </row>
    <row r="193" customFormat="false" ht="18.75" hidden="false" customHeight="true" outlineLevel="0" collapsed="false">
      <c r="A193" s="35" t="n">
        <v>34</v>
      </c>
      <c r="B193" s="53" t="s">
        <v>293</v>
      </c>
      <c r="C193" s="61" t="n">
        <v>25</v>
      </c>
      <c r="D193" s="32" t="n">
        <v>4</v>
      </c>
      <c r="E193" s="36" t="n">
        <v>0.0399457309863749</v>
      </c>
      <c r="F193" s="37" t="n">
        <v>25.033964213625</v>
      </c>
      <c r="G193" s="37" t="n">
        <v>19.1208731282384</v>
      </c>
      <c r="H193" s="57" t="n">
        <v>-0.236202745794783</v>
      </c>
      <c r="I193" s="50" t="n">
        <v>3</v>
      </c>
      <c r="J193" s="62" t="n">
        <v>46330</v>
      </c>
      <c r="K193" s="34" t="s">
        <v>221</v>
      </c>
      <c r="L193" s="34" t="s">
        <v>175</v>
      </c>
      <c r="M193" s="36" t="n">
        <v>0.445792544492652</v>
      </c>
      <c r="N193" s="37" t="n">
        <v>2.24319588192773</v>
      </c>
      <c r="O193" s="50" t="s">
        <v>288</v>
      </c>
    </row>
    <row r="194" customFormat="false" ht="18.75" hidden="false" customHeight="true" outlineLevel="0" collapsed="false">
      <c r="A194" s="35" t="n">
        <v>34</v>
      </c>
      <c r="B194" s="53" t="s">
        <v>293</v>
      </c>
      <c r="C194" s="61" t="n">
        <v>25</v>
      </c>
      <c r="D194" s="32" t="n">
        <v>4</v>
      </c>
      <c r="E194" s="36" t="n">
        <v>0.0399457309863749</v>
      </c>
      <c r="F194" s="37" t="n">
        <v>25.033964213625</v>
      </c>
      <c r="G194" s="37" t="n">
        <v>19.1208731282384</v>
      </c>
      <c r="H194" s="57" t="n">
        <v>-0.236202745794783</v>
      </c>
      <c r="I194" s="50" t="n">
        <v>4</v>
      </c>
      <c r="J194" s="62" t="n">
        <v>46330</v>
      </c>
      <c r="K194" s="34" t="s">
        <v>219</v>
      </c>
      <c r="L194" s="34" t="s">
        <v>292</v>
      </c>
      <c r="M194" s="36" t="n">
        <v>0.449217686259681</v>
      </c>
      <c r="N194" s="37" t="n">
        <v>2.22609222786016</v>
      </c>
      <c r="O194" s="50" t="s">
        <v>285</v>
      </c>
    </row>
    <row r="195" customFormat="false" ht="18.75" hidden="false" customHeight="true" outlineLevel="0" collapsed="false">
      <c r="A195" s="42" t="n">
        <v>34</v>
      </c>
      <c r="B195" s="54" t="s">
        <v>294</v>
      </c>
      <c r="C195" s="59" t="n">
        <v>50</v>
      </c>
      <c r="D195" s="39" t="n">
        <v>4</v>
      </c>
      <c r="E195" s="43" t="n">
        <v>0.0202865965910246</v>
      </c>
      <c r="F195" s="44" t="n">
        <v>49.2936306744735</v>
      </c>
      <c r="G195" s="44" t="n">
        <v>37.6503397589689</v>
      </c>
      <c r="H195" s="58" t="n">
        <v>-0.236202745794783</v>
      </c>
      <c r="I195" s="51" t="n">
        <v>1</v>
      </c>
      <c r="J195" s="60" t="n">
        <v>46330</v>
      </c>
      <c r="K195" s="41" t="s">
        <v>220</v>
      </c>
      <c r="L195" s="41" t="s">
        <v>146</v>
      </c>
      <c r="M195" s="43" t="n">
        <v>0.376681116455196</v>
      </c>
      <c r="N195" s="44" t="n">
        <v>2.65476541380843</v>
      </c>
      <c r="O195" s="51" t="s">
        <v>285</v>
      </c>
    </row>
    <row r="196" customFormat="false" ht="18.75" hidden="false" customHeight="true" outlineLevel="0" collapsed="false">
      <c r="A196" s="42" t="n">
        <v>34</v>
      </c>
      <c r="B196" s="54" t="s">
        <v>294</v>
      </c>
      <c r="C196" s="59" t="n">
        <v>50</v>
      </c>
      <c r="D196" s="39" t="n">
        <v>4</v>
      </c>
      <c r="E196" s="43" t="n">
        <v>0.0202865965910246</v>
      </c>
      <c r="F196" s="44" t="n">
        <v>49.2936306744735</v>
      </c>
      <c r="G196" s="44" t="n">
        <v>37.6503397589689</v>
      </c>
      <c r="H196" s="58" t="n">
        <v>-0.236202745794783</v>
      </c>
      <c r="I196" s="51" t="n">
        <v>2</v>
      </c>
      <c r="J196" s="60" t="n">
        <v>46330</v>
      </c>
      <c r="K196" s="41" t="s">
        <v>223</v>
      </c>
      <c r="L196" s="41" t="s">
        <v>159</v>
      </c>
      <c r="M196" s="43" t="n">
        <v>0.374011194356338</v>
      </c>
      <c r="N196" s="44" t="n">
        <v>2.67371676326686</v>
      </c>
      <c r="O196" s="51" t="s">
        <v>285</v>
      </c>
    </row>
    <row r="197" customFormat="false" ht="18.75" hidden="false" customHeight="true" outlineLevel="0" collapsed="false">
      <c r="A197" s="42" t="n">
        <v>34</v>
      </c>
      <c r="B197" s="54" t="s">
        <v>294</v>
      </c>
      <c r="C197" s="59" t="n">
        <v>50</v>
      </c>
      <c r="D197" s="39" t="n">
        <v>4</v>
      </c>
      <c r="E197" s="43" t="n">
        <v>0.0202865965910246</v>
      </c>
      <c r="F197" s="44" t="n">
        <v>49.2936306744735</v>
      </c>
      <c r="G197" s="44" t="n">
        <v>37.6503397589689</v>
      </c>
      <c r="H197" s="58" t="n">
        <v>-0.236202745794783</v>
      </c>
      <c r="I197" s="51" t="n">
        <v>3</v>
      </c>
      <c r="J197" s="60" t="n">
        <v>46330</v>
      </c>
      <c r="K197" s="41" t="s">
        <v>217</v>
      </c>
      <c r="L197" s="41" t="s">
        <v>146</v>
      </c>
      <c r="M197" s="43" t="n">
        <v>0.379266211198052</v>
      </c>
      <c r="N197" s="44" t="n">
        <v>2.63667041902081</v>
      </c>
      <c r="O197" s="51" t="s">
        <v>285</v>
      </c>
    </row>
    <row r="198" customFormat="false" ht="18.75" hidden="false" customHeight="true" outlineLevel="0" collapsed="false">
      <c r="A198" s="42" t="n">
        <v>34</v>
      </c>
      <c r="B198" s="54" t="s">
        <v>294</v>
      </c>
      <c r="C198" s="59" t="n">
        <v>50</v>
      </c>
      <c r="D198" s="39" t="n">
        <v>4</v>
      </c>
      <c r="E198" s="43" t="n">
        <v>0.0202865965910246</v>
      </c>
      <c r="F198" s="44" t="n">
        <v>49.2936306744735</v>
      </c>
      <c r="G198" s="44" t="n">
        <v>37.6503397589689</v>
      </c>
      <c r="H198" s="58" t="n">
        <v>-0.236202745794783</v>
      </c>
      <c r="I198" s="51" t="n">
        <v>4</v>
      </c>
      <c r="J198" s="60" t="n">
        <v>46330</v>
      </c>
      <c r="K198" s="41" t="s">
        <v>219</v>
      </c>
      <c r="L198" s="41" t="s">
        <v>150</v>
      </c>
      <c r="M198" s="43" t="n">
        <v>0.379670268956957</v>
      </c>
      <c r="N198" s="44" t="n">
        <v>2.63386438645099</v>
      </c>
      <c r="O198" s="51" t="s">
        <v>285</v>
      </c>
    </row>
    <row r="199" customFormat="false" ht="18.75" hidden="false" customHeight="true" outlineLevel="0" collapsed="false">
      <c r="A199" s="35" t="n">
        <v>34</v>
      </c>
      <c r="B199" s="53" t="s">
        <v>295</v>
      </c>
      <c r="C199" s="61" t="n">
        <v>100</v>
      </c>
      <c r="D199" s="32" t="n">
        <v>5</v>
      </c>
      <c r="E199" s="36" t="n">
        <v>0.010056154384653</v>
      </c>
      <c r="F199" s="37" t="n">
        <v>99.4415918600184</v>
      </c>
      <c r="G199" s="37" t="n">
        <v>71.0052864585772</v>
      </c>
      <c r="H199" s="57" t="n">
        <v>-0.285959877246035</v>
      </c>
      <c r="I199" s="50" t="n">
        <v>1</v>
      </c>
      <c r="J199" s="62" t="n">
        <v>46330</v>
      </c>
      <c r="K199" s="34" t="s">
        <v>221</v>
      </c>
      <c r="L199" s="34" t="s">
        <v>146</v>
      </c>
      <c r="M199" s="36" t="n">
        <v>0.398768473037665</v>
      </c>
      <c r="N199" s="37" t="n">
        <v>2.50772081449264</v>
      </c>
      <c r="O199" s="50" t="s">
        <v>285</v>
      </c>
    </row>
    <row r="200" customFormat="false" ht="18.75" hidden="false" customHeight="true" outlineLevel="0" collapsed="false">
      <c r="A200" s="35" t="n">
        <v>34</v>
      </c>
      <c r="B200" s="53" t="s">
        <v>295</v>
      </c>
      <c r="C200" s="61" t="n">
        <v>100</v>
      </c>
      <c r="D200" s="32" t="n">
        <v>5</v>
      </c>
      <c r="E200" s="36" t="n">
        <v>0.010056154384653</v>
      </c>
      <c r="F200" s="37" t="n">
        <v>99.4415918600184</v>
      </c>
      <c r="G200" s="37" t="n">
        <v>71.0052864585772</v>
      </c>
      <c r="H200" s="57" t="n">
        <v>-0.285959877246035</v>
      </c>
      <c r="I200" s="50" t="n">
        <v>2</v>
      </c>
      <c r="J200" s="62" t="n">
        <v>46330</v>
      </c>
      <c r="K200" s="34" t="s">
        <v>220</v>
      </c>
      <c r="L200" s="34" t="s">
        <v>110</v>
      </c>
      <c r="M200" s="36" t="n">
        <v>0.401506654897168</v>
      </c>
      <c r="N200" s="37" t="n">
        <v>2.49061874268589</v>
      </c>
      <c r="O200" s="50" t="s">
        <v>285</v>
      </c>
    </row>
    <row r="201" customFormat="false" ht="18.75" hidden="false" customHeight="true" outlineLevel="0" collapsed="false">
      <c r="A201" s="35" t="n">
        <v>34</v>
      </c>
      <c r="B201" s="53" t="s">
        <v>295</v>
      </c>
      <c r="C201" s="61" t="n">
        <v>100</v>
      </c>
      <c r="D201" s="32" t="n">
        <v>5</v>
      </c>
      <c r="E201" s="36" t="n">
        <v>0.010056154384653</v>
      </c>
      <c r="F201" s="37" t="n">
        <v>99.4415918600184</v>
      </c>
      <c r="G201" s="37" t="n">
        <v>71.0052864585772</v>
      </c>
      <c r="H201" s="57" t="n">
        <v>-0.285959877246035</v>
      </c>
      <c r="I201" s="50" t="n">
        <v>3</v>
      </c>
      <c r="J201" s="62" t="n">
        <v>46330</v>
      </c>
      <c r="K201" s="34" t="s">
        <v>223</v>
      </c>
      <c r="L201" s="34" t="s">
        <v>142</v>
      </c>
      <c r="M201" s="36" t="n">
        <v>0.394628984586536</v>
      </c>
      <c r="N201" s="37" t="n">
        <v>2.53402572810948</v>
      </c>
      <c r="O201" s="50" t="s">
        <v>285</v>
      </c>
    </row>
    <row r="202" customFormat="false" ht="18.75" hidden="false" customHeight="true" outlineLevel="0" collapsed="false">
      <c r="A202" s="35" t="n">
        <v>34</v>
      </c>
      <c r="B202" s="53" t="s">
        <v>295</v>
      </c>
      <c r="C202" s="61" t="n">
        <v>100</v>
      </c>
      <c r="D202" s="32" t="n">
        <v>5</v>
      </c>
      <c r="E202" s="36" t="n">
        <v>0.010056154384653</v>
      </c>
      <c r="F202" s="37" t="n">
        <v>99.4415918600184</v>
      </c>
      <c r="G202" s="37" t="n">
        <v>71.0052864585772</v>
      </c>
      <c r="H202" s="57" t="n">
        <v>-0.285959877246035</v>
      </c>
      <c r="I202" s="50" t="n">
        <v>4</v>
      </c>
      <c r="J202" s="62" t="n">
        <v>46330</v>
      </c>
      <c r="K202" s="34" t="s">
        <v>219</v>
      </c>
      <c r="L202" s="34" t="s">
        <v>146</v>
      </c>
      <c r="M202" s="36" t="n">
        <v>0.390351615998895</v>
      </c>
      <c r="N202" s="37" t="n">
        <v>2.56179290417702</v>
      </c>
      <c r="O202" s="50" t="s">
        <v>285</v>
      </c>
    </row>
    <row r="203" customFormat="false" ht="18.75" hidden="false" customHeight="true" outlineLevel="0" collapsed="false">
      <c r="A203" s="35" t="n">
        <v>34</v>
      </c>
      <c r="B203" s="53" t="s">
        <v>295</v>
      </c>
      <c r="C203" s="61" t="n">
        <v>100</v>
      </c>
      <c r="D203" s="32" t="n">
        <v>5</v>
      </c>
      <c r="E203" s="36" t="n">
        <v>0.010056154384653</v>
      </c>
      <c r="F203" s="37" t="n">
        <v>99.4415918600184</v>
      </c>
      <c r="G203" s="37" t="n">
        <v>71.0052864585772</v>
      </c>
      <c r="H203" s="57" t="n">
        <v>-0.285959877246035</v>
      </c>
      <c r="I203" s="50" t="n">
        <v>5</v>
      </c>
      <c r="J203" s="62" t="n">
        <v>46330</v>
      </c>
      <c r="K203" s="34" t="s">
        <v>217</v>
      </c>
      <c r="L203" s="34" t="s">
        <v>150</v>
      </c>
      <c r="M203" s="36" t="n">
        <v>0.407730694700089</v>
      </c>
      <c r="N203" s="37" t="n">
        <v>2.45259925975296</v>
      </c>
      <c r="O203" s="50" t="s">
        <v>285</v>
      </c>
    </row>
    <row r="204" customFormat="false" ht="18.75" hidden="false" customHeight="true" outlineLevel="0" collapsed="false">
      <c r="A204" s="42" t="n">
        <v>34</v>
      </c>
      <c r="B204" s="54" t="s">
        <v>296</v>
      </c>
      <c r="C204" s="59" t="n">
        <v>250</v>
      </c>
      <c r="D204" s="39" t="n">
        <v>6</v>
      </c>
      <c r="E204" s="43" t="n">
        <v>0.0041201477240832</v>
      </c>
      <c r="F204" s="44" t="n">
        <v>242.709744156689</v>
      </c>
      <c r="G204" s="44" t="n">
        <v>162.01467413943</v>
      </c>
      <c r="H204" s="58" t="n">
        <v>-0.332475609076346</v>
      </c>
      <c r="I204" s="51" t="n">
        <v>1</v>
      </c>
      <c r="J204" s="60" t="n">
        <v>46330</v>
      </c>
      <c r="K204" s="41" t="s">
        <v>221</v>
      </c>
      <c r="L204" s="41" t="s">
        <v>146</v>
      </c>
      <c r="M204" s="43" t="n">
        <v>0.398768473037665</v>
      </c>
      <c r="N204" s="44" t="n">
        <v>2.50772081449264</v>
      </c>
      <c r="O204" s="51" t="s">
        <v>285</v>
      </c>
    </row>
    <row r="205" customFormat="false" ht="18.75" hidden="false" customHeight="true" outlineLevel="0" collapsed="false">
      <c r="A205" s="42" t="n">
        <v>34</v>
      </c>
      <c r="B205" s="54" t="s">
        <v>296</v>
      </c>
      <c r="C205" s="59" t="n">
        <v>250</v>
      </c>
      <c r="D205" s="39" t="n">
        <v>6</v>
      </c>
      <c r="E205" s="43" t="n">
        <v>0.0041201477240832</v>
      </c>
      <c r="F205" s="44" t="n">
        <v>242.709744156689</v>
      </c>
      <c r="G205" s="44" t="n">
        <v>162.01467413943</v>
      </c>
      <c r="H205" s="58" t="n">
        <v>-0.332475609076346</v>
      </c>
      <c r="I205" s="51" t="n">
        <v>2</v>
      </c>
      <c r="J205" s="60" t="n">
        <v>46330</v>
      </c>
      <c r="K205" s="41" t="s">
        <v>220</v>
      </c>
      <c r="L205" s="41" t="s">
        <v>110</v>
      </c>
      <c r="M205" s="43" t="n">
        <v>0.401506654897168</v>
      </c>
      <c r="N205" s="44" t="n">
        <v>2.49061874268589</v>
      </c>
      <c r="O205" s="51" t="s">
        <v>285</v>
      </c>
    </row>
    <row r="206" customFormat="false" ht="18.75" hidden="false" customHeight="true" outlineLevel="0" collapsed="false">
      <c r="A206" s="42" t="n">
        <v>34</v>
      </c>
      <c r="B206" s="54" t="s">
        <v>296</v>
      </c>
      <c r="C206" s="59" t="n">
        <v>250</v>
      </c>
      <c r="D206" s="39" t="n">
        <v>6</v>
      </c>
      <c r="E206" s="43" t="n">
        <v>0.0041201477240832</v>
      </c>
      <c r="F206" s="44" t="n">
        <v>242.709744156689</v>
      </c>
      <c r="G206" s="44" t="n">
        <v>162.01467413943</v>
      </c>
      <c r="H206" s="58" t="n">
        <v>-0.332475609076346</v>
      </c>
      <c r="I206" s="51" t="n">
        <v>3</v>
      </c>
      <c r="J206" s="60" t="n">
        <v>46330</v>
      </c>
      <c r="K206" s="41" t="s">
        <v>223</v>
      </c>
      <c r="L206" s="41" t="s">
        <v>142</v>
      </c>
      <c r="M206" s="43" t="n">
        <v>0.394628984586536</v>
      </c>
      <c r="N206" s="44" t="n">
        <v>2.53402572810948</v>
      </c>
      <c r="O206" s="51" t="s">
        <v>285</v>
      </c>
    </row>
    <row r="207" customFormat="false" ht="18.75" hidden="false" customHeight="true" outlineLevel="0" collapsed="false">
      <c r="A207" s="42" t="n">
        <v>34</v>
      </c>
      <c r="B207" s="54" t="s">
        <v>296</v>
      </c>
      <c r="C207" s="59" t="n">
        <v>250</v>
      </c>
      <c r="D207" s="39" t="n">
        <v>6</v>
      </c>
      <c r="E207" s="43" t="n">
        <v>0.0041201477240832</v>
      </c>
      <c r="F207" s="44" t="n">
        <v>242.709744156689</v>
      </c>
      <c r="G207" s="44" t="n">
        <v>162.01467413943</v>
      </c>
      <c r="H207" s="58" t="n">
        <v>-0.332475609076346</v>
      </c>
      <c r="I207" s="51" t="n">
        <v>4</v>
      </c>
      <c r="J207" s="60" t="n">
        <v>46330</v>
      </c>
      <c r="K207" s="41" t="s">
        <v>219</v>
      </c>
      <c r="L207" s="41" t="s">
        <v>146</v>
      </c>
      <c r="M207" s="43" t="n">
        <v>0.390351615998895</v>
      </c>
      <c r="N207" s="44" t="n">
        <v>2.56179290417702</v>
      </c>
      <c r="O207" s="51" t="s">
        <v>285</v>
      </c>
    </row>
    <row r="208" customFormat="false" ht="18.75" hidden="false" customHeight="true" outlineLevel="0" collapsed="false">
      <c r="A208" s="42" t="n">
        <v>34</v>
      </c>
      <c r="B208" s="54" t="s">
        <v>296</v>
      </c>
      <c r="C208" s="59" t="n">
        <v>250</v>
      </c>
      <c r="D208" s="39" t="n">
        <v>6</v>
      </c>
      <c r="E208" s="43" t="n">
        <v>0.0041201477240832</v>
      </c>
      <c r="F208" s="44" t="n">
        <v>242.709744156689</v>
      </c>
      <c r="G208" s="44" t="n">
        <v>162.01467413943</v>
      </c>
      <c r="H208" s="58" t="n">
        <v>-0.332475609076346</v>
      </c>
      <c r="I208" s="51" t="n">
        <v>5</v>
      </c>
      <c r="J208" s="60" t="n">
        <v>46330</v>
      </c>
      <c r="K208" s="41" t="s">
        <v>217</v>
      </c>
      <c r="L208" s="41" t="s">
        <v>150</v>
      </c>
      <c r="M208" s="43" t="n">
        <v>0.407730694700089</v>
      </c>
      <c r="N208" s="44" t="n">
        <v>2.45259925975296</v>
      </c>
      <c r="O208" s="51" t="s">
        <v>285</v>
      </c>
    </row>
    <row r="209" customFormat="false" ht="18.75" hidden="false" customHeight="true" outlineLevel="0" collapsed="false">
      <c r="A209" s="42" t="n">
        <v>34</v>
      </c>
      <c r="B209" s="54" t="s">
        <v>296</v>
      </c>
      <c r="C209" s="59" t="n">
        <v>250</v>
      </c>
      <c r="D209" s="39" t="n">
        <v>6</v>
      </c>
      <c r="E209" s="43" t="n">
        <v>0.0041201477240832</v>
      </c>
      <c r="F209" s="44" t="n">
        <v>242.709744156689</v>
      </c>
      <c r="G209" s="44" t="n">
        <v>162.01467413943</v>
      </c>
      <c r="H209" s="58" t="n">
        <v>-0.332475609076346</v>
      </c>
      <c r="I209" s="51" t="n">
        <v>6</v>
      </c>
      <c r="J209" s="60" t="n">
        <v>46330</v>
      </c>
      <c r="K209" s="41" t="s">
        <v>218</v>
      </c>
      <c r="L209" s="41" t="s">
        <v>159</v>
      </c>
      <c r="M209" s="43" t="n">
        <v>0.409714048381265</v>
      </c>
      <c r="N209" s="44" t="n">
        <v>2.44072665789931</v>
      </c>
      <c r="O209" s="51" t="s">
        <v>285</v>
      </c>
    </row>
    <row r="210" customFormat="false" ht="18.75" hidden="false" customHeight="true" outlineLevel="0" collapsed="false">
      <c r="A210" s="35" t="n">
        <v>35</v>
      </c>
      <c r="B210" s="53" t="s">
        <v>284</v>
      </c>
      <c r="C210" s="61" t="n">
        <v>1.5</v>
      </c>
      <c r="D210" s="32" t="n">
        <v>2</v>
      </c>
      <c r="E210" s="36" t="n">
        <v>0.666718284090695</v>
      </c>
      <c r="F210" s="37" t="n">
        <v>1.49988386978745</v>
      </c>
      <c r="G210" s="37" t="n">
        <v>1.31083093206182</v>
      </c>
      <c r="H210" s="57" t="n">
        <v>-0.126045050242739</v>
      </c>
      <c r="I210" s="50" t="n">
        <v>1</v>
      </c>
      <c r="J210" s="62" t="n">
        <v>46344</v>
      </c>
      <c r="K210" s="34" t="s">
        <v>233</v>
      </c>
      <c r="L210" s="34" t="s">
        <v>196</v>
      </c>
      <c r="M210" s="36" t="n">
        <v>0.816168708077357</v>
      </c>
      <c r="N210" s="37" t="n">
        <v>1.2252368782377</v>
      </c>
      <c r="O210" s="50" t="s">
        <v>288</v>
      </c>
    </row>
    <row r="211" customFormat="false" ht="18.75" hidden="false" customHeight="true" outlineLevel="0" collapsed="false">
      <c r="A211" s="35" t="n">
        <v>35</v>
      </c>
      <c r="B211" s="53" t="s">
        <v>284</v>
      </c>
      <c r="C211" s="61" t="n">
        <v>1.5</v>
      </c>
      <c r="D211" s="32" t="n">
        <v>2</v>
      </c>
      <c r="E211" s="36" t="n">
        <v>0.666718284090695</v>
      </c>
      <c r="F211" s="37" t="n">
        <v>1.49988386978745</v>
      </c>
      <c r="G211" s="37" t="n">
        <v>1.31083093206182</v>
      </c>
      <c r="H211" s="57" t="n">
        <v>-0.126045050242739</v>
      </c>
      <c r="I211" s="50" t="n">
        <v>2</v>
      </c>
      <c r="J211" s="62" t="n">
        <v>46344</v>
      </c>
      <c r="K211" s="34" t="s">
        <v>224</v>
      </c>
      <c r="L211" s="34" t="s">
        <v>86</v>
      </c>
      <c r="M211" s="36" t="n">
        <v>0.816887829063282</v>
      </c>
      <c r="N211" s="37" t="n">
        <v>1.22415828027049</v>
      </c>
      <c r="O211" s="50" t="s">
        <v>285</v>
      </c>
    </row>
    <row r="212" customFormat="false" ht="18.75" hidden="false" customHeight="true" outlineLevel="0" collapsed="false">
      <c r="A212" s="42" t="n">
        <v>35</v>
      </c>
      <c r="B212" s="54" t="s">
        <v>286</v>
      </c>
      <c r="C212" s="59" t="n">
        <v>2</v>
      </c>
      <c r="D212" s="39" t="n">
        <v>2</v>
      </c>
      <c r="E212" s="43" t="n">
        <v>0.499189813171171</v>
      </c>
      <c r="F212" s="44" t="n">
        <v>2.00324600705965</v>
      </c>
      <c r="G212" s="44" t="n">
        <v>1.75074676345125</v>
      </c>
      <c r="H212" s="58" t="n">
        <v>-0.126045050242739</v>
      </c>
      <c r="I212" s="51" t="n">
        <v>1</v>
      </c>
      <c r="J212" s="60" t="n">
        <v>46344</v>
      </c>
      <c r="K212" s="41" t="s">
        <v>231</v>
      </c>
      <c r="L212" s="41" t="s">
        <v>154</v>
      </c>
      <c r="M212" s="43" t="n">
        <v>0.70730723607459</v>
      </c>
      <c r="N212" s="44" t="n">
        <v>1.41381276621712</v>
      </c>
      <c r="O212" s="51" t="s">
        <v>285</v>
      </c>
    </row>
    <row r="213" customFormat="false" ht="18.75" hidden="false" customHeight="true" outlineLevel="0" collapsed="false">
      <c r="A213" s="42" t="n">
        <v>35</v>
      </c>
      <c r="B213" s="54" t="s">
        <v>286</v>
      </c>
      <c r="C213" s="59" t="n">
        <v>2</v>
      </c>
      <c r="D213" s="39" t="n">
        <v>2</v>
      </c>
      <c r="E213" s="43" t="n">
        <v>0.499189813171171</v>
      </c>
      <c r="F213" s="44" t="n">
        <v>2.00324600705965</v>
      </c>
      <c r="G213" s="44" t="n">
        <v>1.75074676345125</v>
      </c>
      <c r="H213" s="58" t="n">
        <v>-0.126045050242739</v>
      </c>
      <c r="I213" s="51" t="n">
        <v>2</v>
      </c>
      <c r="J213" s="60" t="n">
        <v>46344</v>
      </c>
      <c r="K213" s="41" t="s">
        <v>227</v>
      </c>
      <c r="L213" s="41" t="s">
        <v>141</v>
      </c>
      <c r="M213" s="43" t="n">
        <v>0.705760930626939</v>
      </c>
      <c r="N213" s="44" t="n">
        <v>1.41691039643082</v>
      </c>
      <c r="O213" s="51" t="s">
        <v>285</v>
      </c>
    </row>
    <row r="214" customFormat="false" ht="18.75" hidden="false" customHeight="true" outlineLevel="0" collapsed="false">
      <c r="A214" s="35" t="n">
        <v>35</v>
      </c>
      <c r="B214" s="53" t="s">
        <v>287</v>
      </c>
      <c r="C214" s="61" t="n">
        <v>3</v>
      </c>
      <c r="D214" s="32" t="n">
        <v>2</v>
      </c>
      <c r="E214" s="36" t="n">
        <v>0.332543482168766</v>
      </c>
      <c r="F214" s="37" t="n">
        <v>3.00712554484078</v>
      </c>
      <c r="G214" s="37" t="n">
        <v>2.6280922544551</v>
      </c>
      <c r="H214" s="57" t="n">
        <v>-0.126045050242739</v>
      </c>
      <c r="I214" s="50" t="n">
        <v>1</v>
      </c>
      <c r="J214" s="62" t="n">
        <v>46344</v>
      </c>
      <c r="K214" s="34" t="s">
        <v>225</v>
      </c>
      <c r="L214" s="34" t="s">
        <v>188</v>
      </c>
      <c r="M214" s="36" t="n">
        <v>0.577793133824248</v>
      </c>
      <c r="N214" s="37" t="n">
        <v>1.7307232320005</v>
      </c>
      <c r="O214" s="50" t="s">
        <v>288</v>
      </c>
    </row>
    <row r="215" customFormat="false" ht="18.75" hidden="false" customHeight="true" outlineLevel="0" collapsed="false">
      <c r="A215" s="35" t="n">
        <v>35</v>
      </c>
      <c r="B215" s="53" t="s">
        <v>287</v>
      </c>
      <c r="C215" s="61" t="n">
        <v>3</v>
      </c>
      <c r="D215" s="32" t="n">
        <v>2</v>
      </c>
      <c r="E215" s="36" t="n">
        <v>0.332543482168766</v>
      </c>
      <c r="F215" s="37" t="n">
        <v>3.00712554484078</v>
      </c>
      <c r="G215" s="37" t="n">
        <v>2.6280922544551</v>
      </c>
      <c r="H215" s="57" t="n">
        <v>-0.126045050242739</v>
      </c>
      <c r="I215" s="50" t="n">
        <v>2</v>
      </c>
      <c r="J215" s="62" t="n">
        <v>46344</v>
      </c>
      <c r="K215" s="34" t="s">
        <v>231</v>
      </c>
      <c r="L215" s="34" t="s">
        <v>291</v>
      </c>
      <c r="M215" s="36" t="n">
        <v>0.575540730239827</v>
      </c>
      <c r="N215" s="37" t="n">
        <v>1.73749649235651</v>
      </c>
      <c r="O215" s="50" t="s">
        <v>285</v>
      </c>
    </row>
    <row r="216" customFormat="false" ht="18.75" hidden="false" customHeight="true" outlineLevel="0" collapsed="false">
      <c r="A216" s="42" t="n">
        <v>35</v>
      </c>
      <c r="B216" s="54" t="s">
        <v>289</v>
      </c>
      <c r="C216" s="59" t="n">
        <v>5</v>
      </c>
      <c r="D216" s="39" t="n">
        <v>2</v>
      </c>
      <c r="E216" s="43" t="n">
        <v>0.199916338374384</v>
      </c>
      <c r="F216" s="44" t="n">
        <v>5.00209241591499</v>
      </c>
      <c r="G216" s="44" t="n">
        <v>4.37160342603217</v>
      </c>
      <c r="H216" s="58" t="n">
        <v>-0.126045050242739</v>
      </c>
      <c r="I216" s="51" t="n">
        <v>1</v>
      </c>
      <c r="J216" s="60" t="n">
        <v>46344</v>
      </c>
      <c r="K216" s="41" t="s">
        <v>228</v>
      </c>
      <c r="L216" s="41" t="s">
        <v>159</v>
      </c>
      <c r="M216" s="43" t="n">
        <v>0.447148428075645</v>
      </c>
      <c r="N216" s="44" t="n">
        <v>2.23639386210886</v>
      </c>
      <c r="O216" s="51" t="s">
        <v>285</v>
      </c>
    </row>
    <row r="217" customFormat="false" ht="18.75" hidden="false" customHeight="true" outlineLevel="0" collapsed="false">
      <c r="A217" s="42" t="n">
        <v>35</v>
      </c>
      <c r="B217" s="54" t="s">
        <v>289</v>
      </c>
      <c r="C217" s="59" t="n">
        <v>5</v>
      </c>
      <c r="D217" s="39" t="n">
        <v>2</v>
      </c>
      <c r="E217" s="43" t="n">
        <v>0.199916338374384</v>
      </c>
      <c r="F217" s="44" t="n">
        <v>5.00209241591499</v>
      </c>
      <c r="G217" s="44" t="n">
        <v>4.37160342603217</v>
      </c>
      <c r="H217" s="58" t="n">
        <v>-0.126045050242739</v>
      </c>
      <c r="I217" s="51" t="n">
        <v>2</v>
      </c>
      <c r="J217" s="60" t="n">
        <v>46344</v>
      </c>
      <c r="K217" s="41" t="s">
        <v>232</v>
      </c>
      <c r="L217" s="41" t="s">
        <v>150</v>
      </c>
      <c r="M217" s="43" t="n">
        <v>0.44709167207575</v>
      </c>
      <c r="N217" s="44" t="n">
        <v>2.2366777608655</v>
      </c>
      <c r="O217" s="51" t="s">
        <v>285</v>
      </c>
    </row>
    <row r="218" customFormat="false" ht="18.75" hidden="false" customHeight="true" outlineLevel="0" collapsed="false">
      <c r="A218" s="35" t="n">
        <v>35</v>
      </c>
      <c r="B218" s="53" t="s">
        <v>290</v>
      </c>
      <c r="C218" s="61" t="n">
        <v>10</v>
      </c>
      <c r="D218" s="32" t="n">
        <v>3</v>
      </c>
      <c r="E218" s="36" t="n">
        <v>0.10013375238929</v>
      </c>
      <c r="F218" s="37" t="n">
        <v>9.98664262687673</v>
      </c>
      <c r="G218" s="37" t="n">
        <v>8.15930332470297</v>
      </c>
      <c r="H218" s="57" t="n">
        <v>-0.182978341215085</v>
      </c>
      <c r="I218" s="50" t="n">
        <v>1</v>
      </c>
      <c r="J218" s="62" t="n">
        <v>46344</v>
      </c>
      <c r="K218" s="34" t="s">
        <v>228</v>
      </c>
      <c r="L218" s="34" t="s">
        <v>163</v>
      </c>
      <c r="M218" s="36" t="n">
        <v>0.464127210309668</v>
      </c>
      <c r="N218" s="37" t="n">
        <v>2.15458171334707</v>
      </c>
      <c r="O218" s="50" t="s">
        <v>288</v>
      </c>
    </row>
    <row r="219" customFormat="false" ht="18.75" hidden="false" customHeight="true" outlineLevel="0" collapsed="false">
      <c r="A219" s="35" t="n">
        <v>35</v>
      </c>
      <c r="B219" s="53" t="s">
        <v>290</v>
      </c>
      <c r="C219" s="61" t="n">
        <v>10</v>
      </c>
      <c r="D219" s="32" t="n">
        <v>3</v>
      </c>
      <c r="E219" s="36" t="n">
        <v>0.10013375238929</v>
      </c>
      <c r="F219" s="37" t="n">
        <v>9.98664262687673</v>
      </c>
      <c r="G219" s="37" t="n">
        <v>8.15930332470297</v>
      </c>
      <c r="H219" s="57" t="n">
        <v>-0.182978341215085</v>
      </c>
      <c r="I219" s="50" t="n">
        <v>2</v>
      </c>
      <c r="J219" s="62" t="n">
        <v>46344</v>
      </c>
      <c r="K219" s="34" t="s">
        <v>225</v>
      </c>
      <c r="L219" s="34" t="s">
        <v>159</v>
      </c>
      <c r="M219" s="36" t="n">
        <v>0.464349571678411</v>
      </c>
      <c r="N219" s="37" t="n">
        <v>2.1535499567394</v>
      </c>
      <c r="O219" s="50" t="s">
        <v>285</v>
      </c>
    </row>
    <row r="220" customFormat="false" ht="18.75" hidden="false" customHeight="true" outlineLevel="0" collapsed="false">
      <c r="A220" s="35" t="n">
        <v>35</v>
      </c>
      <c r="B220" s="53" t="s">
        <v>290</v>
      </c>
      <c r="C220" s="61" t="n">
        <v>10</v>
      </c>
      <c r="D220" s="32" t="n">
        <v>3</v>
      </c>
      <c r="E220" s="36" t="n">
        <v>0.10013375238929</v>
      </c>
      <c r="F220" s="37" t="n">
        <v>9.98664262687673</v>
      </c>
      <c r="G220" s="37" t="n">
        <v>8.15930332470297</v>
      </c>
      <c r="H220" s="57" t="n">
        <v>-0.182978341215085</v>
      </c>
      <c r="I220" s="50" t="n">
        <v>3</v>
      </c>
      <c r="J220" s="62" t="n">
        <v>46344</v>
      </c>
      <c r="K220" s="34" t="s">
        <v>231</v>
      </c>
      <c r="L220" s="34" t="s">
        <v>292</v>
      </c>
      <c r="M220" s="36" t="n">
        <v>0.464620546557119</v>
      </c>
      <c r="N220" s="37" t="n">
        <v>2.15229396850848</v>
      </c>
      <c r="O220" s="50" t="s">
        <v>285</v>
      </c>
    </row>
    <row r="221" customFormat="false" ht="18.75" hidden="false" customHeight="true" outlineLevel="0" collapsed="false">
      <c r="A221" s="42" t="n">
        <v>35</v>
      </c>
      <c r="B221" s="54" t="s">
        <v>293</v>
      </c>
      <c r="C221" s="59" t="n">
        <v>25</v>
      </c>
      <c r="D221" s="39" t="n">
        <v>4</v>
      </c>
      <c r="E221" s="43" t="n">
        <v>0.0398964750141603</v>
      </c>
      <c r="F221" s="44" t="n">
        <v>25.0648710104107</v>
      </c>
      <c r="G221" s="44" t="n">
        <v>19.1444796547596</v>
      </c>
      <c r="H221" s="58" t="n">
        <v>-0.236202745794783</v>
      </c>
      <c r="I221" s="51" t="n">
        <v>1</v>
      </c>
      <c r="J221" s="60" t="n">
        <v>46344</v>
      </c>
      <c r="K221" s="41" t="s">
        <v>228</v>
      </c>
      <c r="L221" s="41" t="s">
        <v>159</v>
      </c>
      <c r="M221" s="43" t="n">
        <v>0.447148428075645</v>
      </c>
      <c r="N221" s="44" t="n">
        <v>2.23639386210886</v>
      </c>
      <c r="O221" s="51" t="s">
        <v>285</v>
      </c>
    </row>
    <row r="222" customFormat="false" ht="18.75" hidden="false" customHeight="true" outlineLevel="0" collapsed="false">
      <c r="A222" s="42" t="n">
        <v>35</v>
      </c>
      <c r="B222" s="54" t="s">
        <v>293</v>
      </c>
      <c r="C222" s="59" t="n">
        <v>25</v>
      </c>
      <c r="D222" s="39" t="n">
        <v>4</v>
      </c>
      <c r="E222" s="43" t="n">
        <v>0.0398964750141603</v>
      </c>
      <c r="F222" s="44" t="n">
        <v>25.0648710104107</v>
      </c>
      <c r="G222" s="44" t="n">
        <v>19.1444796547596</v>
      </c>
      <c r="H222" s="58" t="n">
        <v>-0.236202745794783</v>
      </c>
      <c r="I222" s="51" t="n">
        <v>2</v>
      </c>
      <c r="J222" s="60" t="n">
        <v>46344</v>
      </c>
      <c r="K222" s="41" t="s">
        <v>232</v>
      </c>
      <c r="L222" s="41" t="s">
        <v>150</v>
      </c>
      <c r="M222" s="43" t="n">
        <v>0.44709167207575</v>
      </c>
      <c r="N222" s="44" t="n">
        <v>2.2366777608655</v>
      </c>
      <c r="O222" s="51" t="s">
        <v>285</v>
      </c>
    </row>
    <row r="223" customFormat="false" ht="18.75" hidden="false" customHeight="true" outlineLevel="0" collapsed="false">
      <c r="A223" s="42" t="n">
        <v>35</v>
      </c>
      <c r="B223" s="54" t="s">
        <v>293</v>
      </c>
      <c r="C223" s="59" t="n">
        <v>25</v>
      </c>
      <c r="D223" s="39" t="n">
        <v>4</v>
      </c>
      <c r="E223" s="43" t="n">
        <v>0.0398964750141603</v>
      </c>
      <c r="F223" s="44" t="n">
        <v>25.0648710104107</v>
      </c>
      <c r="G223" s="44" t="n">
        <v>19.1444796547596</v>
      </c>
      <c r="H223" s="58" t="n">
        <v>-0.236202745794783</v>
      </c>
      <c r="I223" s="51" t="n">
        <v>3</v>
      </c>
      <c r="J223" s="60" t="n">
        <v>46344</v>
      </c>
      <c r="K223" s="41" t="s">
        <v>230</v>
      </c>
      <c r="L223" s="41" t="s">
        <v>292</v>
      </c>
      <c r="M223" s="43" t="n">
        <v>0.449714331638701</v>
      </c>
      <c r="N223" s="44" t="n">
        <v>2.22363382629174</v>
      </c>
      <c r="O223" s="51" t="s">
        <v>285</v>
      </c>
    </row>
    <row r="224" customFormat="false" ht="18.75" hidden="false" customHeight="true" outlineLevel="0" collapsed="false">
      <c r="A224" s="42" t="n">
        <v>35</v>
      </c>
      <c r="B224" s="54" t="s">
        <v>293</v>
      </c>
      <c r="C224" s="59" t="n">
        <v>25</v>
      </c>
      <c r="D224" s="39" t="n">
        <v>4</v>
      </c>
      <c r="E224" s="43" t="n">
        <v>0.0398964750141603</v>
      </c>
      <c r="F224" s="44" t="n">
        <v>25.0648710104107</v>
      </c>
      <c r="G224" s="44" t="n">
        <v>19.1444796547596</v>
      </c>
      <c r="H224" s="58" t="n">
        <v>-0.236202745794783</v>
      </c>
      <c r="I224" s="51" t="n">
        <v>4</v>
      </c>
      <c r="J224" s="60" t="n">
        <v>46344</v>
      </c>
      <c r="K224" s="41" t="s">
        <v>229</v>
      </c>
      <c r="L224" s="41" t="s">
        <v>150</v>
      </c>
      <c r="M224" s="43" t="n">
        <v>0.443761385951123</v>
      </c>
      <c r="N224" s="44" t="n">
        <v>2.25346330631422</v>
      </c>
      <c r="O224" s="51" t="s">
        <v>285</v>
      </c>
    </row>
    <row r="225" customFormat="false" ht="18.75" hidden="false" customHeight="true" outlineLevel="0" collapsed="false">
      <c r="A225" s="35" t="n">
        <v>35</v>
      </c>
      <c r="B225" s="53" t="s">
        <v>294</v>
      </c>
      <c r="C225" s="61" t="n">
        <v>50</v>
      </c>
      <c r="D225" s="32" t="n">
        <v>4</v>
      </c>
      <c r="E225" s="36" t="n">
        <v>0.0200063836116707</v>
      </c>
      <c r="F225" s="37" t="n">
        <v>49.9840460630101</v>
      </c>
      <c r="G225" s="37" t="n">
        <v>38.1776771369942</v>
      </c>
      <c r="H225" s="57" t="n">
        <v>-0.236202745794783</v>
      </c>
      <c r="I225" s="50" t="n">
        <v>1</v>
      </c>
      <c r="J225" s="62" t="n">
        <v>46344</v>
      </c>
      <c r="K225" s="34" t="s">
        <v>227</v>
      </c>
      <c r="L225" s="34" t="s">
        <v>158</v>
      </c>
      <c r="M225" s="36" t="n">
        <v>0.374648821520333</v>
      </c>
      <c r="N225" s="37" t="n">
        <v>2.66916627668007</v>
      </c>
      <c r="O225" s="50" t="s">
        <v>288</v>
      </c>
    </row>
    <row r="226" customFormat="false" ht="18.75" hidden="false" customHeight="true" outlineLevel="0" collapsed="false">
      <c r="A226" s="35" t="n">
        <v>35</v>
      </c>
      <c r="B226" s="53" t="s">
        <v>294</v>
      </c>
      <c r="C226" s="61" t="n">
        <v>50</v>
      </c>
      <c r="D226" s="32" t="n">
        <v>4</v>
      </c>
      <c r="E226" s="36" t="n">
        <v>0.0200063836116707</v>
      </c>
      <c r="F226" s="37" t="n">
        <v>49.9840460630101</v>
      </c>
      <c r="G226" s="37" t="n">
        <v>38.1776771369942</v>
      </c>
      <c r="H226" s="57" t="n">
        <v>-0.236202745794783</v>
      </c>
      <c r="I226" s="50" t="n">
        <v>2</v>
      </c>
      <c r="J226" s="62" t="n">
        <v>46344</v>
      </c>
      <c r="K226" s="34" t="s">
        <v>225</v>
      </c>
      <c r="L226" s="34" t="s">
        <v>146</v>
      </c>
      <c r="M226" s="36" t="n">
        <v>0.3776269704778</v>
      </c>
      <c r="N226" s="37" t="n">
        <v>2.64811594027495</v>
      </c>
      <c r="O226" s="50" t="s">
        <v>285</v>
      </c>
    </row>
    <row r="227" customFormat="false" ht="18.75" hidden="false" customHeight="true" outlineLevel="0" collapsed="false">
      <c r="A227" s="35" t="n">
        <v>35</v>
      </c>
      <c r="B227" s="53" t="s">
        <v>294</v>
      </c>
      <c r="C227" s="61" t="n">
        <v>50</v>
      </c>
      <c r="D227" s="32" t="n">
        <v>4</v>
      </c>
      <c r="E227" s="36" t="n">
        <v>0.0200063836116707</v>
      </c>
      <c r="F227" s="37" t="n">
        <v>49.9840460630101</v>
      </c>
      <c r="G227" s="37" t="n">
        <v>38.1776771369942</v>
      </c>
      <c r="H227" s="57" t="n">
        <v>-0.236202745794783</v>
      </c>
      <c r="I227" s="50" t="n">
        <v>3</v>
      </c>
      <c r="J227" s="62" t="n">
        <v>46344</v>
      </c>
      <c r="K227" s="34" t="s">
        <v>231</v>
      </c>
      <c r="L227" s="34" t="s">
        <v>142</v>
      </c>
      <c r="M227" s="36" t="n">
        <v>0.377666851516731</v>
      </c>
      <c r="N227" s="37" t="n">
        <v>2.64783630330262</v>
      </c>
      <c r="O227" s="50" t="s">
        <v>285</v>
      </c>
    </row>
    <row r="228" customFormat="false" ht="18.75" hidden="false" customHeight="true" outlineLevel="0" collapsed="false">
      <c r="A228" s="35" t="n">
        <v>35</v>
      </c>
      <c r="B228" s="53" t="s">
        <v>294</v>
      </c>
      <c r="C228" s="61" t="n">
        <v>50</v>
      </c>
      <c r="D228" s="32" t="n">
        <v>4</v>
      </c>
      <c r="E228" s="36" t="n">
        <v>0.0200063836116707</v>
      </c>
      <c r="F228" s="37" t="n">
        <v>49.9840460630101</v>
      </c>
      <c r="G228" s="37" t="n">
        <v>38.1776771369942</v>
      </c>
      <c r="H228" s="57" t="n">
        <v>-0.236202745794783</v>
      </c>
      <c r="I228" s="50" t="n">
        <v>4</v>
      </c>
      <c r="J228" s="62" t="n">
        <v>46344</v>
      </c>
      <c r="K228" s="34" t="s">
        <v>226</v>
      </c>
      <c r="L228" s="34" t="s">
        <v>168</v>
      </c>
      <c r="M228" s="36" t="n">
        <v>0.374431475150112</v>
      </c>
      <c r="N228" s="37" t="n">
        <v>2.67071564856852</v>
      </c>
      <c r="O228" s="50" t="s">
        <v>285</v>
      </c>
    </row>
    <row r="229" customFormat="false" ht="18.75" hidden="false" customHeight="true" outlineLevel="0" collapsed="false">
      <c r="A229" s="42" t="n">
        <v>35</v>
      </c>
      <c r="B229" s="54" t="s">
        <v>295</v>
      </c>
      <c r="C229" s="59" t="n">
        <v>100</v>
      </c>
      <c r="D229" s="39" t="n">
        <v>5</v>
      </c>
      <c r="E229" s="43" t="n">
        <v>0.00954298116875414</v>
      </c>
      <c r="F229" s="44" t="n">
        <v>104.78905724704</v>
      </c>
      <c r="G229" s="44" t="n">
        <v>74.8235912999485</v>
      </c>
      <c r="H229" s="58" t="n">
        <v>-0.285959877246035</v>
      </c>
      <c r="I229" s="51" t="n">
        <v>1</v>
      </c>
      <c r="J229" s="60" t="n">
        <v>46344</v>
      </c>
      <c r="K229" s="41" t="s">
        <v>225</v>
      </c>
      <c r="L229" s="41" t="s">
        <v>143</v>
      </c>
      <c r="M229" s="43" t="n">
        <v>0.396012732313812</v>
      </c>
      <c r="N229" s="44" t="n">
        <v>2.525171335167</v>
      </c>
      <c r="O229" s="51" t="s">
        <v>285</v>
      </c>
    </row>
    <row r="230" customFormat="false" ht="18.75" hidden="false" customHeight="true" outlineLevel="0" collapsed="false">
      <c r="A230" s="42" t="n">
        <v>35</v>
      </c>
      <c r="B230" s="54" t="s">
        <v>295</v>
      </c>
      <c r="C230" s="59" t="n">
        <v>100</v>
      </c>
      <c r="D230" s="39" t="n">
        <v>5</v>
      </c>
      <c r="E230" s="43" t="n">
        <v>0.00954298116875414</v>
      </c>
      <c r="F230" s="44" t="n">
        <v>104.78905724704</v>
      </c>
      <c r="G230" s="44" t="n">
        <v>74.8235912999485</v>
      </c>
      <c r="H230" s="58" t="n">
        <v>-0.285959877246035</v>
      </c>
      <c r="I230" s="51" t="n">
        <v>2</v>
      </c>
      <c r="J230" s="60" t="n">
        <v>46344</v>
      </c>
      <c r="K230" s="41" t="s">
        <v>224</v>
      </c>
      <c r="L230" s="41" t="s">
        <v>142</v>
      </c>
      <c r="M230" s="43" t="n">
        <v>0.40253904200724</v>
      </c>
      <c r="N230" s="44" t="n">
        <v>2.48423108231577</v>
      </c>
      <c r="O230" s="51" t="s">
        <v>285</v>
      </c>
    </row>
    <row r="231" customFormat="false" ht="18.75" hidden="false" customHeight="true" outlineLevel="0" collapsed="false">
      <c r="A231" s="42" t="n">
        <v>35</v>
      </c>
      <c r="B231" s="54" t="s">
        <v>295</v>
      </c>
      <c r="C231" s="59" t="n">
        <v>100</v>
      </c>
      <c r="D231" s="39" t="n">
        <v>5</v>
      </c>
      <c r="E231" s="43" t="n">
        <v>0.00954298116875414</v>
      </c>
      <c r="F231" s="44" t="n">
        <v>104.78905724704</v>
      </c>
      <c r="G231" s="44" t="n">
        <v>74.8235912999485</v>
      </c>
      <c r="H231" s="58" t="n">
        <v>-0.285959877246035</v>
      </c>
      <c r="I231" s="51" t="n">
        <v>3</v>
      </c>
      <c r="J231" s="60" t="n">
        <v>46344</v>
      </c>
      <c r="K231" s="41" t="s">
        <v>231</v>
      </c>
      <c r="L231" s="41" t="s">
        <v>170</v>
      </c>
      <c r="M231" s="43" t="n">
        <v>0.392601278430564</v>
      </c>
      <c r="N231" s="44" t="n">
        <v>2.5471134582076</v>
      </c>
      <c r="O231" s="51" t="s">
        <v>288</v>
      </c>
    </row>
    <row r="232" customFormat="false" ht="18.75" hidden="false" customHeight="true" outlineLevel="0" collapsed="false">
      <c r="A232" s="42" t="n">
        <v>35</v>
      </c>
      <c r="B232" s="54" t="s">
        <v>295</v>
      </c>
      <c r="C232" s="59" t="n">
        <v>100</v>
      </c>
      <c r="D232" s="39" t="n">
        <v>5</v>
      </c>
      <c r="E232" s="43" t="n">
        <v>0.00954298116875414</v>
      </c>
      <c r="F232" s="44" t="n">
        <v>104.78905724704</v>
      </c>
      <c r="G232" s="44" t="n">
        <v>74.8235912999485</v>
      </c>
      <c r="H232" s="58" t="n">
        <v>-0.285959877246035</v>
      </c>
      <c r="I232" s="51" t="n">
        <v>4</v>
      </c>
      <c r="J232" s="60" t="n">
        <v>46344</v>
      </c>
      <c r="K232" s="41" t="s">
        <v>233</v>
      </c>
      <c r="L232" s="41" t="s">
        <v>159</v>
      </c>
      <c r="M232" s="43" t="n">
        <v>0.391208789746991</v>
      </c>
      <c r="N232" s="44" t="n">
        <v>2.55617978483238</v>
      </c>
      <c r="O232" s="51" t="s">
        <v>285</v>
      </c>
    </row>
    <row r="233" customFormat="false" ht="18.75" hidden="false" customHeight="true" outlineLevel="0" collapsed="false">
      <c r="A233" s="42" t="n">
        <v>35</v>
      </c>
      <c r="B233" s="54" t="s">
        <v>295</v>
      </c>
      <c r="C233" s="59" t="n">
        <v>100</v>
      </c>
      <c r="D233" s="39" t="n">
        <v>5</v>
      </c>
      <c r="E233" s="43" t="n">
        <v>0.00954298116875414</v>
      </c>
      <c r="F233" s="44" t="n">
        <v>104.78905724704</v>
      </c>
      <c r="G233" s="44" t="n">
        <v>74.8235912999485</v>
      </c>
      <c r="H233" s="58" t="n">
        <v>-0.285959877246035</v>
      </c>
      <c r="I233" s="51" t="n">
        <v>5</v>
      </c>
      <c r="J233" s="60" t="n">
        <v>46344</v>
      </c>
      <c r="K233" s="41" t="s">
        <v>230</v>
      </c>
      <c r="L233" s="41" t="s">
        <v>146</v>
      </c>
      <c r="M233" s="43" t="n">
        <v>0.389768372235325</v>
      </c>
      <c r="N233" s="44" t="n">
        <v>2.56562633408399</v>
      </c>
      <c r="O233" s="51" t="s">
        <v>285</v>
      </c>
    </row>
    <row r="234" customFormat="false" ht="18.75" hidden="false" customHeight="true" outlineLevel="0" collapsed="false">
      <c r="A234" s="35" t="n">
        <v>35</v>
      </c>
      <c r="B234" s="53" t="s">
        <v>296</v>
      </c>
      <c r="C234" s="61" t="n">
        <v>250</v>
      </c>
      <c r="D234" s="32" t="n">
        <v>6</v>
      </c>
      <c r="E234" s="36" t="n">
        <v>0.003905581445784</v>
      </c>
      <c r="F234" s="37" t="n">
        <v>256.043821869208</v>
      </c>
      <c r="G234" s="37" t="n">
        <v>170.915496243007</v>
      </c>
      <c r="H234" s="57" t="n">
        <v>-0.332475609076346</v>
      </c>
      <c r="I234" s="50" t="n">
        <v>1</v>
      </c>
      <c r="J234" s="62" t="n">
        <v>46344</v>
      </c>
      <c r="K234" s="34" t="s">
        <v>225</v>
      </c>
      <c r="L234" s="34" t="s">
        <v>143</v>
      </c>
      <c r="M234" s="36" t="n">
        <v>0.396012732313812</v>
      </c>
      <c r="N234" s="37" t="n">
        <v>2.525171335167</v>
      </c>
      <c r="O234" s="50" t="s">
        <v>285</v>
      </c>
    </row>
    <row r="235" customFormat="false" ht="18.75" hidden="false" customHeight="true" outlineLevel="0" collapsed="false">
      <c r="A235" s="35" t="n">
        <v>35</v>
      </c>
      <c r="B235" s="53" t="s">
        <v>296</v>
      </c>
      <c r="C235" s="61" t="n">
        <v>250</v>
      </c>
      <c r="D235" s="32" t="n">
        <v>6</v>
      </c>
      <c r="E235" s="36" t="n">
        <v>0.003905581445784</v>
      </c>
      <c r="F235" s="37" t="n">
        <v>256.043821869208</v>
      </c>
      <c r="G235" s="37" t="n">
        <v>170.915496243007</v>
      </c>
      <c r="H235" s="57" t="n">
        <v>-0.332475609076346</v>
      </c>
      <c r="I235" s="50" t="n">
        <v>2</v>
      </c>
      <c r="J235" s="62" t="n">
        <v>46344</v>
      </c>
      <c r="K235" s="34" t="s">
        <v>224</v>
      </c>
      <c r="L235" s="34" t="s">
        <v>142</v>
      </c>
      <c r="M235" s="36" t="n">
        <v>0.40253904200724</v>
      </c>
      <c r="N235" s="37" t="n">
        <v>2.48423108231577</v>
      </c>
      <c r="O235" s="50" t="s">
        <v>285</v>
      </c>
    </row>
    <row r="236" customFormat="false" ht="18.75" hidden="false" customHeight="true" outlineLevel="0" collapsed="false">
      <c r="A236" s="35" t="n">
        <v>35</v>
      </c>
      <c r="B236" s="53" t="s">
        <v>296</v>
      </c>
      <c r="C236" s="61" t="n">
        <v>250</v>
      </c>
      <c r="D236" s="32" t="n">
        <v>6</v>
      </c>
      <c r="E236" s="36" t="n">
        <v>0.003905581445784</v>
      </c>
      <c r="F236" s="37" t="n">
        <v>256.043821869208</v>
      </c>
      <c r="G236" s="37" t="n">
        <v>170.915496243007</v>
      </c>
      <c r="H236" s="57" t="n">
        <v>-0.332475609076346</v>
      </c>
      <c r="I236" s="50" t="n">
        <v>3</v>
      </c>
      <c r="J236" s="62" t="n">
        <v>46344</v>
      </c>
      <c r="K236" s="34" t="s">
        <v>231</v>
      </c>
      <c r="L236" s="34" t="s">
        <v>170</v>
      </c>
      <c r="M236" s="36" t="n">
        <v>0.392601278430564</v>
      </c>
      <c r="N236" s="37" t="n">
        <v>2.5471134582076</v>
      </c>
      <c r="O236" s="50" t="s">
        <v>288</v>
      </c>
    </row>
    <row r="237" customFormat="false" ht="18.75" hidden="false" customHeight="true" outlineLevel="0" collapsed="false">
      <c r="A237" s="35" t="n">
        <v>35</v>
      </c>
      <c r="B237" s="53" t="s">
        <v>296</v>
      </c>
      <c r="C237" s="61" t="n">
        <v>250</v>
      </c>
      <c r="D237" s="32" t="n">
        <v>6</v>
      </c>
      <c r="E237" s="36" t="n">
        <v>0.003905581445784</v>
      </c>
      <c r="F237" s="37" t="n">
        <v>256.043821869208</v>
      </c>
      <c r="G237" s="37" t="n">
        <v>170.915496243007</v>
      </c>
      <c r="H237" s="57" t="n">
        <v>-0.332475609076346</v>
      </c>
      <c r="I237" s="50" t="n">
        <v>4</v>
      </c>
      <c r="J237" s="62" t="n">
        <v>46344</v>
      </c>
      <c r="K237" s="34" t="s">
        <v>233</v>
      </c>
      <c r="L237" s="34" t="s">
        <v>159</v>
      </c>
      <c r="M237" s="36" t="n">
        <v>0.391208789746991</v>
      </c>
      <c r="N237" s="37" t="n">
        <v>2.55617978483238</v>
      </c>
      <c r="O237" s="50" t="s">
        <v>285</v>
      </c>
    </row>
    <row r="238" customFormat="false" ht="18.75" hidden="false" customHeight="true" outlineLevel="0" collapsed="false">
      <c r="A238" s="35" t="n">
        <v>35</v>
      </c>
      <c r="B238" s="53" t="s">
        <v>296</v>
      </c>
      <c r="C238" s="61" t="n">
        <v>250</v>
      </c>
      <c r="D238" s="32" t="n">
        <v>6</v>
      </c>
      <c r="E238" s="36" t="n">
        <v>0.003905581445784</v>
      </c>
      <c r="F238" s="37" t="n">
        <v>256.043821869208</v>
      </c>
      <c r="G238" s="37" t="n">
        <v>170.915496243007</v>
      </c>
      <c r="H238" s="57" t="n">
        <v>-0.332475609076346</v>
      </c>
      <c r="I238" s="50" t="n">
        <v>5</v>
      </c>
      <c r="J238" s="62" t="n">
        <v>46344</v>
      </c>
      <c r="K238" s="34" t="s">
        <v>230</v>
      </c>
      <c r="L238" s="34" t="s">
        <v>146</v>
      </c>
      <c r="M238" s="36" t="n">
        <v>0.389768372235325</v>
      </c>
      <c r="N238" s="37" t="n">
        <v>2.56562633408399</v>
      </c>
      <c r="O238" s="50" t="s">
        <v>285</v>
      </c>
    </row>
    <row r="239" customFormat="false" ht="18.75" hidden="false" customHeight="true" outlineLevel="0" collapsed="false">
      <c r="A239" s="35" t="n">
        <v>35</v>
      </c>
      <c r="B239" s="53" t="s">
        <v>296</v>
      </c>
      <c r="C239" s="61" t="n">
        <v>250</v>
      </c>
      <c r="D239" s="32" t="n">
        <v>6</v>
      </c>
      <c r="E239" s="36" t="n">
        <v>0.003905581445784</v>
      </c>
      <c r="F239" s="37" t="n">
        <v>256.043821869208</v>
      </c>
      <c r="G239" s="37" t="n">
        <v>170.915496243007</v>
      </c>
      <c r="H239" s="57" t="n">
        <v>-0.332475609076346</v>
      </c>
      <c r="I239" s="50" t="n">
        <v>6</v>
      </c>
      <c r="J239" s="62" t="n">
        <v>46344</v>
      </c>
      <c r="K239" s="34" t="s">
        <v>232</v>
      </c>
      <c r="L239" s="34" t="s">
        <v>143</v>
      </c>
      <c r="M239" s="36" t="n">
        <v>0.409262197705236</v>
      </c>
      <c r="N239" s="37" t="n">
        <v>2.44342137047369</v>
      </c>
      <c r="O239" s="50" t="s">
        <v>285</v>
      </c>
    </row>
    <row r="240" customFormat="false" ht="18.75" hidden="false" customHeight="true" outlineLevel="0" collapsed="false">
      <c r="A240" s="42" t="n">
        <v>36</v>
      </c>
      <c r="B240" s="54" t="s">
        <v>284</v>
      </c>
      <c r="C240" s="59" t="n">
        <v>1.5</v>
      </c>
      <c r="D240" s="39" t="n">
        <v>2</v>
      </c>
      <c r="E240" s="43" t="n">
        <v>0.667633963940805</v>
      </c>
      <c r="F240" s="44" t="n">
        <v>1.49782673442399</v>
      </c>
      <c r="G240" s="44" t="n">
        <v>1.3090330884286</v>
      </c>
      <c r="H240" s="58" t="n">
        <v>-0.126045050242739</v>
      </c>
      <c r="I240" s="51" t="n">
        <v>1</v>
      </c>
      <c r="J240" s="60" t="n">
        <v>46348</v>
      </c>
      <c r="K240" s="41" t="s">
        <v>236</v>
      </c>
      <c r="L240" s="41" t="s">
        <v>94</v>
      </c>
      <c r="M240" s="43" t="n">
        <v>0.81665203317335</v>
      </c>
      <c r="N240" s="44" t="n">
        <v>1.22451173740938</v>
      </c>
      <c r="O240" s="51" t="s">
        <v>285</v>
      </c>
    </row>
    <row r="241" customFormat="false" ht="18.75" hidden="false" customHeight="true" outlineLevel="0" collapsed="false">
      <c r="A241" s="42" t="n">
        <v>36</v>
      </c>
      <c r="B241" s="54" t="s">
        <v>284</v>
      </c>
      <c r="C241" s="59" t="n">
        <v>1.5</v>
      </c>
      <c r="D241" s="39" t="n">
        <v>2</v>
      </c>
      <c r="E241" s="43" t="n">
        <v>0.667633963940805</v>
      </c>
      <c r="F241" s="44" t="n">
        <v>1.49782673442399</v>
      </c>
      <c r="G241" s="44" t="n">
        <v>1.3090330884286</v>
      </c>
      <c r="H241" s="58" t="n">
        <v>-0.126045050242739</v>
      </c>
      <c r="I241" s="51" t="n">
        <v>2</v>
      </c>
      <c r="J241" s="60" t="n">
        <v>46348</v>
      </c>
      <c r="K241" s="41" t="s">
        <v>235</v>
      </c>
      <c r="L241" s="41" t="s">
        <v>86</v>
      </c>
      <c r="M241" s="43" t="n">
        <v>0.817525625138665</v>
      </c>
      <c r="N241" s="44" t="n">
        <v>1.22320324800875</v>
      </c>
      <c r="O241" s="51" t="s">
        <v>285</v>
      </c>
    </row>
    <row r="242" customFormat="false" ht="18.75" hidden="false" customHeight="true" outlineLevel="0" collapsed="false">
      <c r="A242" s="35" t="n">
        <v>36</v>
      </c>
      <c r="B242" s="53" t="s">
        <v>286</v>
      </c>
      <c r="C242" s="61" t="n">
        <v>2</v>
      </c>
      <c r="D242" s="32" t="n">
        <v>2</v>
      </c>
      <c r="E242" s="36" t="n">
        <v>0.496848283762387</v>
      </c>
      <c r="F242" s="37" t="n">
        <v>2.01268683556174</v>
      </c>
      <c r="G242" s="37" t="n">
        <v>1.75899762225046</v>
      </c>
      <c r="H242" s="57" t="n">
        <v>-0.126045050242739</v>
      </c>
      <c r="I242" s="50" t="n">
        <v>1</v>
      </c>
      <c r="J242" s="62" t="n">
        <v>46348</v>
      </c>
      <c r="K242" s="34" t="s">
        <v>239</v>
      </c>
      <c r="L242" s="34" t="s">
        <v>107</v>
      </c>
      <c r="M242" s="36" t="n">
        <v>0.705558834157316</v>
      </c>
      <c r="N242" s="37" t="n">
        <v>1.41731624860789</v>
      </c>
      <c r="O242" s="50" t="s">
        <v>285</v>
      </c>
    </row>
    <row r="243" customFormat="false" ht="18.75" hidden="false" customHeight="true" outlineLevel="0" collapsed="false">
      <c r="A243" s="35" t="n">
        <v>36</v>
      </c>
      <c r="B243" s="53" t="s">
        <v>286</v>
      </c>
      <c r="C243" s="61" t="n">
        <v>2</v>
      </c>
      <c r="D243" s="32" t="n">
        <v>2</v>
      </c>
      <c r="E243" s="36" t="n">
        <v>0.496848283762387</v>
      </c>
      <c r="F243" s="37" t="n">
        <v>2.01268683556174</v>
      </c>
      <c r="G243" s="37" t="n">
        <v>1.75899762225046</v>
      </c>
      <c r="H243" s="57" t="n">
        <v>-0.126045050242739</v>
      </c>
      <c r="I243" s="50" t="n">
        <v>2</v>
      </c>
      <c r="J243" s="62" t="n">
        <v>46348</v>
      </c>
      <c r="K243" s="34" t="s">
        <v>234</v>
      </c>
      <c r="L243" s="34" t="s">
        <v>145</v>
      </c>
      <c r="M243" s="36" t="n">
        <v>0.704191145669373</v>
      </c>
      <c r="N243" s="37" t="n">
        <v>1.42006897722272</v>
      </c>
      <c r="O243" s="50" t="s">
        <v>285</v>
      </c>
    </row>
    <row r="244" customFormat="false" ht="18.75" hidden="false" customHeight="true" outlineLevel="0" collapsed="false">
      <c r="A244" s="42" t="n">
        <v>36</v>
      </c>
      <c r="B244" s="54" t="s">
        <v>287</v>
      </c>
      <c r="C244" s="59" t="n">
        <v>3</v>
      </c>
      <c r="D244" s="39" t="n">
        <v>2</v>
      </c>
      <c r="E244" s="43" t="n">
        <v>0.333635991384663</v>
      </c>
      <c r="F244" s="44" t="n">
        <v>2.99727854854562</v>
      </c>
      <c r="G244" s="44" t="n">
        <v>2.6194864233027</v>
      </c>
      <c r="H244" s="58" t="n">
        <v>-0.126045050242739</v>
      </c>
      <c r="I244" s="51" t="n">
        <v>1</v>
      </c>
      <c r="J244" s="60" t="n">
        <v>46348</v>
      </c>
      <c r="K244" s="41" t="s">
        <v>236</v>
      </c>
      <c r="L244" s="41" t="s">
        <v>168</v>
      </c>
      <c r="M244" s="43" t="n">
        <v>0.577160704707041</v>
      </c>
      <c r="N244" s="44" t="n">
        <v>1.7326196878001</v>
      </c>
      <c r="O244" s="51" t="s">
        <v>285</v>
      </c>
    </row>
    <row r="245" customFormat="false" ht="18.75" hidden="false" customHeight="true" outlineLevel="0" collapsed="false">
      <c r="A245" s="42" t="n">
        <v>36</v>
      </c>
      <c r="B245" s="54" t="s">
        <v>287</v>
      </c>
      <c r="C245" s="59" t="n">
        <v>3</v>
      </c>
      <c r="D245" s="39" t="n">
        <v>2</v>
      </c>
      <c r="E245" s="43" t="n">
        <v>0.333635991384663</v>
      </c>
      <c r="F245" s="44" t="n">
        <v>2.99727854854562</v>
      </c>
      <c r="G245" s="44" t="n">
        <v>2.6194864233027</v>
      </c>
      <c r="H245" s="58" t="n">
        <v>-0.126045050242739</v>
      </c>
      <c r="I245" s="51" t="n">
        <v>2</v>
      </c>
      <c r="J245" s="60" t="n">
        <v>46348</v>
      </c>
      <c r="K245" s="41" t="s">
        <v>237</v>
      </c>
      <c r="L245" s="41" t="s">
        <v>149</v>
      </c>
      <c r="M245" s="43" t="n">
        <v>0.578064287231772</v>
      </c>
      <c r="N245" s="44" t="n">
        <v>1.72991139928189</v>
      </c>
      <c r="O245" s="51" t="s">
        <v>288</v>
      </c>
    </row>
    <row r="246" customFormat="false" ht="18.75" hidden="false" customHeight="true" outlineLevel="0" collapsed="false">
      <c r="A246" s="35" t="n">
        <v>36</v>
      </c>
      <c r="B246" s="53" t="s">
        <v>289</v>
      </c>
      <c r="C246" s="61" t="n">
        <v>5</v>
      </c>
      <c r="D246" s="32" t="n">
        <v>2</v>
      </c>
      <c r="E246" s="36" t="n">
        <v>0.200155132510396</v>
      </c>
      <c r="F246" s="37" t="n">
        <v>4.99612469317049</v>
      </c>
      <c r="G246" s="37" t="n">
        <v>4.36638790520083</v>
      </c>
      <c r="H246" s="57" t="n">
        <v>-0.126045050242739</v>
      </c>
      <c r="I246" s="50" t="n">
        <v>1</v>
      </c>
      <c r="J246" s="62" t="n">
        <v>46348</v>
      </c>
      <c r="K246" s="34" t="s">
        <v>236</v>
      </c>
      <c r="L246" s="34" t="s">
        <v>292</v>
      </c>
      <c r="M246" s="36" t="n">
        <v>0.446800885409946</v>
      </c>
      <c r="N246" s="37" t="n">
        <v>2.23813343405192</v>
      </c>
      <c r="O246" s="50" t="s">
        <v>285</v>
      </c>
    </row>
    <row r="247" customFormat="false" ht="18.75" hidden="false" customHeight="true" outlineLevel="0" collapsed="false">
      <c r="A247" s="35" t="n">
        <v>36</v>
      </c>
      <c r="B247" s="53" t="s">
        <v>289</v>
      </c>
      <c r="C247" s="61" t="n">
        <v>5</v>
      </c>
      <c r="D247" s="32" t="n">
        <v>2</v>
      </c>
      <c r="E247" s="36" t="n">
        <v>0.200155132510396</v>
      </c>
      <c r="F247" s="37" t="n">
        <v>4.99612469317049</v>
      </c>
      <c r="G247" s="37" t="n">
        <v>4.36638790520083</v>
      </c>
      <c r="H247" s="57" t="n">
        <v>-0.126045050242739</v>
      </c>
      <c r="I247" s="50" t="n">
        <v>2</v>
      </c>
      <c r="J247" s="62" t="n">
        <v>46348</v>
      </c>
      <c r="K247" s="34" t="s">
        <v>241</v>
      </c>
      <c r="L247" s="34" t="s">
        <v>175</v>
      </c>
      <c r="M247" s="36" t="n">
        <v>0.447973894068609</v>
      </c>
      <c r="N247" s="37" t="n">
        <v>2.23227293652707</v>
      </c>
      <c r="O247" s="50" t="s">
        <v>288</v>
      </c>
    </row>
    <row r="248" customFormat="false" ht="18.75" hidden="false" customHeight="true" outlineLevel="0" collapsed="false">
      <c r="A248" s="42" t="n">
        <v>36</v>
      </c>
      <c r="B248" s="54" t="s">
        <v>290</v>
      </c>
      <c r="C248" s="59" t="n">
        <v>10</v>
      </c>
      <c r="D248" s="39" t="n">
        <v>3</v>
      </c>
      <c r="E248" s="43" t="n">
        <v>0.100361683609774</v>
      </c>
      <c r="F248" s="44" t="n">
        <v>9.96396198262472</v>
      </c>
      <c r="G248" s="44" t="n">
        <v>8.14077274711388</v>
      </c>
      <c r="H248" s="58" t="n">
        <v>-0.182978341215085</v>
      </c>
      <c r="I248" s="51" t="n">
        <v>1</v>
      </c>
      <c r="J248" s="60" t="n">
        <v>46348</v>
      </c>
      <c r="K248" s="41" t="s">
        <v>237</v>
      </c>
      <c r="L248" s="41" t="s">
        <v>158</v>
      </c>
      <c r="M248" s="43" t="n">
        <v>0.463651575250096</v>
      </c>
      <c r="N248" s="44" t="n">
        <v>2.15679198212709</v>
      </c>
      <c r="O248" s="51" t="s">
        <v>288</v>
      </c>
    </row>
    <row r="249" customFormat="false" ht="18.75" hidden="false" customHeight="true" outlineLevel="0" collapsed="false">
      <c r="A249" s="42" t="n">
        <v>36</v>
      </c>
      <c r="B249" s="54" t="s">
        <v>290</v>
      </c>
      <c r="C249" s="59" t="n">
        <v>10</v>
      </c>
      <c r="D249" s="39" t="n">
        <v>3</v>
      </c>
      <c r="E249" s="43" t="n">
        <v>0.100361683609774</v>
      </c>
      <c r="F249" s="44" t="n">
        <v>9.96396198262472</v>
      </c>
      <c r="G249" s="44" t="n">
        <v>8.14077274711388</v>
      </c>
      <c r="H249" s="58" t="n">
        <v>-0.182978341215085</v>
      </c>
      <c r="I249" s="51" t="n">
        <v>2</v>
      </c>
      <c r="J249" s="60" t="n">
        <v>46348</v>
      </c>
      <c r="K249" s="41" t="s">
        <v>234</v>
      </c>
      <c r="L249" s="41" t="s">
        <v>155</v>
      </c>
      <c r="M249" s="43" t="n">
        <v>0.464855535504723</v>
      </c>
      <c r="N249" s="44" t="n">
        <v>2.15120596319077</v>
      </c>
      <c r="O249" s="51" t="s">
        <v>285</v>
      </c>
    </row>
    <row r="250" customFormat="false" ht="18.75" hidden="false" customHeight="true" outlineLevel="0" collapsed="false">
      <c r="A250" s="42" t="n">
        <v>36</v>
      </c>
      <c r="B250" s="54" t="s">
        <v>290</v>
      </c>
      <c r="C250" s="59" t="n">
        <v>10</v>
      </c>
      <c r="D250" s="39" t="n">
        <v>3</v>
      </c>
      <c r="E250" s="43" t="n">
        <v>0.100361683609774</v>
      </c>
      <c r="F250" s="44" t="n">
        <v>9.96396198262472</v>
      </c>
      <c r="G250" s="44" t="n">
        <v>8.14077274711388</v>
      </c>
      <c r="H250" s="58" t="n">
        <v>-0.182978341215085</v>
      </c>
      <c r="I250" s="51" t="n">
        <v>3</v>
      </c>
      <c r="J250" s="60" t="n">
        <v>46348</v>
      </c>
      <c r="K250" s="41" t="s">
        <v>243</v>
      </c>
      <c r="L250" s="41" t="s">
        <v>292</v>
      </c>
      <c r="M250" s="43" t="n">
        <v>0.465648482140398</v>
      </c>
      <c r="N250" s="44" t="n">
        <v>2.14754270303514</v>
      </c>
      <c r="O250" s="51" t="s">
        <v>285</v>
      </c>
    </row>
    <row r="251" customFormat="false" ht="18.75" hidden="false" customHeight="true" outlineLevel="0" collapsed="false">
      <c r="A251" s="35" t="n">
        <v>36</v>
      </c>
      <c r="B251" s="53" t="s">
        <v>293</v>
      </c>
      <c r="C251" s="61" t="n">
        <v>25</v>
      </c>
      <c r="D251" s="32" t="n">
        <v>4</v>
      </c>
      <c r="E251" s="36" t="n">
        <v>0.0400077484094949</v>
      </c>
      <c r="F251" s="37" t="n">
        <v>24.9951581819754</v>
      </c>
      <c r="G251" s="37" t="n">
        <v>19.0912331878179</v>
      </c>
      <c r="H251" s="57" t="n">
        <v>-0.236202745794783</v>
      </c>
      <c r="I251" s="50" t="n">
        <v>1</v>
      </c>
      <c r="J251" s="62" t="n">
        <v>46348</v>
      </c>
      <c r="K251" s="34" t="s">
        <v>236</v>
      </c>
      <c r="L251" s="34" t="s">
        <v>292</v>
      </c>
      <c r="M251" s="36" t="n">
        <v>0.446800885409946</v>
      </c>
      <c r="N251" s="37" t="n">
        <v>2.23813343405192</v>
      </c>
      <c r="O251" s="50" t="s">
        <v>285</v>
      </c>
    </row>
    <row r="252" customFormat="false" ht="18.75" hidden="false" customHeight="true" outlineLevel="0" collapsed="false">
      <c r="A252" s="35" t="n">
        <v>36</v>
      </c>
      <c r="B252" s="53" t="s">
        <v>293</v>
      </c>
      <c r="C252" s="61" t="n">
        <v>25</v>
      </c>
      <c r="D252" s="32" t="n">
        <v>4</v>
      </c>
      <c r="E252" s="36" t="n">
        <v>0.0400077484094949</v>
      </c>
      <c r="F252" s="37" t="n">
        <v>24.9951581819754</v>
      </c>
      <c r="G252" s="37" t="n">
        <v>19.0912331878179</v>
      </c>
      <c r="H252" s="57" t="n">
        <v>-0.236202745794783</v>
      </c>
      <c r="I252" s="50" t="n">
        <v>2</v>
      </c>
      <c r="J252" s="62" t="n">
        <v>46348</v>
      </c>
      <c r="K252" s="34" t="s">
        <v>241</v>
      </c>
      <c r="L252" s="34" t="s">
        <v>175</v>
      </c>
      <c r="M252" s="36" t="n">
        <v>0.447973894068609</v>
      </c>
      <c r="N252" s="37" t="n">
        <v>2.23227293652707</v>
      </c>
      <c r="O252" s="50" t="s">
        <v>288</v>
      </c>
    </row>
    <row r="253" customFormat="false" ht="18.75" hidden="false" customHeight="true" outlineLevel="0" collapsed="false">
      <c r="A253" s="35" t="n">
        <v>36</v>
      </c>
      <c r="B253" s="53" t="s">
        <v>293</v>
      </c>
      <c r="C253" s="61" t="n">
        <v>25</v>
      </c>
      <c r="D253" s="32" t="n">
        <v>4</v>
      </c>
      <c r="E253" s="36" t="n">
        <v>0.0400077484094949</v>
      </c>
      <c r="F253" s="37" t="n">
        <v>24.9951581819754</v>
      </c>
      <c r="G253" s="37" t="n">
        <v>19.0912331878179</v>
      </c>
      <c r="H253" s="57" t="n">
        <v>-0.236202745794783</v>
      </c>
      <c r="I253" s="50" t="n">
        <v>3</v>
      </c>
      <c r="J253" s="62" t="n">
        <v>46348</v>
      </c>
      <c r="K253" s="34" t="s">
        <v>239</v>
      </c>
      <c r="L253" s="34" t="s">
        <v>168</v>
      </c>
      <c r="M253" s="36" t="n">
        <v>0.449110525660203</v>
      </c>
      <c r="N253" s="37" t="n">
        <v>2.22662338748346</v>
      </c>
      <c r="O253" s="50" t="s">
        <v>285</v>
      </c>
    </row>
    <row r="254" customFormat="false" ht="18.75" hidden="false" customHeight="true" outlineLevel="0" collapsed="false">
      <c r="A254" s="35" t="n">
        <v>36</v>
      </c>
      <c r="B254" s="53" t="s">
        <v>293</v>
      </c>
      <c r="C254" s="61" t="n">
        <v>25</v>
      </c>
      <c r="D254" s="32" t="n">
        <v>4</v>
      </c>
      <c r="E254" s="36" t="n">
        <v>0.0400077484094949</v>
      </c>
      <c r="F254" s="37" t="n">
        <v>24.9951581819754</v>
      </c>
      <c r="G254" s="37" t="n">
        <v>19.0912331878179</v>
      </c>
      <c r="H254" s="57" t="n">
        <v>-0.236202745794783</v>
      </c>
      <c r="I254" s="50" t="n">
        <v>4</v>
      </c>
      <c r="J254" s="62" t="n">
        <v>46348</v>
      </c>
      <c r="K254" s="34" t="s">
        <v>235</v>
      </c>
      <c r="L254" s="34" t="s">
        <v>175</v>
      </c>
      <c r="M254" s="36" t="n">
        <v>0.445065720633014</v>
      </c>
      <c r="N254" s="37" t="n">
        <v>2.24685917975823</v>
      </c>
      <c r="O254" s="50" t="s">
        <v>288</v>
      </c>
    </row>
    <row r="255" customFormat="false" ht="18.75" hidden="false" customHeight="true" outlineLevel="0" collapsed="false">
      <c r="A255" s="42" t="n">
        <v>36</v>
      </c>
      <c r="B255" s="54" t="s">
        <v>294</v>
      </c>
      <c r="C255" s="59" t="n">
        <v>50</v>
      </c>
      <c r="D255" s="39" t="n">
        <v>4</v>
      </c>
      <c r="E255" s="43" t="n">
        <v>0.0197230447223494</v>
      </c>
      <c r="F255" s="44" t="n">
        <v>50.7021108595285</v>
      </c>
      <c r="G255" s="44" t="n">
        <v>38.7261330569164</v>
      </c>
      <c r="H255" s="58" t="n">
        <v>-0.236202745794783</v>
      </c>
      <c r="I255" s="51" t="n">
        <v>1</v>
      </c>
      <c r="J255" s="60" t="n">
        <v>46348</v>
      </c>
      <c r="K255" s="41" t="s">
        <v>242</v>
      </c>
      <c r="L255" s="41" t="s">
        <v>158</v>
      </c>
      <c r="M255" s="43" t="n">
        <v>0.37751259736611</v>
      </c>
      <c r="N255" s="44" t="n">
        <v>2.64891822677431</v>
      </c>
      <c r="O255" s="51" t="s">
        <v>288</v>
      </c>
    </row>
    <row r="256" customFormat="false" ht="18.75" hidden="false" customHeight="true" outlineLevel="0" collapsed="false">
      <c r="A256" s="42" t="n">
        <v>36</v>
      </c>
      <c r="B256" s="54" t="s">
        <v>294</v>
      </c>
      <c r="C256" s="59" t="n">
        <v>50</v>
      </c>
      <c r="D256" s="39" t="n">
        <v>4</v>
      </c>
      <c r="E256" s="43" t="n">
        <v>0.0197230447223494</v>
      </c>
      <c r="F256" s="44" t="n">
        <v>50.7021108595285</v>
      </c>
      <c r="G256" s="44" t="n">
        <v>38.7261330569164</v>
      </c>
      <c r="H256" s="58" t="n">
        <v>-0.236202745794783</v>
      </c>
      <c r="I256" s="51" t="n">
        <v>2</v>
      </c>
      <c r="J256" s="60" t="n">
        <v>46348</v>
      </c>
      <c r="K256" s="41" t="s">
        <v>236</v>
      </c>
      <c r="L256" s="41" t="s">
        <v>150</v>
      </c>
      <c r="M256" s="43" t="n">
        <v>0.374298735657533</v>
      </c>
      <c r="N256" s="44" t="n">
        <v>2.67166277824394</v>
      </c>
      <c r="O256" s="51" t="s">
        <v>285</v>
      </c>
    </row>
    <row r="257" customFormat="false" ht="18.75" hidden="false" customHeight="true" outlineLevel="0" collapsed="false">
      <c r="A257" s="42" t="n">
        <v>36</v>
      </c>
      <c r="B257" s="54" t="s">
        <v>294</v>
      </c>
      <c r="C257" s="59" t="n">
        <v>50</v>
      </c>
      <c r="D257" s="39" t="n">
        <v>4</v>
      </c>
      <c r="E257" s="43" t="n">
        <v>0.0197230447223494</v>
      </c>
      <c r="F257" s="44" t="n">
        <v>50.7021108595285</v>
      </c>
      <c r="G257" s="44" t="n">
        <v>38.7261330569164</v>
      </c>
      <c r="H257" s="58" t="n">
        <v>-0.236202745794783</v>
      </c>
      <c r="I257" s="51" t="n">
        <v>3</v>
      </c>
      <c r="J257" s="60" t="n">
        <v>46348</v>
      </c>
      <c r="K257" s="41" t="s">
        <v>238</v>
      </c>
      <c r="L257" s="41" t="s">
        <v>146</v>
      </c>
      <c r="M257" s="43" t="n">
        <v>0.373873628146735</v>
      </c>
      <c r="N257" s="44" t="n">
        <v>2.67470055311719</v>
      </c>
      <c r="O257" s="51" t="s">
        <v>285</v>
      </c>
    </row>
    <row r="258" customFormat="false" ht="18.75" hidden="false" customHeight="true" outlineLevel="0" collapsed="false">
      <c r="A258" s="42" t="n">
        <v>36</v>
      </c>
      <c r="B258" s="54" t="s">
        <v>294</v>
      </c>
      <c r="C258" s="59" t="n">
        <v>50</v>
      </c>
      <c r="D258" s="39" t="n">
        <v>4</v>
      </c>
      <c r="E258" s="43" t="n">
        <v>0.0197230447223494</v>
      </c>
      <c r="F258" s="44" t="n">
        <v>50.7021108595285</v>
      </c>
      <c r="G258" s="44" t="n">
        <v>38.7261330569164</v>
      </c>
      <c r="H258" s="58" t="n">
        <v>-0.236202745794783</v>
      </c>
      <c r="I258" s="51" t="n">
        <v>4</v>
      </c>
      <c r="J258" s="60" t="n">
        <v>46348</v>
      </c>
      <c r="K258" s="41" t="s">
        <v>235</v>
      </c>
      <c r="L258" s="41" t="s">
        <v>159</v>
      </c>
      <c r="M258" s="43" t="n">
        <v>0.373335525907306</v>
      </c>
      <c r="N258" s="44" t="n">
        <v>2.67855569750489</v>
      </c>
      <c r="O258" s="51" t="s">
        <v>285</v>
      </c>
    </row>
    <row r="259" customFormat="false" ht="18.75" hidden="false" customHeight="true" outlineLevel="0" collapsed="false">
      <c r="A259" s="35" t="n">
        <v>36</v>
      </c>
      <c r="B259" s="53" t="s">
        <v>295</v>
      </c>
      <c r="C259" s="61" t="n">
        <v>100</v>
      </c>
      <c r="D259" s="32" t="n">
        <v>5</v>
      </c>
      <c r="E259" s="36" t="n">
        <v>0.0100614335980723</v>
      </c>
      <c r="F259" s="37" t="n">
        <v>99.3894150622421</v>
      </c>
      <c r="G259" s="37" t="n">
        <v>70.9680301314881</v>
      </c>
      <c r="H259" s="57" t="n">
        <v>-0.285959877246035</v>
      </c>
      <c r="I259" s="50" t="n">
        <v>1</v>
      </c>
      <c r="J259" s="62" t="n">
        <v>46348</v>
      </c>
      <c r="K259" s="34" t="s">
        <v>235</v>
      </c>
      <c r="L259" s="34" t="s">
        <v>170</v>
      </c>
      <c r="M259" s="36" t="n">
        <v>0.400935503366812</v>
      </c>
      <c r="N259" s="37" t="n">
        <v>2.49416674652808</v>
      </c>
      <c r="O259" s="50" t="s">
        <v>288</v>
      </c>
    </row>
    <row r="260" customFormat="false" ht="18.75" hidden="false" customHeight="true" outlineLevel="0" collapsed="false">
      <c r="A260" s="35" t="n">
        <v>36</v>
      </c>
      <c r="B260" s="53" t="s">
        <v>295</v>
      </c>
      <c r="C260" s="61" t="n">
        <v>100</v>
      </c>
      <c r="D260" s="32" t="n">
        <v>5</v>
      </c>
      <c r="E260" s="36" t="n">
        <v>0.0100614335980723</v>
      </c>
      <c r="F260" s="37" t="n">
        <v>99.3894150622421</v>
      </c>
      <c r="G260" s="37" t="n">
        <v>70.9680301314881</v>
      </c>
      <c r="H260" s="57" t="n">
        <v>-0.285959877246035</v>
      </c>
      <c r="I260" s="50" t="n">
        <v>2</v>
      </c>
      <c r="J260" s="62" t="n">
        <v>46348</v>
      </c>
      <c r="K260" s="34" t="s">
        <v>241</v>
      </c>
      <c r="L260" s="34" t="s">
        <v>159</v>
      </c>
      <c r="M260" s="36" t="n">
        <v>0.401466512782838</v>
      </c>
      <c r="N260" s="37" t="n">
        <v>2.49086777641382</v>
      </c>
      <c r="O260" s="50" t="s">
        <v>285</v>
      </c>
    </row>
    <row r="261" customFormat="false" ht="18.75" hidden="false" customHeight="true" outlineLevel="0" collapsed="false">
      <c r="A261" s="35" t="n">
        <v>36</v>
      </c>
      <c r="B261" s="53" t="s">
        <v>295</v>
      </c>
      <c r="C261" s="61" t="n">
        <v>100</v>
      </c>
      <c r="D261" s="32" t="n">
        <v>5</v>
      </c>
      <c r="E261" s="36" t="n">
        <v>0.0100614335980723</v>
      </c>
      <c r="F261" s="37" t="n">
        <v>99.3894150622421</v>
      </c>
      <c r="G261" s="37" t="n">
        <v>70.9680301314881</v>
      </c>
      <c r="H261" s="57" t="n">
        <v>-0.285959877246035</v>
      </c>
      <c r="I261" s="50" t="n">
        <v>3</v>
      </c>
      <c r="J261" s="62" t="n">
        <v>46348</v>
      </c>
      <c r="K261" s="34" t="s">
        <v>236</v>
      </c>
      <c r="L261" s="34" t="s">
        <v>110</v>
      </c>
      <c r="M261" s="36" t="n">
        <v>0.392500374338005</v>
      </c>
      <c r="N261" s="37" t="n">
        <v>2.54776827076053</v>
      </c>
      <c r="O261" s="50" t="s">
        <v>285</v>
      </c>
    </row>
    <row r="262" customFormat="false" ht="18.75" hidden="false" customHeight="true" outlineLevel="0" collapsed="false">
      <c r="A262" s="35" t="n">
        <v>36</v>
      </c>
      <c r="B262" s="53" t="s">
        <v>295</v>
      </c>
      <c r="C262" s="61" t="n">
        <v>100</v>
      </c>
      <c r="D262" s="32" t="n">
        <v>5</v>
      </c>
      <c r="E262" s="36" t="n">
        <v>0.0100614335980723</v>
      </c>
      <c r="F262" s="37" t="n">
        <v>99.3894150622421</v>
      </c>
      <c r="G262" s="37" t="n">
        <v>70.9680301314881</v>
      </c>
      <c r="H262" s="57" t="n">
        <v>-0.285959877246035</v>
      </c>
      <c r="I262" s="50" t="n">
        <v>4</v>
      </c>
      <c r="J262" s="62" t="n">
        <v>46348</v>
      </c>
      <c r="K262" s="34" t="s">
        <v>237</v>
      </c>
      <c r="L262" s="34" t="s">
        <v>159</v>
      </c>
      <c r="M262" s="36" t="n">
        <v>0.391860892168167</v>
      </c>
      <c r="N262" s="37" t="n">
        <v>2.55192600227851</v>
      </c>
      <c r="O262" s="50" t="s">
        <v>285</v>
      </c>
    </row>
    <row r="263" customFormat="false" ht="18.75" hidden="false" customHeight="true" outlineLevel="0" collapsed="false">
      <c r="A263" s="35" t="n">
        <v>36</v>
      </c>
      <c r="B263" s="53" t="s">
        <v>295</v>
      </c>
      <c r="C263" s="61" t="n">
        <v>100</v>
      </c>
      <c r="D263" s="32" t="n">
        <v>5</v>
      </c>
      <c r="E263" s="36" t="n">
        <v>0.0100614335980723</v>
      </c>
      <c r="F263" s="37" t="n">
        <v>99.3894150622421</v>
      </c>
      <c r="G263" s="37" t="n">
        <v>70.9680301314881</v>
      </c>
      <c r="H263" s="57" t="n">
        <v>-0.285959877246035</v>
      </c>
      <c r="I263" s="50" t="n">
        <v>5</v>
      </c>
      <c r="J263" s="62" t="n">
        <v>46348</v>
      </c>
      <c r="K263" s="34" t="s">
        <v>234</v>
      </c>
      <c r="L263" s="34" t="s">
        <v>150</v>
      </c>
      <c r="M263" s="36" t="n">
        <v>0.406409663737244</v>
      </c>
      <c r="N263" s="37" t="n">
        <v>2.46057141162502</v>
      </c>
      <c r="O263" s="50" t="s">
        <v>285</v>
      </c>
    </row>
    <row r="264" customFormat="false" ht="18.75" hidden="false" customHeight="true" outlineLevel="0" collapsed="false">
      <c r="A264" s="42" t="n">
        <v>36</v>
      </c>
      <c r="B264" s="54" t="s">
        <v>296</v>
      </c>
      <c r="C264" s="59" t="n">
        <v>250</v>
      </c>
      <c r="D264" s="39" t="n">
        <v>6</v>
      </c>
      <c r="E264" s="43" t="n">
        <v>0.00411414529503193</v>
      </c>
      <c r="F264" s="44" t="n">
        <v>243.063851246955</v>
      </c>
      <c r="G264" s="44" t="n">
        <v>162.251049259181</v>
      </c>
      <c r="H264" s="58" t="n">
        <v>-0.332475609076346</v>
      </c>
      <c r="I264" s="51" t="n">
        <v>1</v>
      </c>
      <c r="J264" s="60" t="n">
        <v>46348</v>
      </c>
      <c r="K264" s="41" t="s">
        <v>235</v>
      </c>
      <c r="L264" s="41" t="s">
        <v>170</v>
      </c>
      <c r="M264" s="43" t="n">
        <v>0.400935503366812</v>
      </c>
      <c r="N264" s="44" t="n">
        <v>2.49416674652808</v>
      </c>
      <c r="O264" s="51" t="s">
        <v>288</v>
      </c>
    </row>
    <row r="265" customFormat="false" ht="18.75" hidden="false" customHeight="true" outlineLevel="0" collapsed="false">
      <c r="A265" s="42" t="n">
        <v>36</v>
      </c>
      <c r="B265" s="54" t="s">
        <v>296</v>
      </c>
      <c r="C265" s="59" t="n">
        <v>250</v>
      </c>
      <c r="D265" s="39" t="n">
        <v>6</v>
      </c>
      <c r="E265" s="43" t="n">
        <v>0.00411414529503193</v>
      </c>
      <c r="F265" s="44" t="n">
        <v>243.063851246955</v>
      </c>
      <c r="G265" s="44" t="n">
        <v>162.251049259181</v>
      </c>
      <c r="H265" s="58" t="n">
        <v>-0.332475609076346</v>
      </c>
      <c r="I265" s="51" t="n">
        <v>2</v>
      </c>
      <c r="J265" s="60" t="n">
        <v>46348</v>
      </c>
      <c r="K265" s="41" t="s">
        <v>241</v>
      </c>
      <c r="L265" s="41" t="s">
        <v>159</v>
      </c>
      <c r="M265" s="43" t="n">
        <v>0.401466512782838</v>
      </c>
      <c r="N265" s="44" t="n">
        <v>2.49086777641382</v>
      </c>
      <c r="O265" s="51" t="s">
        <v>285</v>
      </c>
    </row>
    <row r="266" customFormat="false" ht="18.75" hidden="false" customHeight="true" outlineLevel="0" collapsed="false">
      <c r="A266" s="42" t="n">
        <v>36</v>
      </c>
      <c r="B266" s="54" t="s">
        <v>296</v>
      </c>
      <c r="C266" s="59" t="n">
        <v>250</v>
      </c>
      <c r="D266" s="39" t="n">
        <v>6</v>
      </c>
      <c r="E266" s="43" t="n">
        <v>0.00411414529503193</v>
      </c>
      <c r="F266" s="44" t="n">
        <v>243.063851246955</v>
      </c>
      <c r="G266" s="44" t="n">
        <v>162.251049259181</v>
      </c>
      <c r="H266" s="58" t="n">
        <v>-0.332475609076346</v>
      </c>
      <c r="I266" s="51" t="n">
        <v>3</v>
      </c>
      <c r="J266" s="60" t="n">
        <v>46348</v>
      </c>
      <c r="K266" s="41" t="s">
        <v>236</v>
      </c>
      <c r="L266" s="41" t="s">
        <v>110</v>
      </c>
      <c r="M266" s="43" t="n">
        <v>0.392500374338005</v>
      </c>
      <c r="N266" s="44" t="n">
        <v>2.54776827076053</v>
      </c>
      <c r="O266" s="51" t="s">
        <v>285</v>
      </c>
    </row>
    <row r="267" customFormat="false" ht="18.75" hidden="false" customHeight="true" outlineLevel="0" collapsed="false">
      <c r="A267" s="42" t="n">
        <v>36</v>
      </c>
      <c r="B267" s="54" t="s">
        <v>296</v>
      </c>
      <c r="C267" s="59" t="n">
        <v>250</v>
      </c>
      <c r="D267" s="39" t="n">
        <v>6</v>
      </c>
      <c r="E267" s="43" t="n">
        <v>0.00411414529503193</v>
      </c>
      <c r="F267" s="44" t="n">
        <v>243.063851246955</v>
      </c>
      <c r="G267" s="44" t="n">
        <v>162.251049259181</v>
      </c>
      <c r="H267" s="58" t="n">
        <v>-0.332475609076346</v>
      </c>
      <c r="I267" s="51" t="n">
        <v>4</v>
      </c>
      <c r="J267" s="60" t="n">
        <v>46348</v>
      </c>
      <c r="K267" s="41" t="s">
        <v>237</v>
      </c>
      <c r="L267" s="41" t="s">
        <v>159</v>
      </c>
      <c r="M267" s="43" t="n">
        <v>0.391860892168167</v>
      </c>
      <c r="N267" s="44" t="n">
        <v>2.55192600227851</v>
      </c>
      <c r="O267" s="51" t="s">
        <v>285</v>
      </c>
    </row>
    <row r="268" customFormat="false" ht="18.75" hidden="false" customHeight="true" outlineLevel="0" collapsed="false">
      <c r="A268" s="42" t="n">
        <v>36</v>
      </c>
      <c r="B268" s="54" t="s">
        <v>296</v>
      </c>
      <c r="C268" s="59" t="n">
        <v>250</v>
      </c>
      <c r="D268" s="39" t="n">
        <v>6</v>
      </c>
      <c r="E268" s="43" t="n">
        <v>0.00411414529503193</v>
      </c>
      <c r="F268" s="44" t="n">
        <v>243.063851246955</v>
      </c>
      <c r="G268" s="44" t="n">
        <v>162.251049259181</v>
      </c>
      <c r="H268" s="58" t="n">
        <v>-0.332475609076346</v>
      </c>
      <c r="I268" s="51" t="n">
        <v>5</v>
      </c>
      <c r="J268" s="60" t="n">
        <v>46348</v>
      </c>
      <c r="K268" s="41" t="s">
        <v>234</v>
      </c>
      <c r="L268" s="41" t="s">
        <v>150</v>
      </c>
      <c r="M268" s="43" t="n">
        <v>0.406409663737244</v>
      </c>
      <c r="N268" s="44" t="n">
        <v>2.46057141162502</v>
      </c>
      <c r="O268" s="51" t="s">
        <v>285</v>
      </c>
    </row>
    <row r="269" customFormat="false" ht="18.75" hidden="false" customHeight="true" outlineLevel="0" collapsed="false">
      <c r="A269" s="42" t="n">
        <v>36</v>
      </c>
      <c r="B269" s="54" t="s">
        <v>296</v>
      </c>
      <c r="C269" s="59" t="n">
        <v>250</v>
      </c>
      <c r="D269" s="39" t="n">
        <v>6</v>
      </c>
      <c r="E269" s="43" t="n">
        <v>0.00411414529503193</v>
      </c>
      <c r="F269" s="44" t="n">
        <v>243.063851246955</v>
      </c>
      <c r="G269" s="44" t="n">
        <v>162.251049259181</v>
      </c>
      <c r="H269" s="58" t="n">
        <v>-0.332475609076346</v>
      </c>
      <c r="I269" s="51" t="n">
        <v>6</v>
      </c>
      <c r="J269" s="60" t="n">
        <v>46348</v>
      </c>
      <c r="K269" s="41" t="s">
        <v>239</v>
      </c>
      <c r="L269" s="41" t="s">
        <v>159</v>
      </c>
      <c r="M269" s="43" t="n">
        <v>0.408902494354299</v>
      </c>
      <c r="N269" s="44" t="n">
        <v>2.44557079941297</v>
      </c>
      <c r="O269" s="51" t="s">
        <v>285</v>
      </c>
    </row>
    <row r="270" customFormat="false" ht="18.75" hidden="false" customHeight="true" outlineLevel="0" collapsed="false">
      <c r="A270" s="35" t="n">
        <v>37</v>
      </c>
      <c r="B270" s="53" t="s">
        <v>284</v>
      </c>
      <c r="C270" s="61" t="n">
        <v>1.5</v>
      </c>
      <c r="D270" s="32" t="n">
        <v>2</v>
      </c>
      <c r="E270" s="36" t="n">
        <v>0.667174865163049</v>
      </c>
      <c r="F270" s="37" t="n">
        <v>1.49885742436597</v>
      </c>
      <c r="G270" s="37" t="n">
        <v>1.30993386500506</v>
      </c>
      <c r="H270" s="57" t="n">
        <v>-0.126045050242739</v>
      </c>
      <c r="I270" s="50" t="n">
        <v>1</v>
      </c>
      <c r="J270" s="62" t="n">
        <v>46355</v>
      </c>
      <c r="K270" s="34" t="s">
        <v>247</v>
      </c>
      <c r="L270" s="34" t="s">
        <v>86</v>
      </c>
      <c r="M270" s="36" t="n">
        <v>0.815420504773993</v>
      </c>
      <c r="N270" s="37" t="n">
        <v>1.22636111570087</v>
      </c>
      <c r="O270" s="50" t="s">
        <v>285</v>
      </c>
    </row>
    <row r="271" customFormat="false" ht="18.75" hidden="false" customHeight="true" outlineLevel="0" collapsed="false">
      <c r="A271" s="35" t="n">
        <v>37</v>
      </c>
      <c r="B271" s="53" t="s">
        <v>284</v>
      </c>
      <c r="C271" s="61" t="n">
        <v>1.5</v>
      </c>
      <c r="D271" s="32" t="n">
        <v>2</v>
      </c>
      <c r="E271" s="36" t="n">
        <v>0.667174865163049</v>
      </c>
      <c r="F271" s="37" t="n">
        <v>1.49885742436597</v>
      </c>
      <c r="G271" s="37" t="n">
        <v>1.30993386500506</v>
      </c>
      <c r="H271" s="57" t="n">
        <v>-0.126045050242739</v>
      </c>
      <c r="I271" s="50" t="n">
        <v>2</v>
      </c>
      <c r="J271" s="62" t="n">
        <v>46355</v>
      </c>
      <c r="K271" s="34" t="s">
        <v>249</v>
      </c>
      <c r="L271" s="34" t="s">
        <v>86</v>
      </c>
      <c r="M271" s="36" t="n">
        <v>0.818197312008934</v>
      </c>
      <c r="N271" s="37" t="n">
        <v>1.22219907756075</v>
      </c>
      <c r="O271" s="50" t="s">
        <v>285</v>
      </c>
    </row>
    <row r="272" customFormat="false" ht="18.75" hidden="false" customHeight="true" outlineLevel="0" collapsed="false">
      <c r="A272" s="42" t="n">
        <v>37</v>
      </c>
      <c r="B272" s="54" t="s">
        <v>286</v>
      </c>
      <c r="C272" s="59" t="n">
        <v>2</v>
      </c>
      <c r="D272" s="39" t="n">
        <v>2</v>
      </c>
      <c r="E272" s="43" t="n">
        <v>0.500694061525274</v>
      </c>
      <c r="F272" s="44" t="n">
        <v>1.99722760232802</v>
      </c>
      <c r="G272" s="44" t="n">
        <v>1.7454869488464</v>
      </c>
      <c r="H272" s="58" t="n">
        <v>-0.126045050242739</v>
      </c>
      <c r="I272" s="51" t="n">
        <v>1</v>
      </c>
      <c r="J272" s="60" t="n">
        <v>46355</v>
      </c>
      <c r="K272" s="41" t="s">
        <v>249</v>
      </c>
      <c r="L272" s="41" t="s">
        <v>154</v>
      </c>
      <c r="M272" s="43" t="n">
        <v>0.706742390451711</v>
      </c>
      <c r="N272" s="44" t="n">
        <v>1.41494271959668</v>
      </c>
      <c r="O272" s="51" t="s">
        <v>285</v>
      </c>
    </row>
    <row r="273" customFormat="false" ht="18.75" hidden="false" customHeight="true" outlineLevel="0" collapsed="false">
      <c r="A273" s="42" t="n">
        <v>37</v>
      </c>
      <c r="B273" s="54" t="s">
        <v>286</v>
      </c>
      <c r="C273" s="59" t="n">
        <v>2</v>
      </c>
      <c r="D273" s="39" t="n">
        <v>2</v>
      </c>
      <c r="E273" s="43" t="n">
        <v>0.500694061525274</v>
      </c>
      <c r="F273" s="44" t="n">
        <v>1.99722760232802</v>
      </c>
      <c r="G273" s="44" t="n">
        <v>1.7454869488464</v>
      </c>
      <c r="H273" s="58" t="n">
        <v>-0.126045050242739</v>
      </c>
      <c r="I273" s="51" t="n">
        <v>2</v>
      </c>
      <c r="J273" s="60" t="n">
        <v>46355</v>
      </c>
      <c r="K273" s="41" t="s">
        <v>246</v>
      </c>
      <c r="L273" s="41" t="s">
        <v>141</v>
      </c>
      <c r="M273" s="43" t="n">
        <v>0.708453417100477</v>
      </c>
      <c r="N273" s="44" t="n">
        <v>1.41152540994544</v>
      </c>
      <c r="O273" s="51" t="s">
        <v>285</v>
      </c>
    </row>
    <row r="274" customFormat="false" ht="18.75" hidden="false" customHeight="true" outlineLevel="0" collapsed="false">
      <c r="A274" s="35" t="n">
        <v>37</v>
      </c>
      <c r="B274" s="53" t="s">
        <v>287</v>
      </c>
      <c r="C274" s="61" t="n">
        <v>3</v>
      </c>
      <c r="D274" s="32" t="n">
        <v>2</v>
      </c>
      <c r="E274" s="36" t="n">
        <v>0.33217406568214</v>
      </c>
      <c r="F274" s="37" t="n">
        <v>3.01046982083456</v>
      </c>
      <c r="G274" s="37" t="n">
        <v>2.63101500101322</v>
      </c>
      <c r="H274" s="57" t="n">
        <v>-0.126045050242739</v>
      </c>
      <c r="I274" s="50" t="n">
        <v>1</v>
      </c>
      <c r="J274" s="62" t="n">
        <v>46355</v>
      </c>
      <c r="K274" s="34" t="s">
        <v>248</v>
      </c>
      <c r="L274" s="34" t="s">
        <v>156</v>
      </c>
      <c r="M274" s="36" t="n">
        <v>0.57636603102723</v>
      </c>
      <c r="N274" s="37" t="n">
        <v>1.73500856429333</v>
      </c>
      <c r="O274" s="50" t="s">
        <v>285</v>
      </c>
    </row>
    <row r="275" customFormat="false" ht="18.75" hidden="false" customHeight="true" outlineLevel="0" collapsed="false">
      <c r="A275" s="35" t="n">
        <v>37</v>
      </c>
      <c r="B275" s="53" t="s">
        <v>287</v>
      </c>
      <c r="C275" s="61" t="n">
        <v>3</v>
      </c>
      <c r="D275" s="32" t="n">
        <v>2</v>
      </c>
      <c r="E275" s="36" t="n">
        <v>0.33217406568214</v>
      </c>
      <c r="F275" s="37" t="n">
        <v>3.01046982083456</v>
      </c>
      <c r="G275" s="37" t="n">
        <v>2.63101500101322</v>
      </c>
      <c r="H275" s="57" t="n">
        <v>-0.126045050242739</v>
      </c>
      <c r="I275" s="50" t="n">
        <v>2</v>
      </c>
      <c r="J275" s="62" t="n">
        <v>46355</v>
      </c>
      <c r="K275" s="34" t="s">
        <v>249</v>
      </c>
      <c r="L275" s="34" t="s">
        <v>291</v>
      </c>
      <c r="M275" s="36" t="n">
        <v>0.576324848794648</v>
      </c>
      <c r="N275" s="37" t="n">
        <v>1.73513254216167</v>
      </c>
      <c r="O275" s="50" t="s">
        <v>285</v>
      </c>
    </row>
    <row r="276" customFormat="false" ht="18.75" hidden="false" customHeight="true" outlineLevel="0" collapsed="false">
      <c r="A276" s="42" t="n">
        <v>37</v>
      </c>
      <c r="B276" s="54" t="s">
        <v>289</v>
      </c>
      <c r="C276" s="59" t="n">
        <v>5</v>
      </c>
      <c r="D276" s="39" t="n">
        <v>2</v>
      </c>
      <c r="E276" s="43" t="n">
        <v>0.199941862080881</v>
      </c>
      <c r="F276" s="44" t="n">
        <v>5.00145387060302</v>
      </c>
      <c r="G276" s="44" t="n">
        <v>4.37104536619612</v>
      </c>
      <c r="H276" s="58" t="n">
        <v>-0.126045050242739</v>
      </c>
      <c r="I276" s="51" t="n">
        <v>1</v>
      </c>
      <c r="J276" s="60" t="n">
        <v>46355</v>
      </c>
      <c r="K276" s="41" t="s">
        <v>244</v>
      </c>
      <c r="L276" s="41" t="s">
        <v>163</v>
      </c>
      <c r="M276" s="43" t="n">
        <v>0.447267734153972</v>
      </c>
      <c r="N276" s="44" t="n">
        <v>2.23579731699526</v>
      </c>
      <c r="O276" s="51" t="s">
        <v>288</v>
      </c>
    </row>
    <row r="277" customFormat="false" ht="18.75" hidden="false" customHeight="true" outlineLevel="0" collapsed="false">
      <c r="A277" s="42" t="n">
        <v>37</v>
      </c>
      <c r="B277" s="54" t="s">
        <v>289</v>
      </c>
      <c r="C277" s="59" t="n">
        <v>5</v>
      </c>
      <c r="D277" s="39" t="n">
        <v>2</v>
      </c>
      <c r="E277" s="43" t="n">
        <v>0.199941862080881</v>
      </c>
      <c r="F277" s="44" t="n">
        <v>5.00145387060302</v>
      </c>
      <c r="G277" s="44" t="n">
        <v>4.37104536619612</v>
      </c>
      <c r="H277" s="58" t="n">
        <v>-0.126045050242739</v>
      </c>
      <c r="I277" s="51" t="n">
        <v>2</v>
      </c>
      <c r="J277" s="60" t="n">
        <v>46355</v>
      </c>
      <c r="K277" s="41" t="s">
        <v>253</v>
      </c>
      <c r="L277" s="41" t="s">
        <v>168</v>
      </c>
      <c r="M277" s="43" t="n">
        <v>0.447029478795471</v>
      </c>
      <c r="N277" s="44" t="n">
        <v>2.23698894018023</v>
      </c>
      <c r="O277" s="51" t="s">
        <v>285</v>
      </c>
    </row>
    <row r="278" customFormat="false" ht="18.75" hidden="false" customHeight="true" outlineLevel="0" collapsed="false">
      <c r="A278" s="35" t="n">
        <v>37</v>
      </c>
      <c r="B278" s="53" t="s">
        <v>290</v>
      </c>
      <c r="C278" s="61" t="n">
        <v>10</v>
      </c>
      <c r="D278" s="32" t="n">
        <v>3</v>
      </c>
      <c r="E278" s="36" t="n">
        <v>0.099752641010552</v>
      </c>
      <c r="F278" s="37" t="n">
        <v>10.02479723714</v>
      </c>
      <c r="G278" s="37" t="n">
        <v>8.19047646767056</v>
      </c>
      <c r="H278" s="57" t="n">
        <v>-0.182978341215085</v>
      </c>
      <c r="I278" s="50" t="n">
        <v>1</v>
      </c>
      <c r="J278" s="62" t="n">
        <v>46355</v>
      </c>
      <c r="K278" s="34" t="s">
        <v>249</v>
      </c>
      <c r="L278" s="34" t="s">
        <v>292</v>
      </c>
      <c r="M278" s="36" t="n">
        <v>0.464869927237426</v>
      </c>
      <c r="N278" s="37" t="n">
        <v>2.15113936481691</v>
      </c>
      <c r="O278" s="50" t="s">
        <v>285</v>
      </c>
    </row>
    <row r="279" customFormat="false" ht="18.75" hidden="false" customHeight="true" outlineLevel="0" collapsed="false">
      <c r="A279" s="35" t="n">
        <v>37</v>
      </c>
      <c r="B279" s="53" t="s">
        <v>290</v>
      </c>
      <c r="C279" s="61" t="n">
        <v>10</v>
      </c>
      <c r="D279" s="32" t="n">
        <v>3</v>
      </c>
      <c r="E279" s="36" t="n">
        <v>0.099752641010552</v>
      </c>
      <c r="F279" s="37" t="n">
        <v>10.02479723714</v>
      </c>
      <c r="G279" s="37" t="n">
        <v>8.19047646767056</v>
      </c>
      <c r="H279" s="57" t="n">
        <v>-0.182978341215085</v>
      </c>
      <c r="I279" s="50" t="n">
        <v>2</v>
      </c>
      <c r="J279" s="62" t="n">
        <v>46355</v>
      </c>
      <c r="K279" s="34" t="s">
        <v>245</v>
      </c>
      <c r="L279" s="34" t="s">
        <v>292</v>
      </c>
      <c r="M279" s="36" t="n">
        <v>0.463264041656898</v>
      </c>
      <c r="N279" s="37" t="n">
        <v>2.15859620017868</v>
      </c>
      <c r="O279" s="50" t="s">
        <v>285</v>
      </c>
    </row>
    <row r="280" customFormat="false" ht="18.75" hidden="false" customHeight="true" outlineLevel="0" collapsed="false">
      <c r="A280" s="35" t="n">
        <v>37</v>
      </c>
      <c r="B280" s="53" t="s">
        <v>290</v>
      </c>
      <c r="C280" s="61" t="n">
        <v>10</v>
      </c>
      <c r="D280" s="32" t="n">
        <v>3</v>
      </c>
      <c r="E280" s="36" t="n">
        <v>0.099752641010552</v>
      </c>
      <c r="F280" s="37" t="n">
        <v>10.02479723714</v>
      </c>
      <c r="G280" s="37" t="n">
        <v>8.19047646767056</v>
      </c>
      <c r="H280" s="57" t="n">
        <v>-0.182978341215085</v>
      </c>
      <c r="I280" s="50" t="n">
        <v>3</v>
      </c>
      <c r="J280" s="62" t="n">
        <v>46355</v>
      </c>
      <c r="K280" s="34" t="s">
        <v>246</v>
      </c>
      <c r="L280" s="34" t="s">
        <v>292</v>
      </c>
      <c r="M280" s="36" t="n">
        <v>0.463195528957483</v>
      </c>
      <c r="N280" s="37" t="n">
        <v>2.15891548489405</v>
      </c>
      <c r="O280" s="50" t="s">
        <v>285</v>
      </c>
    </row>
    <row r="281" customFormat="false" ht="18.75" hidden="false" customHeight="true" outlineLevel="0" collapsed="false">
      <c r="A281" s="42" t="n">
        <v>37</v>
      </c>
      <c r="B281" s="54" t="s">
        <v>293</v>
      </c>
      <c r="C281" s="59" t="n">
        <v>25</v>
      </c>
      <c r="D281" s="39" t="n">
        <v>4</v>
      </c>
      <c r="E281" s="43" t="n">
        <v>0.039871147229143</v>
      </c>
      <c r="F281" s="44" t="n">
        <v>25.0807932426151</v>
      </c>
      <c r="G281" s="44" t="n">
        <v>19.1566410119982</v>
      </c>
      <c r="H281" s="58" t="n">
        <v>-0.236202745794783</v>
      </c>
      <c r="I281" s="51" t="n">
        <v>1</v>
      </c>
      <c r="J281" s="60" t="n">
        <v>46355</v>
      </c>
      <c r="K281" s="41" t="s">
        <v>244</v>
      </c>
      <c r="L281" s="41" t="s">
        <v>163</v>
      </c>
      <c r="M281" s="43" t="n">
        <v>0.447267734153972</v>
      </c>
      <c r="N281" s="44" t="n">
        <v>2.23579731699526</v>
      </c>
      <c r="O281" s="51" t="s">
        <v>288</v>
      </c>
    </row>
    <row r="282" customFormat="false" ht="18.75" hidden="false" customHeight="true" outlineLevel="0" collapsed="false">
      <c r="A282" s="42" t="n">
        <v>37</v>
      </c>
      <c r="B282" s="54" t="s">
        <v>293</v>
      </c>
      <c r="C282" s="59" t="n">
        <v>25</v>
      </c>
      <c r="D282" s="39" t="n">
        <v>4</v>
      </c>
      <c r="E282" s="43" t="n">
        <v>0.039871147229143</v>
      </c>
      <c r="F282" s="44" t="n">
        <v>25.0807932426151</v>
      </c>
      <c r="G282" s="44" t="n">
        <v>19.1566410119982</v>
      </c>
      <c r="H282" s="58" t="n">
        <v>-0.236202745794783</v>
      </c>
      <c r="I282" s="51" t="n">
        <v>2</v>
      </c>
      <c r="J282" s="60" t="n">
        <v>46355</v>
      </c>
      <c r="K282" s="41" t="s">
        <v>253</v>
      </c>
      <c r="L282" s="41" t="s">
        <v>168</v>
      </c>
      <c r="M282" s="43" t="n">
        <v>0.447029478795471</v>
      </c>
      <c r="N282" s="44" t="n">
        <v>2.23698894018023</v>
      </c>
      <c r="O282" s="51" t="s">
        <v>285</v>
      </c>
    </row>
    <row r="283" customFormat="false" ht="18.75" hidden="false" customHeight="true" outlineLevel="0" collapsed="false">
      <c r="A283" s="42" t="n">
        <v>37</v>
      </c>
      <c r="B283" s="54" t="s">
        <v>293</v>
      </c>
      <c r="C283" s="59" t="n">
        <v>25</v>
      </c>
      <c r="D283" s="39" t="n">
        <v>4</v>
      </c>
      <c r="E283" s="43" t="n">
        <v>0.039871147229143</v>
      </c>
      <c r="F283" s="44" t="n">
        <v>25.0807932426151</v>
      </c>
      <c r="G283" s="44" t="n">
        <v>19.1566410119982</v>
      </c>
      <c r="H283" s="58" t="n">
        <v>-0.236202745794783</v>
      </c>
      <c r="I283" s="51" t="n">
        <v>3</v>
      </c>
      <c r="J283" s="60" t="n">
        <v>46355</v>
      </c>
      <c r="K283" s="41" t="s">
        <v>251</v>
      </c>
      <c r="L283" s="41" t="s">
        <v>150</v>
      </c>
      <c r="M283" s="43" t="n">
        <v>0.448027021863654</v>
      </c>
      <c r="N283" s="44" t="n">
        <v>2.23200822986147</v>
      </c>
      <c r="O283" s="51" t="s">
        <v>285</v>
      </c>
    </row>
    <row r="284" customFormat="false" ht="18.75" hidden="false" customHeight="true" outlineLevel="0" collapsed="false">
      <c r="A284" s="42" t="n">
        <v>37</v>
      </c>
      <c r="B284" s="54" t="s">
        <v>293</v>
      </c>
      <c r="C284" s="59" t="n">
        <v>25</v>
      </c>
      <c r="D284" s="39" t="n">
        <v>4</v>
      </c>
      <c r="E284" s="43" t="n">
        <v>0.039871147229143</v>
      </c>
      <c r="F284" s="44" t="n">
        <v>25.0807932426151</v>
      </c>
      <c r="G284" s="44" t="n">
        <v>19.1566410119982</v>
      </c>
      <c r="H284" s="58" t="n">
        <v>-0.236202745794783</v>
      </c>
      <c r="I284" s="51" t="n">
        <v>4</v>
      </c>
      <c r="J284" s="60" t="n">
        <v>46355</v>
      </c>
      <c r="K284" s="41" t="s">
        <v>252</v>
      </c>
      <c r="L284" s="41" t="s">
        <v>159</v>
      </c>
      <c r="M284" s="43" t="n">
        <v>0.445093027659539</v>
      </c>
      <c r="N284" s="44" t="n">
        <v>2.2467213320738</v>
      </c>
      <c r="O284" s="51" t="s">
        <v>285</v>
      </c>
    </row>
    <row r="285" customFormat="false" ht="18.75" hidden="false" customHeight="true" outlineLevel="0" collapsed="false">
      <c r="A285" s="35" t="n">
        <v>37</v>
      </c>
      <c r="B285" s="53" t="s">
        <v>294</v>
      </c>
      <c r="C285" s="61" t="n">
        <v>50</v>
      </c>
      <c r="D285" s="32" t="n">
        <v>4</v>
      </c>
      <c r="E285" s="36" t="n">
        <v>0.0197699141737958</v>
      </c>
      <c r="F285" s="37" t="n">
        <v>50.5819090163507</v>
      </c>
      <c r="G285" s="37" t="n">
        <v>38.6343232191468</v>
      </c>
      <c r="H285" s="57" t="n">
        <v>-0.236202745794783</v>
      </c>
      <c r="I285" s="50" t="n">
        <v>1</v>
      </c>
      <c r="J285" s="62" t="n">
        <v>46355</v>
      </c>
      <c r="K285" s="34" t="s">
        <v>246</v>
      </c>
      <c r="L285" s="34" t="s">
        <v>188</v>
      </c>
      <c r="M285" s="36" t="n">
        <v>0.376929230010243</v>
      </c>
      <c r="N285" s="37" t="n">
        <v>2.65301791525382</v>
      </c>
      <c r="O285" s="50" t="s">
        <v>288</v>
      </c>
    </row>
    <row r="286" customFormat="false" ht="18.75" hidden="false" customHeight="true" outlineLevel="0" collapsed="false">
      <c r="A286" s="35" t="n">
        <v>37</v>
      </c>
      <c r="B286" s="53" t="s">
        <v>294</v>
      </c>
      <c r="C286" s="61" t="n">
        <v>50</v>
      </c>
      <c r="D286" s="32" t="n">
        <v>4</v>
      </c>
      <c r="E286" s="36" t="n">
        <v>0.0197699141737958</v>
      </c>
      <c r="F286" s="37" t="n">
        <v>50.5819090163507</v>
      </c>
      <c r="G286" s="37" t="n">
        <v>38.6343232191468</v>
      </c>
      <c r="H286" s="57" t="n">
        <v>-0.236202745794783</v>
      </c>
      <c r="I286" s="50" t="n">
        <v>2</v>
      </c>
      <c r="J286" s="62" t="n">
        <v>46355</v>
      </c>
      <c r="K286" s="34" t="s">
        <v>249</v>
      </c>
      <c r="L286" s="34" t="s">
        <v>170</v>
      </c>
      <c r="M286" s="36" t="n">
        <v>0.378033719870618</v>
      </c>
      <c r="N286" s="37" t="n">
        <v>2.6452666718256</v>
      </c>
      <c r="O286" s="50" t="s">
        <v>288</v>
      </c>
    </row>
    <row r="287" customFormat="false" ht="18.75" hidden="false" customHeight="true" outlineLevel="0" collapsed="false">
      <c r="A287" s="35" t="n">
        <v>37</v>
      </c>
      <c r="B287" s="53" t="s">
        <v>294</v>
      </c>
      <c r="C287" s="61" t="n">
        <v>50</v>
      </c>
      <c r="D287" s="32" t="n">
        <v>4</v>
      </c>
      <c r="E287" s="36" t="n">
        <v>0.0197699141737958</v>
      </c>
      <c r="F287" s="37" t="n">
        <v>50.5819090163507</v>
      </c>
      <c r="G287" s="37" t="n">
        <v>38.6343232191468</v>
      </c>
      <c r="H287" s="57" t="n">
        <v>-0.236202745794783</v>
      </c>
      <c r="I287" s="50" t="n">
        <v>3</v>
      </c>
      <c r="J287" s="62" t="n">
        <v>46355</v>
      </c>
      <c r="K287" s="34" t="s">
        <v>244</v>
      </c>
      <c r="L287" s="34" t="s">
        <v>146</v>
      </c>
      <c r="M287" s="36" t="n">
        <v>0.37376127827398</v>
      </c>
      <c r="N287" s="37" t="n">
        <v>2.67550454829878</v>
      </c>
      <c r="O287" s="50" t="s">
        <v>285</v>
      </c>
    </row>
    <row r="288" customFormat="false" ht="18.75" hidden="false" customHeight="true" outlineLevel="0" collapsed="false">
      <c r="A288" s="35" t="n">
        <v>37</v>
      </c>
      <c r="B288" s="53" t="s">
        <v>294</v>
      </c>
      <c r="C288" s="61" t="n">
        <v>50</v>
      </c>
      <c r="D288" s="32" t="n">
        <v>4</v>
      </c>
      <c r="E288" s="36" t="n">
        <v>0.0197699141737958</v>
      </c>
      <c r="F288" s="37" t="n">
        <v>50.5819090163507</v>
      </c>
      <c r="G288" s="37" t="n">
        <v>38.6343232191468</v>
      </c>
      <c r="H288" s="57" t="n">
        <v>-0.236202745794783</v>
      </c>
      <c r="I288" s="50" t="n">
        <v>4</v>
      </c>
      <c r="J288" s="62" t="n">
        <v>46355</v>
      </c>
      <c r="K288" s="34" t="s">
        <v>245</v>
      </c>
      <c r="L288" s="34" t="s">
        <v>146</v>
      </c>
      <c r="M288" s="36" t="n">
        <v>0.3712103874612</v>
      </c>
      <c r="N288" s="37" t="n">
        <v>2.69389013286845</v>
      </c>
      <c r="O288" s="50" t="s">
        <v>285</v>
      </c>
    </row>
    <row r="289" customFormat="false" ht="18.75" hidden="false" customHeight="true" outlineLevel="0" collapsed="false">
      <c r="A289" s="42" t="n">
        <v>37</v>
      </c>
      <c r="B289" s="54" t="s">
        <v>295</v>
      </c>
      <c r="C289" s="59" t="n">
        <v>100</v>
      </c>
      <c r="D289" s="39" t="n">
        <v>5</v>
      </c>
      <c r="E289" s="43" t="n">
        <v>0.0100902221573505</v>
      </c>
      <c r="F289" s="44" t="n">
        <v>99.1058456796732</v>
      </c>
      <c r="G289" s="44" t="n">
        <v>70.7655502147493</v>
      </c>
      <c r="H289" s="58" t="n">
        <v>-0.285959877246035</v>
      </c>
      <c r="I289" s="51" t="n">
        <v>1</v>
      </c>
      <c r="J289" s="60" t="n">
        <v>46355</v>
      </c>
      <c r="K289" s="41" t="s">
        <v>253</v>
      </c>
      <c r="L289" s="41" t="s">
        <v>143</v>
      </c>
      <c r="M289" s="43" t="n">
        <v>0.39824234144277</v>
      </c>
      <c r="N289" s="44" t="n">
        <v>2.51103385033635</v>
      </c>
      <c r="O289" s="51" t="s">
        <v>285</v>
      </c>
    </row>
    <row r="290" customFormat="false" ht="18.75" hidden="false" customHeight="true" outlineLevel="0" collapsed="false">
      <c r="A290" s="42" t="n">
        <v>37</v>
      </c>
      <c r="B290" s="54" t="s">
        <v>295</v>
      </c>
      <c r="C290" s="59" t="n">
        <v>100</v>
      </c>
      <c r="D290" s="39" t="n">
        <v>5</v>
      </c>
      <c r="E290" s="43" t="n">
        <v>0.0100902221573505</v>
      </c>
      <c r="F290" s="44" t="n">
        <v>99.1058456796732</v>
      </c>
      <c r="G290" s="44" t="n">
        <v>70.7655502147493</v>
      </c>
      <c r="H290" s="58" t="n">
        <v>-0.285959877246035</v>
      </c>
      <c r="I290" s="51" t="n">
        <v>2</v>
      </c>
      <c r="J290" s="60" t="n">
        <v>46355</v>
      </c>
      <c r="K290" s="41" t="s">
        <v>252</v>
      </c>
      <c r="L290" s="41" t="s">
        <v>110</v>
      </c>
      <c r="M290" s="43" t="n">
        <v>0.39707758467641</v>
      </c>
      <c r="N290" s="44" t="n">
        <v>2.51839952339523</v>
      </c>
      <c r="O290" s="51" t="s">
        <v>285</v>
      </c>
    </row>
    <row r="291" customFormat="false" ht="18.75" hidden="false" customHeight="true" outlineLevel="0" collapsed="false">
      <c r="A291" s="42" t="n">
        <v>37</v>
      </c>
      <c r="B291" s="54" t="s">
        <v>295</v>
      </c>
      <c r="C291" s="59" t="n">
        <v>100</v>
      </c>
      <c r="D291" s="39" t="n">
        <v>5</v>
      </c>
      <c r="E291" s="43" t="n">
        <v>0.0100902221573505</v>
      </c>
      <c r="F291" s="44" t="n">
        <v>99.1058456796732</v>
      </c>
      <c r="G291" s="44" t="n">
        <v>70.7655502147493</v>
      </c>
      <c r="H291" s="58" t="n">
        <v>-0.285959877246035</v>
      </c>
      <c r="I291" s="51" t="n">
        <v>3</v>
      </c>
      <c r="J291" s="60" t="n">
        <v>46355</v>
      </c>
      <c r="K291" s="41" t="s">
        <v>248</v>
      </c>
      <c r="L291" s="41" t="s">
        <v>170</v>
      </c>
      <c r="M291" s="43" t="n">
        <v>0.402880893342012</v>
      </c>
      <c r="N291" s="44" t="n">
        <v>2.48212316971578</v>
      </c>
      <c r="O291" s="51" t="s">
        <v>288</v>
      </c>
    </row>
    <row r="292" customFormat="false" ht="18.75" hidden="false" customHeight="true" outlineLevel="0" collapsed="false">
      <c r="A292" s="42" t="n">
        <v>37</v>
      </c>
      <c r="B292" s="54" t="s">
        <v>295</v>
      </c>
      <c r="C292" s="59" t="n">
        <v>100</v>
      </c>
      <c r="D292" s="39" t="n">
        <v>5</v>
      </c>
      <c r="E292" s="43" t="n">
        <v>0.0100902221573505</v>
      </c>
      <c r="F292" s="44" t="n">
        <v>99.1058456796732</v>
      </c>
      <c r="G292" s="44" t="n">
        <v>70.7655502147493</v>
      </c>
      <c r="H292" s="58" t="n">
        <v>-0.285959877246035</v>
      </c>
      <c r="I292" s="51" t="n">
        <v>4</v>
      </c>
      <c r="J292" s="60" t="n">
        <v>46355</v>
      </c>
      <c r="K292" s="41" t="s">
        <v>250</v>
      </c>
      <c r="L292" s="41" t="s">
        <v>159</v>
      </c>
      <c r="M292" s="43" t="n">
        <v>0.404609586629925</v>
      </c>
      <c r="N292" s="44" t="n">
        <v>2.47151830565658</v>
      </c>
      <c r="O292" s="51" t="s">
        <v>285</v>
      </c>
    </row>
    <row r="293" customFormat="false" ht="18.75" hidden="false" customHeight="true" outlineLevel="0" collapsed="false">
      <c r="A293" s="42" t="n">
        <v>37</v>
      </c>
      <c r="B293" s="54" t="s">
        <v>295</v>
      </c>
      <c r="C293" s="59" t="n">
        <v>100</v>
      </c>
      <c r="D293" s="39" t="n">
        <v>5</v>
      </c>
      <c r="E293" s="43" t="n">
        <v>0.0100902221573505</v>
      </c>
      <c r="F293" s="44" t="n">
        <v>99.1058456796732</v>
      </c>
      <c r="G293" s="44" t="n">
        <v>70.7655502147493</v>
      </c>
      <c r="H293" s="58" t="n">
        <v>-0.285959877246035</v>
      </c>
      <c r="I293" s="51" t="n">
        <v>5</v>
      </c>
      <c r="J293" s="60" t="n">
        <v>46355</v>
      </c>
      <c r="K293" s="41" t="s">
        <v>247</v>
      </c>
      <c r="L293" s="41" t="s">
        <v>159</v>
      </c>
      <c r="M293" s="43" t="n">
        <v>0.391439893054605</v>
      </c>
      <c r="N293" s="44" t="n">
        <v>2.55467063460623</v>
      </c>
      <c r="O293" s="51" t="s">
        <v>285</v>
      </c>
    </row>
    <row r="294" customFormat="false" ht="18.75" hidden="false" customHeight="true" outlineLevel="0" collapsed="false">
      <c r="A294" s="35" t="n">
        <v>37</v>
      </c>
      <c r="B294" s="53" t="s">
        <v>296</v>
      </c>
      <c r="C294" s="61" t="n">
        <v>250</v>
      </c>
      <c r="D294" s="32" t="n">
        <v>6</v>
      </c>
      <c r="E294" s="36" t="n">
        <v>0.00390811819440795</v>
      </c>
      <c r="F294" s="37" t="n">
        <v>255.877624538296</v>
      </c>
      <c r="G294" s="37" t="n">
        <v>170.804555470917</v>
      </c>
      <c r="H294" s="57" t="n">
        <v>-0.332475609076346</v>
      </c>
      <c r="I294" s="50" t="n">
        <v>1</v>
      </c>
      <c r="J294" s="62" t="n">
        <v>46355</v>
      </c>
      <c r="K294" s="34" t="s">
        <v>253</v>
      </c>
      <c r="L294" s="34" t="s">
        <v>143</v>
      </c>
      <c r="M294" s="36" t="n">
        <v>0.39824234144277</v>
      </c>
      <c r="N294" s="37" t="n">
        <v>2.51103385033635</v>
      </c>
      <c r="O294" s="50" t="s">
        <v>285</v>
      </c>
    </row>
    <row r="295" customFormat="false" ht="18.75" hidden="false" customHeight="true" outlineLevel="0" collapsed="false">
      <c r="A295" s="35" t="n">
        <v>37</v>
      </c>
      <c r="B295" s="53" t="s">
        <v>296</v>
      </c>
      <c r="C295" s="61" t="n">
        <v>250</v>
      </c>
      <c r="D295" s="32" t="n">
        <v>6</v>
      </c>
      <c r="E295" s="36" t="n">
        <v>0.00390811819440795</v>
      </c>
      <c r="F295" s="37" t="n">
        <v>255.877624538296</v>
      </c>
      <c r="G295" s="37" t="n">
        <v>170.804555470917</v>
      </c>
      <c r="H295" s="57" t="n">
        <v>-0.332475609076346</v>
      </c>
      <c r="I295" s="50" t="n">
        <v>2</v>
      </c>
      <c r="J295" s="62" t="n">
        <v>46355</v>
      </c>
      <c r="K295" s="34" t="s">
        <v>252</v>
      </c>
      <c r="L295" s="34" t="s">
        <v>110</v>
      </c>
      <c r="M295" s="36" t="n">
        <v>0.39707758467641</v>
      </c>
      <c r="N295" s="37" t="n">
        <v>2.51839952339523</v>
      </c>
      <c r="O295" s="50" t="s">
        <v>285</v>
      </c>
    </row>
    <row r="296" customFormat="false" ht="18.75" hidden="false" customHeight="true" outlineLevel="0" collapsed="false">
      <c r="A296" s="35" t="n">
        <v>37</v>
      </c>
      <c r="B296" s="53" t="s">
        <v>296</v>
      </c>
      <c r="C296" s="61" t="n">
        <v>250</v>
      </c>
      <c r="D296" s="32" t="n">
        <v>6</v>
      </c>
      <c r="E296" s="36" t="n">
        <v>0.00390811819440795</v>
      </c>
      <c r="F296" s="37" t="n">
        <v>255.877624538296</v>
      </c>
      <c r="G296" s="37" t="n">
        <v>170.804555470917</v>
      </c>
      <c r="H296" s="57" t="n">
        <v>-0.332475609076346</v>
      </c>
      <c r="I296" s="50" t="n">
        <v>3</v>
      </c>
      <c r="J296" s="62" t="n">
        <v>46355</v>
      </c>
      <c r="K296" s="34" t="s">
        <v>248</v>
      </c>
      <c r="L296" s="34" t="s">
        <v>170</v>
      </c>
      <c r="M296" s="36" t="n">
        <v>0.402880893342012</v>
      </c>
      <c r="N296" s="37" t="n">
        <v>2.48212316971578</v>
      </c>
      <c r="O296" s="50" t="s">
        <v>288</v>
      </c>
    </row>
    <row r="297" customFormat="false" ht="18.75" hidden="false" customHeight="true" outlineLevel="0" collapsed="false">
      <c r="A297" s="35" t="n">
        <v>37</v>
      </c>
      <c r="B297" s="53" t="s">
        <v>296</v>
      </c>
      <c r="C297" s="61" t="n">
        <v>250</v>
      </c>
      <c r="D297" s="32" t="n">
        <v>6</v>
      </c>
      <c r="E297" s="36" t="n">
        <v>0.00390811819440795</v>
      </c>
      <c r="F297" s="37" t="n">
        <v>255.877624538296</v>
      </c>
      <c r="G297" s="37" t="n">
        <v>170.804555470917</v>
      </c>
      <c r="H297" s="57" t="n">
        <v>-0.332475609076346</v>
      </c>
      <c r="I297" s="50" t="n">
        <v>4</v>
      </c>
      <c r="J297" s="62" t="n">
        <v>46355</v>
      </c>
      <c r="K297" s="34" t="s">
        <v>250</v>
      </c>
      <c r="L297" s="34" t="s">
        <v>159</v>
      </c>
      <c r="M297" s="36" t="n">
        <v>0.404609586629925</v>
      </c>
      <c r="N297" s="37" t="n">
        <v>2.47151830565658</v>
      </c>
      <c r="O297" s="50" t="s">
        <v>285</v>
      </c>
    </row>
    <row r="298" customFormat="false" ht="18.75" hidden="false" customHeight="true" outlineLevel="0" collapsed="false">
      <c r="A298" s="35" t="n">
        <v>37</v>
      </c>
      <c r="B298" s="53" t="s">
        <v>296</v>
      </c>
      <c r="C298" s="61" t="n">
        <v>250</v>
      </c>
      <c r="D298" s="32" t="n">
        <v>6</v>
      </c>
      <c r="E298" s="36" t="n">
        <v>0.00390811819440795</v>
      </c>
      <c r="F298" s="37" t="n">
        <v>255.877624538296</v>
      </c>
      <c r="G298" s="37" t="n">
        <v>170.804555470917</v>
      </c>
      <c r="H298" s="57" t="n">
        <v>-0.332475609076346</v>
      </c>
      <c r="I298" s="50" t="n">
        <v>5</v>
      </c>
      <c r="J298" s="62" t="n">
        <v>46355</v>
      </c>
      <c r="K298" s="34" t="s">
        <v>247</v>
      </c>
      <c r="L298" s="34" t="s">
        <v>159</v>
      </c>
      <c r="M298" s="36" t="n">
        <v>0.391439893054605</v>
      </c>
      <c r="N298" s="37" t="n">
        <v>2.55467063460623</v>
      </c>
      <c r="O298" s="50" t="s">
        <v>285</v>
      </c>
    </row>
    <row r="299" customFormat="false" ht="18.75" hidden="false" customHeight="true" outlineLevel="0" collapsed="false">
      <c r="A299" s="35" t="n">
        <v>37</v>
      </c>
      <c r="B299" s="53" t="s">
        <v>296</v>
      </c>
      <c r="C299" s="61" t="n">
        <v>250</v>
      </c>
      <c r="D299" s="32" t="n">
        <v>6</v>
      </c>
      <c r="E299" s="36" t="n">
        <v>0.00390811819440795</v>
      </c>
      <c r="F299" s="37" t="n">
        <v>255.877624538296</v>
      </c>
      <c r="G299" s="37" t="n">
        <v>170.804555470917</v>
      </c>
      <c r="H299" s="57" t="n">
        <v>-0.332475609076346</v>
      </c>
      <c r="I299" s="50" t="n">
        <v>6</v>
      </c>
      <c r="J299" s="62" t="n">
        <v>46355</v>
      </c>
      <c r="K299" s="34" t="s">
        <v>249</v>
      </c>
      <c r="L299" s="34" t="s">
        <v>168</v>
      </c>
      <c r="M299" s="36" t="n">
        <v>0.387317358672917</v>
      </c>
      <c r="N299" s="37" t="n">
        <v>2.58186207668653</v>
      </c>
      <c r="O299" s="50" t="s">
        <v>285</v>
      </c>
    </row>
    <row r="300" customFormat="false" ht="18.75" hidden="false" customHeight="true" outlineLevel="0" collapsed="false">
      <c r="A300" s="42" t="n">
        <v>38</v>
      </c>
      <c r="B300" s="54" t="s">
        <v>284</v>
      </c>
      <c r="C300" s="59" t="n">
        <v>1.5</v>
      </c>
      <c r="D300" s="39" t="n">
        <v>2</v>
      </c>
      <c r="E300" s="43" t="n">
        <v>0.668922637984406</v>
      </c>
      <c r="F300" s="44" t="n">
        <v>1.49494118335297</v>
      </c>
      <c r="G300" s="44" t="n">
        <v>1.30651124678731</v>
      </c>
      <c r="H300" s="58" t="n">
        <v>-0.126045050242739</v>
      </c>
      <c r="I300" s="51" t="n">
        <v>1</v>
      </c>
      <c r="J300" s="60" t="n">
        <v>46358</v>
      </c>
      <c r="K300" s="41" t="s">
        <v>257</v>
      </c>
      <c r="L300" s="41" t="s">
        <v>86</v>
      </c>
      <c r="M300" s="43" t="n">
        <v>0.817713471977819</v>
      </c>
      <c r="N300" s="44" t="n">
        <v>1.22292225121506</v>
      </c>
      <c r="O300" s="51" t="s">
        <v>285</v>
      </c>
    </row>
    <row r="301" customFormat="false" ht="18.75" hidden="false" customHeight="true" outlineLevel="0" collapsed="false">
      <c r="A301" s="42" t="n">
        <v>38</v>
      </c>
      <c r="B301" s="54" t="s">
        <v>284</v>
      </c>
      <c r="C301" s="59" t="n">
        <v>1.5</v>
      </c>
      <c r="D301" s="39" t="n">
        <v>2</v>
      </c>
      <c r="E301" s="43" t="n">
        <v>0.668922637984406</v>
      </c>
      <c r="F301" s="44" t="n">
        <v>1.49494118335297</v>
      </c>
      <c r="G301" s="44" t="n">
        <v>1.30651124678731</v>
      </c>
      <c r="H301" s="58" t="n">
        <v>-0.126045050242739</v>
      </c>
      <c r="I301" s="51" t="n">
        <v>2</v>
      </c>
      <c r="J301" s="60" t="n">
        <v>46358</v>
      </c>
      <c r="K301" s="41" t="s">
        <v>254</v>
      </c>
      <c r="L301" s="41" t="s">
        <v>86</v>
      </c>
      <c r="M301" s="43" t="n">
        <v>0.818040378332609</v>
      </c>
      <c r="N301" s="44" t="n">
        <v>1.22243354544219</v>
      </c>
      <c r="O301" s="51" t="s">
        <v>285</v>
      </c>
    </row>
    <row r="302" customFormat="false" ht="18.75" hidden="false" customHeight="true" outlineLevel="0" collapsed="false">
      <c r="A302" s="35" t="n">
        <v>38</v>
      </c>
      <c r="B302" s="53" t="s">
        <v>286</v>
      </c>
      <c r="C302" s="61" t="n">
        <v>2</v>
      </c>
      <c r="D302" s="32" t="n">
        <v>2</v>
      </c>
      <c r="E302" s="36" t="n">
        <v>0.497185252269388</v>
      </c>
      <c r="F302" s="37" t="n">
        <v>2.01132273219193</v>
      </c>
      <c r="G302" s="37" t="n">
        <v>1.75780545735844</v>
      </c>
      <c r="H302" s="57" t="n">
        <v>-0.126045050242739</v>
      </c>
      <c r="I302" s="50" t="n">
        <v>1</v>
      </c>
      <c r="J302" s="62" t="n">
        <v>46358</v>
      </c>
      <c r="K302" s="34" t="s">
        <v>262</v>
      </c>
      <c r="L302" s="34" t="s">
        <v>149</v>
      </c>
      <c r="M302" s="36" t="n">
        <v>0.705412093948449</v>
      </c>
      <c r="N302" s="37" t="n">
        <v>1.41761107950763</v>
      </c>
      <c r="O302" s="50" t="s">
        <v>288</v>
      </c>
    </row>
    <row r="303" customFormat="false" ht="18.75" hidden="false" customHeight="true" outlineLevel="0" collapsed="false">
      <c r="A303" s="35" t="n">
        <v>38</v>
      </c>
      <c r="B303" s="53" t="s">
        <v>286</v>
      </c>
      <c r="C303" s="61" t="n">
        <v>2</v>
      </c>
      <c r="D303" s="32" t="n">
        <v>2</v>
      </c>
      <c r="E303" s="36" t="n">
        <v>0.497185252269388</v>
      </c>
      <c r="F303" s="37" t="n">
        <v>2.01132273219193</v>
      </c>
      <c r="G303" s="37" t="n">
        <v>1.75780545735844</v>
      </c>
      <c r="H303" s="57" t="n">
        <v>-0.126045050242739</v>
      </c>
      <c r="I303" s="50" t="n">
        <v>2</v>
      </c>
      <c r="J303" s="62" t="n">
        <v>46358</v>
      </c>
      <c r="K303" s="34" t="s">
        <v>254</v>
      </c>
      <c r="L303" s="34" t="s">
        <v>154</v>
      </c>
      <c r="M303" s="36" t="n">
        <v>0.704815322184881</v>
      </c>
      <c r="N303" s="37" t="n">
        <v>1.41881138012163</v>
      </c>
      <c r="O303" s="50" t="s">
        <v>285</v>
      </c>
    </row>
    <row r="304" customFormat="false" ht="18.75" hidden="false" customHeight="true" outlineLevel="0" collapsed="false">
      <c r="A304" s="42" t="n">
        <v>38</v>
      </c>
      <c r="B304" s="54" t="s">
        <v>287</v>
      </c>
      <c r="C304" s="59" t="n">
        <v>3</v>
      </c>
      <c r="D304" s="39" t="n">
        <v>2</v>
      </c>
      <c r="E304" s="43" t="n">
        <v>0.332878697061595</v>
      </c>
      <c r="F304" s="44" t="n">
        <v>3.00409731480944</v>
      </c>
      <c r="G304" s="44" t="n">
        <v>2.6254457178302</v>
      </c>
      <c r="H304" s="58" t="n">
        <v>-0.126045050242739</v>
      </c>
      <c r="I304" s="51" t="n">
        <v>1</v>
      </c>
      <c r="J304" s="60" t="n">
        <v>46358</v>
      </c>
      <c r="K304" s="41" t="s">
        <v>263</v>
      </c>
      <c r="L304" s="41" t="s">
        <v>149</v>
      </c>
      <c r="M304" s="43" t="n">
        <v>0.577084824733829</v>
      </c>
      <c r="N304" s="44" t="n">
        <v>1.73284750722952</v>
      </c>
      <c r="O304" s="51" t="s">
        <v>288</v>
      </c>
    </row>
    <row r="305" customFormat="false" ht="18.75" hidden="false" customHeight="true" outlineLevel="0" collapsed="false">
      <c r="A305" s="42" t="n">
        <v>38</v>
      </c>
      <c r="B305" s="54" t="s">
        <v>287</v>
      </c>
      <c r="C305" s="59" t="n">
        <v>3</v>
      </c>
      <c r="D305" s="39" t="n">
        <v>2</v>
      </c>
      <c r="E305" s="43" t="n">
        <v>0.332878697061595</v>
      </c>
      <c r="F305" s="44" t="n">
        <v>3.00409731480944</v>
      </c>
      <c r="G305" s="44" t="n">
        <v>2.6254457178302</v>
      </c>
      <c r="H305" s="58" t="n">
        <v>-0.126045050242739</v>
      </c>
      <c r="I305" s="51" t="n">
        <v>2</v>
      </c>
      <c r="J305" s="60" t="n">
        <v>46358</v>
      </c>
      <c r="K305" s="41" t="s">
        <v>258</v>
      </c>
      <c r="L305" s="41" t="s">
        <v>196</v>
      </c>
      <c r="M305" s="43" t="n">
        <v>0.576828020412995</v>
      </c>
      <c r="N305" s="44" t="n">
        <v>1.73361897240017</v>
      </c>
      <c r="O305" s="51" t="s">
        <v>288</v>
      </c>
    </row>
    <row r="306" customFormat="false" ht="18.75" hidden="false" customHeight="true" outlineLevel="0" collapsed="false">
      <c r="A306" s="35" t="n">
        <v>38</v>
      </c>
      <c r="B306" s="53" t="s">
        <v>289</v>
      </c>
      <c r="C306" s="61" t="n">
        <v>5</v>
      </c>
      <c r="D306" s="32" t="n">
        <v>2</v>
      </c>
      <c r="E306" s="36" t="n">
        <v>0.19975603709553</v>
      </c>
      <c r="F306" s="37" t="n">
        <v>5.00610652143528</v>
      </c>
      <c r="G306" s="37" t="n">
        <v>4.37511157342047</v>
      </c>
      <c r="H306" s="57" t="n">
        <v>-0.126045050242739</v>
      </c>
      <c r="I306" s="50" t="n">
        <v>1</v>
      </c>
      <c r="J306" s="62" t="n">
        <v>46358</v>
      </c>
      <c r="K306" s="34" t="s">
        <v>261</v>
      </c>
      <c r="L306" s="34" t="s">
        <v>175</v>
      </c>
      <c r="M306" s="36" t="n">
        <v>0.447760686849764</v>
      </c>
      <c r="N306" s="37" t="n">
        <v>2.23333586303777</v>
      </c>
      <c r="O306" s="50" t="s">
        <v>288</v>
      </c>
    </row>
    <row r="307" customFormat="false" ht="18.75" hidden="false" customHeight="true" outlineLevel="0" collapsed="false">
      <c r="A307" s="35" t="n">
        <v>38</v>
      </c>
      <c r="B307" s="53" t="s">
        <v>289</v>
      </c>
      <c r="C307" s="61" t="n">
        <v>5</v>
      </c>
      <c r="D307" s="32" t="n">
        <v>2</v>
      </c>
      <c r="E307" s="36" t="n">
        <v>0.19975603709553</v>
      </c>
      <c r="F307" s="37" t="n">
        <v>5.00610652143528</v>
      </c>
      <c r="G307" s="37" t="n">
        <v>4.37511157342047</v>
      </c>
      <c r="H307" s="57" t="n">
        <v>-0.126045050242739</v>
      </c>
      <c r="I307" s="50" t="n">
        <v>2</v>
      </c>
      <c r="J307" s="62" t="n">
        <v>46358</v>
      </c>
      <c r="K307" s="34" t="s">
        <v>254</v>
      </c>
      <c r="L307" s="34" t="s">
        <v>170</v>
      </c>
      <c r="M307" s="36" t="n">
        <v>0.446122321503749</v>
      </c>
      <c r="N307" s="37" t="n">
        <v>2.24153769448094</v>
      </c>
      <c r="O307" s="50" t="s">
        <v>288</v>
      </c>
    </row>
    <row r="308" customFormat="false" ht="18.75" hidden="false" customHeight="true" outlineLevel="0" collapsed="false">
      <c r="A308" s="42" t="n">
        <v>38</v>
      </c>
      <c r="B308" s="54" t="s">
        <v>290</v>
      </c>
      <c r="C308" s="59" t="n">
        <v>10</v>
      </c>
      <c r="D308" s="39" t="n">
        <v>3</v>
      </c>
      <c r="E308" s="43" t="n">
        <v>0.0999124377887596</v>
      </c>
      <c r="F308" s="44" t="n">
        <v>10.0087638949843</v>
      </c>
      <c r="G308" s="44" t="n">
        <v>8.17737687986663</v>
      </c>
      <c r="H308" s="58" t="n">
        <v>-0.182978341215085</v>
      </c>
      <c r="I308" s="51" t="n">
        <v>1</v>
      </c>
      <c r="J308" s="60" t="n">
        <v>46358</v>
      </c>
      <c r="K308" s="41" t="s">
        <v>260</v>
      </c>
      <c r="L308" s="41" t="s">
        <v>292</v>
      </c>
      <c r="M308" s="43" t="n">
        <v>0.46414672170439</v>
      </c>
      <c r="N308" s="44" t="n">
        <v>2.15449114092179</v>
      </c>
      <c r="O308" s="51" t="s">
        <v>285</v>
      </c>
    </row>
    <row r="309" customFormat="false" ht="18.75" hidden="false" customHeight="true" outlineLevel="0" collapsed="false">
      <c r="A309" s="42" t="n">
        <v>38</v>
      </c>
      <c r="B309" s="54" t="s">
        <v>290</v>
      </c>
      <c r="C309" s="59" t="n">
        <v>10</v>
      </c>
      <c r="D309" s="39" t="n">
        <v>3</v>
      </c>
      <c r="E309" s="43" t="n">
        <v>0.0999124377887596</v>
      </c>
      <c r="F309" s="44" t="n">
        <v>10.0087638949843</v>
      </c>
      <c r="G309" s="44" t="n">
        <v>8.17737687986663</v>
      </c>
      <c r="H309" s="58" t="n">
        <v>-0.182978341215085</v>
      </c>
      <c r="I309" s="51" t="n">
        <v>2</v>
      </c>
      <c r="J309" s="60" t="n">
        <v>46358</v>
      </c>
      <c r="K309" s="41" t="s">
        <v>262</v>
      </c>
      <c r="L309" s="41" t="s">
        <v>150</v>
      </c>
      <c r="M309" s="43" t="n">
        <v>0.465119027597924</v>
      </c>
      <c r="N309" s="44" t="n">
        <v>2.14998729500367</v>
      </c>
      <c r="O309" s="51" t="s">
        <v>285</v>
      </c>
    </row>
    <row r="310" customFormat="false" ht="18.75" hidden="false" customHeight="true" outlineLevel="0" collapsed="false">
      <c r="A310" s="42" t="n">
        <v>38</v>
      </c>
      <c r="B310" s="54" t="s">
        <v>290</v>
      </c>
      <c r="C310" s="59" t="n">
        <v>10</v>
      </c>
      <c r="D310" s="39" t="n">
        <v>3</v>
      </c>
      <c r="E310" s="43" t="n">
        <v>0.0999124377887596</v>
      </c>
      <c r="F310" s="44" t="n">
        <v>10.0087638949843</v>
      </c>
      <c r="G310" s="44" t="n">
        <v>8.17737687986663</v>
      </c>
      <c r="H310" s="58" t="n">
        <v>-0.182978341215085</v>
      </c>
      <c r="I310" s="51" t="n">
        <v>3</v>
      </c>
      <c r="J310" s="60" t="n">
        <v>46358</v>
      </c>
      <c r="K310" s="41" t="s">
        <v>254</v>
      </c>
      <c r="L310" s="41" t="s">
        <v>143</v>
      </c>
      <c r="M310" s="43" t="n">
        <v>0.462807258596752</v>
      </c>
      <c r="N310" s="44" t="n">
        <v>2.16072669869534</v>
      </c>
      <c r="O310" s="51" t="s">
        <v>285</v>
      </c>
    </row>
    <row r="311" customFormat="false" ht="18.75" hidden="false" customHeight="true" outlineLevel="0" collapsed="false">
      <c r="A311" s="35" t="n">
        <v>38</v>
      </c>
      <c r="B311" s="53" t="s">
        <v>293</v>
      </c>
      <c r="C311" s="61" t="n">
        <v>25</v>
      </c>
      <c r="D311" s="32" t="n">
        <v>4</v>
      </c>
      <c r="E311" s="36" t="n">
        <v>0.0399770751111906</v>
      </c>
      <c r="F311" s="37" t="n">
        <v>25.0143362719419</v>
      </c>
      <c r="G311" s="37" t="n">
        <v>19.1058813602752</v>
      </c>
      <c r="H311" s="57" t="n">
        <v>-0.236202745794783</v>
      </c>
      <c r="I311" s="50" t="n">
        <v>1</v>
      </c>
      <c r="J311" s="62" t="n">
        <v>46358</v>
      </c>
      <c r="K311" s="34" t="s">
        <v>261</v>
      </c>
      <c r="L311" s="34" t="s">
        <v>175</v>
      </c>
      <c r="M311" s="36" t="n">
        <v>0.447760686849764</v>
      </c>
      <c r="N311" s="37" t="n">
        <v>2.23333586303777</v>
      </c>
      <c r="O311" s="50" t="s">
        <v>288</v>
      </c>
    </row>
    <row r="312" customFormat="false" ht="18.75" hidden="false" customHeight="true" outlineLevel="0" collapsed="false">
      <c r="A312" s="35" t="n">
        <v>38</v>
      </c>
      <c r="B312" s="53" t="s">
        <v>293</v>
      </c>
      <c r="C312" s="61" t="n">
        <v>25</v>
      </c>
      <c r="D312" s="32" t="n">
        <v>4</v>
      </c>
      <c r="E312" s="36" t="n">
        <v>0.0399770751111906</v>
      </c>
      <c r="F312" s="37" t="n">
        <v>25.0143362719419</v>
      </c>
      <c r="G312" s="37" t="n">
        <v>19.1058813602752</v>
      </c>
      <c r="H312" s="57" t="n">
        <v>-0.236202745794783</v>
      </c>
      <c r="I312" s="50" t="n">
        <v>2</v>
      </c>
      <c r="J312" s="62" t="n">
        <v>46358</v>
      </c>
      <c r="K312" s="34" t="s">
        <v>254</v>
      </c>
      <c r="L312" s="34" t="s">
        <v>170</v>
      </c>
      <c r="M312" s="36" t="n">
        <v>0.446122321503749</v>
      </c>
      <c r="N312" s="37" t="n">
        <v>2.24153769448094</v>
      </c>
      <c r="O312" s="50" t="s">
        <v>288</v>
      </c>
    </row>
    <row r="313" customFormat="false" ht="18.75" hidden="false" customHeight="true" outlineLevel="0" collapsed="false">
      <c r="A313" s="35" t="n">
        <v>38</v>
      </c>
      <c r="B313" s="53" t="s">
        <v>293</v>
      </c>
      <c r="C313" s="61" t="n">
        <v>25</v>
      </c>
      <c r="D313" s="32" t="n">
        <v>4</v>
      </c>
      <c r="E313" s="36" t="n">
        <v>0.0399770751111906</v>
      </c>
      <c r="F313" s="37" t="n">
        <v>25.0143362719419</v>
      </c>
      <c r="G313" s="37" t="n">
        <v>19.1058813602752</v>
      </c>
      <c r="H313" s="57" t="n">
        <v>-0.236202745794783</v>
      </c>
      <c r="I313" s="50" t="n">
        <v>3</v>
      </c>
      <c r="J313" s="62" t="n">
        <v>46358</v>
      </c>
      <c r="K313" s="34" t="s">
        <v>258</v>
      </c>
      <c r="L313" s="34" t="s">
        <v>175</v>
      </c>
      <c r="M313" s="36" t="n">
        <v>0.445685813158527</v>
      </c>
      <c r="N313" s="37" t="n">
        <v>2.24373307490564</v>
      </c>
      <c r="O313" s="50" t="s">
        <v>288</v>
      </c>
    </row>
    <row r="314" customFormat="false" ht="18.75" hidden="false" customHeight="true" outlineLevel="0" collapsed="false">
      <c r="A314" s="35" t="n">
        <v>38</v>
      </c>
      <c r="B314" s="53" t="s">
        <v>293</v>
      </c>
      <c r="C314" s="61" t="n">
        <v>25</v>
      </c>
      <c r="D314" s="32" t="n">
        <v>4</v>
      </c>
      <c r="E314" s="36" t="n">
        <v>0.0399770751111906</v>
      </c>
      <c r="F314" s="37" t="n">
        <v>25.0143362719419</v>
      </c>
      <c r="G314" s="37" t="n">
        <v>19.1058813602752</v>
      </c>
      <c r="H314" s="57" t="n">
        <v>-0.236202745794783</v>
      </c>
      <c r="I314" s="50" t="n">
        <v>4</v>
      </c>
      <c r="J314" s="62" t="n">
        <v>46358</v>
      </c>
      <c r="K314" s="34" t="s">
        <v>260</v>
      </c>
      <c r="L314" s="34" t="s">
        <v>159</v>
      </c>
      <c r="M314" s="36" t="n">
        <v>0.449037170386339</v>
      </c>
      <c r="N314" s="37" t="n">
        <v>2.22698713146537</v>
      </c>
      <c r="O314" s="50" t="s">
        <v>285</v>
      </c>
    </row>
    <row r="315" customFormat="false" ht="18.75" hidden="false" customHeight="true" outlineLevel="0" collapsed="false">
      <c r="A315" s="42" t="n">
        <v>38</v>
      </c>
      <c r="B315" s="54" t="s">
        <v>294</v>
      </c>
      <c r="C315" s="59" t="n">
        <v>50</v>
      </c>
      <c r="D315" s="39" t="n">
        <v>4</v>
      </c>
      <c r="E315" s="43" t="n">
        <v>0.0195620838344866</v>
      </c>
      <c r="F315" s="44" t="n">
        <v>51.1192983559895</v>
      </c>
      <c r="G315" s="44" t="n">
        <v>39.044779721202</v>
      </c>
      <c r="H315" s="58" t="n">
        <v>-0.236202745794783</v>
      </c>
      <c r="I315" s="51" t="n">
        <v>1</v>
      </c>
      <c r="J315" s="60" t="n">
        <v>46358</v>
      </c>
      <c r="K315" s="41" t="s">
        <v>262</v>
      </c>
      <c r="L315" s="41" t="s">
        <v>156</v>
      </c>
      <c r="M315" s="43" t="n">
        <v>0.374165290210954</v>
      </c>
      <c r="N315" s="44" t="n">
        <v>2.6726156224598</v>
      </c>
      <c r="O315" s="51" t="s">
        <v>285</v>
      </c>
    </row>
    <row r="316" customFormat="false" ht="18.75" hidden="false" customHeight="true" outlineLevel="0" collapsed="false">
      <c r="A316" s="42" t="n">
        <v>38</v>
      </c>
      <c r="B316" s="54" t="s">
        <v>294</v>
      </c>
      <c r="C316" s="59" t="n">
        <v>50</v>
      </c>
      <c r="D316" s="39" t="n">
        <v>4</v>
      </c>
      <c r="E316" s="43" t="n">
        <v>0.0195620838344866</v>
      </c>
      <c r="F316" s="44" t="n">
        <v>51.1192983559895</v>
      </c>
      <c r="G316" s="44" t="n">
        <v>39.044779721202</v>
      </c>
      <c r="H316" s="58" t="n">
        <v>-0.236202745794783</v>
      </c>
      <c r="I316" s="51" t="n">
        <v>2</v>
      </c>
      <c r="J316" s="60" t="n">
        <v>46358</v>
      </c>
      <c r="K316" s="41" t="s">
        <v>257</v>
      </c>
      <c r="L316" s="41" t="s">
        <v>159</v>
      </c>
      <c r="M316" s="43" t="n">
        <v>0.370504249064768</v>
      </c>
      <c r="N316" s="44" t="n">
        <v>2.69902437697871</v>
      </c>
      <c r="O316" s="51" t="s">
        <v>285</v>
      </c>
    </row>
    <row r="317" customFormat="false" ht="18.75" hidden="false" customHeight="true" outlineLevel="0" collapsed="false">
      <c r="A317" s="42" t="n">
        <v>38</v>
      </c>
      <c r="B317" s="54" t="s">
        <v>294</v>
      </c>
      <c r="C317" s="59" t="n">
        <v>50</v>
      </c>
      <c r="D317" s="39" t="n">
        <v>4</v>
      </c>
      <c r="E317" s="43" t="n">
        <v>0.0195620838344866</v>
      </c>
      <c r="F317" s="44" t="n">
        <v>51.1192983559895</v>
      </c>
      <c r="G317" s="44" t="n">
        <v>39.044779721202</v>
      </c>
      <c r="H317" s="58" t="n">
        <v>-0.236202745794783</v>
      </c>
      <c r="I317" s="51" t="n">
        <v>3</v>
      </c>
      <c r="J317" s="60" t="n">
        <v>46358</v>
      </c>
      <c r="K317" s="41" t="s">
        <v>261</v>
      </c>
      <c r="L317" s="41" t="s">
        <v>152</v>
      </c>
      <c r="M317" s="43" t="n">
        <v>0.38193261084985</v>
      </c>
      <c r="N317" s="44" t="n">
        <v>2.6182629385191</v>
      </c>
      <c r="O317" s="51" t="s">
        <v>285</v>
      </c>
    </row>
    <row r="318" customFormat="false" ht="18.75" hidden="false" customHeight="true" outlineLevel="0" collapsed="false">
      <c r="A318" s="42" t="n">
        <v>38</v>
      </c>
      <c r="B318" s="54" t="s">
        <v>294</v>
      </c>
      <c r="C318" s="59" t="n">
        <v>50</v>
      </c>
      <c r="D318" s="39" t="n">
        <v>4</v>
      </c>
      <c r="E318" s="43" t="n">
        <v>0.0195620838344866</v>
      </c>
      <c r="F318" s="44" t="n">
        <v>51.1192983559895</v>
      </c>
      <c r="G318" s="44" t="n">
        <v>39.044779721202</v>
      </c>
      <c r="H318" s="58" t="n">
        <v>-0.236202745794783</v>
      </c>
      <c r="I318" s="51" t="n">
        <v>4</v>
      </c>
      <c r="J318" s="60" t="n">
        <v>46358</v>
      </c>
      <c r="K318" s="41" t="s">
        <v>264</v>
      </c>
      <c r="L318" s="41" t="s">
        <v>163</v>
      </c>
      <c r="M318" s="43" t="n">
        <v>0.369463622295147</v>
      </c>
      <c r="N318" s="44" t="n">
        <v>2.70662641639222</v>
      </c>
      <c r="O318" s="51" t="s">
        <v>288</v>
      </c>
    </row>
    <row r="319" customFormat="false" ht="18.75" hidden="false" customHeight="true" outlineLevel="0" collapsed="false">
      <c r="A319" s="35" t="n">
        <v>38</v>
      </c>
      <c r="B319" s="53" t="s">
        <v>295</v>
      </c>
      <c r="C319" s="61" t="n">
        <v>100</v>
      </c>
      <c r="D319" s="32" t="n">
        <v>5</v>
      </c>
      <c r="E319" s="36" t="n">
        <v>0.00996282909034003</v>
      </c>
      <c r="F319" s="37" t="n">
        <v>100.373095928104</v>
      </c>
      <c r="G319" s="37" t="n">
        <v>71.6704177376985</v>
      </c>
      <c r="H319" s="57" t="n">
        <v>-0.285959877246035</v>
      </c>
      <c r="I319" s="50" t="n">
        <v>1</v>
      </c>
      <c r="J319" s="62" t="n">
        <v>46358</v>
      </c>
      <c r="K319" s="34" t="s">
        <v>261</v>
      </c>
      <c r="L319" s="34" t="s">
        <v>146</v>
      </c>
      <c r="M319" s="36" t="n">
        <v>0.398300924101718</v>
      </c>
      <c r="N319" s="37" t="n">
        <v>2.5106645239533</v>
      </c>
      <c r="O319" s="50" t="s">
        <v>285</v>
      </c>
    </row>
    <row r="320" customFormat="false" ht="18.75" hidden="false" customHeight="true" outlineLevel="0" collapsed="false">
      <c r="A320" s="35" t="n">
        <v>38</v>
      </c>
      <c r="B320" s="53" t="s">
        <v>295</v>
      </c>
      <c r="C320" s="61" t="n">
        <v>100</v>
      </c>
      <c r="D320" s="32" t="n">
        <v>5</v>
      </c>
      <c r="E320" s="36" t="n">
        <v>0.00996282909034003</v>
      </c>
      <c r="F320" s="37" t="n">
        <v>100.373095928104</v>
      </c>
      <c r="G320" s="37" t="n">
        <v>71.6704177376985</v>
      </c>
      <c r="H320" s="57" t="n">
        <v>-0.285959877246035</v>
      </c>
      <c r="I320" s="50" t="n">
        <v>2</v>
      </c>
      <c r="J320" s="62" t="n">
        <v>46358</v>
      </c>
      <c r="K320" s="34" t="s">
        <v>257</v>
      </c>
      <c r="L320" s="34" t="s">
        <v>168</v>
      </c>
      <c r="M320" s="36" t="n">
        <v>0.399605918556906</v>
      </c>
      <c r="N320" s="37" t="n">
        <v>2.50246543797773</v>
      </c>
      <c r="O320" s="50" t="s">
        <v>285</v>
      </c>
    </row>
    <row r="321" customFormat="false" ht="18.75" hidden="false" customHeight="true" outlineLevel="0" collapsed="false">
      <c r="A321" s="35" t="n">
        <v>38</v>
      </c>
      <c r="B321" s="53" t="s">
        <v>295</v>
      </c>
      <c r="C321" s="61" t="n">
        <v>100</v>
      </c>
      <c r="D321" s="32" t="n">
        <v>5</v>
      </c>
      <c r="E321" s="36" t="n">
        <v>0.00996282909034003</v>
      </c>
      <c r="F321" s="37" t="n">
        <v>100.373095928104</v>
      </c>
      <c r="G321" s="37" t="n">
        <v>71.6704177376985</v>
      </c>
      <c r="H321" s="57" t="n">
        <v>-0.285959877246035</v>
      </c>
      <c r="I321" s="50" t="n">
        <v>3</v>
      </c>
      <c r="J321" s="62" t="n">
        <v>46358</v>
      </c>
      <c r="K321" s="34" t="s">
        <v>263</v>
      </c>
      <c r="L321" s="34" t="s">
        <v>143</v>
      </c>
      <c r="M321" s="36" t="n">
        <v>0.399649821232921</v>
      </c>
      <c r="N321" s="37" t="n">
        <v>2.50219053499135</v>
      </c>
      <c r="O321" s="50" t="s">
        <v>285</v>
      </c>
    </row>
    <row r="322" customFormat="false" ht="18.75" hidden="false" customHeight="true" outlineLevel="0" collapsed="false">
      <c r="A322" s="35" t="n">
        <v>38</v>
      </c>
      <c r="B322" s="53" t="s">
        <v>295</v>
      </c>
      <c r="C322" s="61" t="n">
        <v>100</v>
      </c>
      <c r="D322" s="32" t="n">
        <v>5</v>
      </c>
      <c r="E322" s="36" t="n">
        <v>0.00996282909034003</v>
      </c>
      <c r="F322" s="37" t="n">
        <v>100.373095928104</v>
      </c>
      <c r="G322" s="37" t="n">
        <v>71.6704177376985</v>
      </c>
      <c r="H322" s="57" t="n">
        <v>-0.285959877246035</v>
      </c>
      <c r="I322" s="50" t="n">
        <v>4</v>
      </c>
      <c r="J322" s="62" t="n">
        <v>46358</v>
      </c>
      <c r="K322" s="34" t="s">
        <v>254</v>
      </c>
      <c r="L322" s="34" t="s">
        <v>158</v>
      </c>
      <c r="M322" s="36" t="n">
        <v>0.39617504751584</v>
      </c>
      <c r="N322" s="37" t="n">
        <v>2.52413675790628</v>
      </c>
      <c r="O322" s="50" t="s">
        <v>288</v>
      </c>
    </row>
    <row r="323" customFormat="false" ht="18.75" hidden="false" customHeight="true" outlineLevel="0" collapsed="false">
      <c r="A323" s="35" t="n">
        <v>38</v>
      </c>
      <c r="B323" s="53" t="s">
        <v>295</v>
      </c>
      <c r="C323" s="61" t="n">
        <v>100</v>
      </c>
      <c r="D323" s="32" t="n">
        <v>5</v>
      </c>
      <c r="E323" s="36" t="n">
        <v>0.00996282909034003</v>
      </c>
      <c r="F323" s="37" t="n">
        <v>100.373095928104</v>
      </c>
      <c r="G323" s="37" t="n">
        <v>71.6704177376985</v>
      </c>
      <c r="H323" s="57" t="n">
        <v>-0.285959877246035</v>
      </c>
      <c r="I323" s="50" t="n">
        <v>5</v>
      </c>
      <c r="J323" s="62" t="n">
        <v>46358</v>
      </c>
      <c r="K323" s="34" t="s">
        <v>256</v>
      </c>
      <c r="L323" s="34" t="s">
        <v>159</v>
      </c>
      <c r="M323" s="36" t="n">
        <v>0.395341779254155</v>
      </c>
      <c r="N323" s="37" t="n">
        <v>2.5294569217718</v>
      </c>
      <c r="O323" s="50" t="s">
        <v>285</v>
      </c>
    </row>
    <row r="324" customFormat="false" ht="18.75" hidden="false" customHeight="true" outlineLevel="0" collapsed="false">
      <c r="A324" s="42" t="n">
        <v>38</v>
      </c>
      <c r="B324" s="54" t="s">
        <v>296</v>
      </c>
      <c r="C324" s="59" t="n">
        <v>250</v>
      </c>
      <c r="D324" s="39" t="n">
        <v>6</v>
      </c>
      <c r="E324" s="43" t="n">
        <v>0.00392937498046792</v>
      </c>
      <c r="F324" s="44" t="n">
        <v>254.493400342494</v>
      </c>
      <c r="G324" s="44" t="n">
        <v>169.880552057713</v>
      </c>
      <c r="H324" s="58" t="n">
        <v>-0.332475609076346</v>
      </c>
      <c r="I324" s="51" t="n">
        <v>1</v>
      </c>
      <c r="J324" s="60" t="n">
        <v>46358</v>
      </c>
      <c r="K324" s="41" t="s">
        <v>261</v>
      </c>
      <c r="L324" s="41" t="s">
        <v>146</v>
      </c>
      <c r="M324" s="43" t="n">
        <v>0.398300924101718</v>
      </c>
      <c r="N324" s="44" t="n">
        <v>2.5106645239533</v>
      </c>
      <c r="O324" s="51" t="s">
        <v>285</v>
      </c>
    </row>
    <row r="325" customFormat="false" ht="18.75" hidden="false" customHeight="true" outlineLevel="0" collapsed="false">
      <c r="A325" s="42" t="n">
        <v>38</v>
      </c>
      <c r="B325" s="54" t="s">
        <v>296</v>
      </c>
      <c r="C325" s="59" t="n">
        <v>250</v>
      </c>
      <c r="D325" s="39" t="n">
        <v>6</v>
      </c>
      <c r="E325" s="43" t="n">
        <v>0.00392937498046792</v>
      </c>
      <c r="F325" s="44" t="n">
        <v>254.493400342494</v>
      </c>
      <c r="G325" s="44" t="n">
        <v>169.880552057713</v>
      </c>
      <c r="H325" s="58" t="n">
        <v>-0.332475609076346</v>
      </c>
      <c r="I325" s="51" t="n">
        <v>2</v>
      </c>
      <c r="J325" s="60" t="n">
        <v>46358</v>
      </c>
      <c r="K325" s="41" t="s">
        <v>257</v>
      </c>
      <c r="L325" s="41" t="s">
        <v>168</v>
      </c>
      <c r="M325" s="43" t="n">
        <v>0.399605918556906</v>
      </c>
      <c r="N325" s="44" t="n">
        <v>2.50246543797773</v>
      </c>
      <c r="O325" s="51" t="s">
        <v>285</v>
      </c>
    </row>
    <row r="326" customFormat="false" ht="18.75" hidden="false" customHeight="true" outlineLevel="0" collapsed="false">
      <c r="A326" s="42" t="n">
        <v>38</v>
      </c>
      <c r="B326" s="54" t="s">
        <v>296</v>
      </c>
      <c r="C326" s="59" t="n">
        <v>250</v>
      </c>
      <c r="D326" s="39" t="n">
        <v>6</v>
      </c>
      <c r="E326" s="43" t="n">
        <v>0.00392937498046792</v>
      </c>
      <c r="F326" s="44" t="n">
        <v>254.493400342494</v>
      </c>
      <c r="G326" s="44" t="n">
        <v>169.880552057713</v>
      </c>
      <c r="H326" s="58" t="n">
        <v>-0.332475609076346</v>
      </c>
      <c r="I326" s="51" t="n">
        <v>3</v>
      </c>
      <c r="J326" s="60" t="n">
        <v>46358</v>
      </c>
      <c r="K326" s="41" t="s">
        <v>263</v>
      </c>
      <c r="L326" s="41" t="s">
        <v>143</v>
      </c>
      <c r="M326" s="43" t="n">
        <v>0.399649821232921</v>
      </c>
      <c r="N326" s="44" t="n">
        <v>2.50219053499135</v>
      </c>
      <c r="O326" s="51" t="s">
        <v>285</v>
      </c>
    </row>
    <row r="327" customFormat="false" ht="18.75" hidden="false" customHeight="true" outlineLevel="0" collapsed="false">
      <c r="A327" s="42" t="n">
        <v>38</v>
      </c>
      <c r="B327" s="54" t="s">
        <v>296</v>
      </c>
      <c r="C327" s="59" t="n">
        <v>250</v>
      </c>
      <c r="D327" s="39" t="n">
        <v>6</v>
      </c>
      <c r="E327" s="43" t="n">
        <v>0.00392937498046792</v>
      </c>
      <c r="F327" s="44" t="n">
        <v>254.493400342494</v>
      </c>
      <c r="G327" s="44" t="n">
        <v>169.880552057713</v>
      </c>
      <c r="H327" s="58" t="n">
        <v>-0.332475609076346</v>
      </c>
      <c r="I327" s="51" t="n">
        <v>4</v>
      </c>
      <c r="J327" s="60" t="n">
        <v>46358</v>
      </c>
      <c r="K327" s="41" t="s">
        <v>254</v>
      </c>
      <c r="L327" s="41" t="s">
        <v>158</v>
      </c>
      <c r="M327" s="43" t="n">
        <v>0.39617504751584</v>
      </c>
      <c r="N327" s="44" t="n">
        <v>2.52413675790628</v>
      </c>
      <c r="O327" s="51" t="s">
        <v>288</v>
      </c>
    </row>
    <row r="328" customFormat="false" ht="18.75" hidden="false" customHeight="true" outlineLevel="0" collapsed="false">
      <c r="A328" s="42" t="n">
        <v>38</v>
      </c>
      <c r="B328" s="54" t="s">
        <v>296</v>
      </c>
      <c r="C328" s="59" t="n">
        <v>250</v>
      </c>
      <c r="D328" s="39" t="n">
        <v>6</v>
      </c>
      <c r="E328" s="43" t="n">
        <v>0.00392937498046792</v>
      </c>
      <c r="F328" s="44" t="n">
        <v>254.493400342494</v>
      </c>
      <c r="G328" s="44" t="n">
        <v>169.880552057713</v>
      </c>
      <c r="H328" s="58" t="n">
        <v>-0.332475609076346</v>
      </c>
      <c r="I328" s="51" t="n">
        <v>5</v>
      </c>
      <c r="J328" s="60" t="n">
        <v>46358</v>
      </c>
      <c r="K328" s="41" t="s">
        <v>256</v>
      </c>
      <c r="L328" s="41" t="s">
        <v>159</v>
      </c>
      <c r="M328" s="43" t="n">
        <v>0.395341779254155</v>
      </c>
      <c r="N328" s="44" t="n">
        <v>2.5294569217718</v>
      </c>
      <c r="O328" s="51" t="s">
        <v>285</v>
      </c>
    </row>
    <row r="329" customFormat="false" ht="18.75" hidden="false" customHeight="true" outlineLevel="0" collapsed="false">
      <c r="A329" s="42" t="n">
        <v>38</v>
      </c>
      <c r="B329" s="54" t="s">
        <v>296</v>
      </c>
      <c r="C329" s="59" t="n">
        <v>250</v>
      </c>
      <c r="D329" s="39" t="n">
        <v>6</v>
      </c>
      <c r="E329" s="43" t="n">
        <v>0.00392937498046792</v>
      </c>
      <c r="F329" s="44" t="n">
        <v>254.493400342494</v>
      </c>
      <c r="G329" s="44" t="n">
        <v>169.880552057713</v>
      </c>
      <c r="H329" s="58" t="n">
        <v>-0.332475609076346</v>
      </c>
      <c r="I329" s="51" t="n">
        <v>6</v>
      </c>
      <c r="J329" s="60" t="n">
        <v>46358</v>
      </c>
      <c r="K329" s="41" t="s">
        <v>260</v>
      </c>
      <c r="L329" s="41" t="s">
        <v>158</v>
      </c>
      <c r="M329" s="43" t="n">
        <v>0.394403531851997</v>
      </c>
      <c r="N329" s="44" t="n">
        <v>2.53547425223174</v>
      </c>
      <c r="O329" s="51" t="s">
        <v>288</v>
      </c>
    </row>
    <row r="331" customFormat="false" ht="15" hidden="false" customHeight="false" outlineLevel="0" collapsed="false">
      <c r="A331" s="22" t="s">
        <v>297</v>
      </c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</row>
  </sheetData>
  <autoFilter ref="A18:O329"/>
  <mergeCells count="6">
    <mergeCell ref="A2:O2"/>
    <mergeCell ref="A5:O5"/>
    <mergeCell ref="A17:C17"/>
    <mergeCell ref="D17:H17"/>
    <mergeCell ref="I17:N17"/>
    <mergeCell ref="A331:O331"/>
  </mergeCells>
  <conditionalFormatting sqref="E19:E329">
    <cfRule type="colorScale" priority="2">
      <colorScale>
        <cfvo type="num" val="0"/>
        <cfvo type="num" val="1"/>
        <color rgb="FFFFFFFF"/>
        <color rgb="FF9EC5F4"/>
      </colorScale>
    </cfRule>
  </conditionalFormatting>
  <conditionalFormatting sqref="M19:M329">
    <cfRule type="colorScale" priority="3">
      <colorScale>
        <cfvo type="num" val="0"/>
        <cfvo type="num" val="1"/>
        <color rgb="FFFFFFFF"/>
        <color rgb="FF9EC5F4"/>
      </colorScale>
    </cfRule>
  </conditionalFormatting>
  <conditionalFormatting sqref="O19:O329">
    <cfRule type="cellIs" priority="4" operator="equal" aboveAverage="0" equalAverage="0" bottom="0" percent="0" rank="0" text="" dxfId="138">
      <formula>"Média"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4E8C"/>
    <pageSetUpPr fitToPage="true"/>
  </sheetPr>
  <dimension ref="A1:P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4" min="3" style="0" width="18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7" min="7" style="0" width="8"/>
    <col collapsed="false" customWidth="true" hidden="false" outlineLevel="0" max="8" min="8" style="0" width="9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8"/>
    <col collapsed="false" customWidth="true" hidden="false" outlineLevel="0" max="12" min="12" style="0" width="9"/>
    <col collapsed="false" customWidth="true" hidden="false" outlineLevel="0" max="13" min="13" style="0" width="8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9"/>
  </cols>
  <sheetData>
    <row r="1" customFormat="false" ht="30" hidden="false" customHeight="true" outlineLevel="0" collapsed="false">
      <c r="A1" s="23" t="s">
        <v>298</v>
      </c>
    </row>
    <row r="2" customFormat="false" ht="15.75" hidden="false" customHeight="true" outlineLevel="0" collapsed="false">
      <c r="A2" s="24" t="s">
        <v>299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</row>
    <row r="4" customFormat="false" ht="19.5" hidden="false" customHeight="true" outlineLevel="0" collapsed="false">
      <c r="A4" s="25" t="s">
        <v>60</v>
      </c>
      <c r="B4" s="25"/>
      <c r="C4" s="25"/>
      <c r="D4" s="25"/>
      <c r="E4" s="26" t="s">
        <v>74</v>
      </c>
      <c r="F4" s="26"/>
      <c r="G4" s="63" t="s">
        <v>76</v>
      </c>
      <c r="H4" s="63"/>
      <c r="I4" s="26" t="s">
        <v>77</v>
      </c>
      <c r="J4" s="26"/>
      <c r="K4" s="63" t="s">
        <v>300</v>
      </c>
      <c r="L4" s="63"/>
      <c r="M4" s="26" t="s">
        <v>301</v>
      </c>
      <c r="N4" s="26"/>
      <c r="O4" s="63" t="s">
        <v>302</v>
      </c>
      <c r="P4" s="63"/>
    </row>
    <row r="5" customFormat="false" ht="27.75" hidden="false" customHeight="true" outlineLevel="0" collapsed="false">
      <c r="A5" s="31" t="s">
        <v>67</v>
      </c>
      <c r="B5" s="31" t="s">
        <v>68</v>
      </c>
      <c r="C5" s="31" t="s">
        <v>69</v>
      </c>
      <c r="D5" s="31" t="s">
        <v>70</v>
      </c>
      <c r="E5" s="31" t="s">
        <v>137</v>
      </c>
      <c r="F5" s="31" t="s">
        <v>138</v>
      </c>
      <c r="G5" s="31" t="s">
        <v>137</v>
      </c>
      <c r="H5" s="31" t="s">
        <v>138</v>
      </c>
      <c r="I5" s="31" t="s">
        <v>137</v>
      </c>
      <c r="J5" s="31" t="s">
        <v>138</v>
      </c>
      <c r="K5" s="31" t="s">
        <v>137</v>
      </c>
      <c r="L5" s="31" t="s">
        <v>138</v>
      </c>
      <c r="M5" s="31" t="s">
        <v>137</v>
      </c>
      <c r="N5" s="31" t="s">
        <v>138</v>
      </c>
      <c r="O5" s="31" t="s">
        <v>137</v>
      </c>
      <c r="P5" s="31" t="s">
        <v>138</v>
      </c>
    </row>
    <row r="6" customFormat="false" ht="18.75" hidden="false" customHeight="true" outlineLevel="0" collapsed="false">
      <c r="A6" s="35" t="n">
        <v>21</v>
      </c>
      <c r="B6" s="33" t="n">
        <v>46233</v>
      </c>
      <c r="C6" s="34" t="s">
        <v>83</v>
      </c>
      <c r="D6" s="34" t="s">
        <v>84</v>
      </c>
      <c r="E6" s="36" t="n">
        <v>0.354223598922765</v>
      </c>
      <c r="F6" s="37" t="n">
        <f aca="false">IFERROR(1/E6,"")</f>
        <v>2.82307560264509</v>
      </c>
      <c r="G6" s="36" t="n">
        <v>0.248614935152616</v>
      </c>
      <c r="H6" s="37" t="n">
        <f aca="false">IFERROR(1/G6,"")</f>
        <v>4.02228449946555</v>
      </c>
      <c r="I6" s="36" t="n">
        <v>0.397161465924619</v>
      </c>
      <c r="J6" s="37" t="n">
        <f aca="false">IFERROR(1/I6,"")</f>
        <v>2.51786763268167</v>
      </c>
      <c r="K6" s="36" t="n">
        <v>0.602838534075381</v>
      </c>
      <c r="L6" s="37" t="n">
        <f aca="false">IFERROR(1/K6,"")</f>
        <v>1.65881897635123</v>
      </c>
      <c r="M6" s="36" t="n">
        <v>0.751385064847384</v>
      </c>
      <c r="N6" s="37" t="n">
        <f aca="false">IFERROR(1/M6,"")</f>
        <v>1.33087553477406</v>
      </c>
      <c r="O6" s="36" t="n">
        <v>0.645776401077234</v>
      </c>
      <c r="P6" s="37" t="n">
        <f aca="false">IFERROR(1/O6,"")</f>
        <v>1.54852360403985</v>
      </c>
    </row>
    <row r="7" customFormat="false" ht="18.75" hidden="false" customHeight="true" outlineLevel="0" collapsed="false">
      <c r="A7" s="42" t="n">
        <v>21</v>
      </c>
      <c r="B7" s="40" t="n">
        <v>46297</v>
      </c>
      <c r="C7" s="41" t="s">
        <v>87</v>
      </c>
      <c r="D7" s="41" t="s">
        <v>88</v>
      </c>
      <c r="E7" s="43" t="n">
        <v>0.503638893384442</v>
      </c>
      <c r="F7" s="44" t="n">
        <f aca="false">IFERROR(1/E7,"")</f>
        <v>1.9855495934399</v>
      </c>
      <c r="G7" s="43" t="n">
        <v>0.258438234314728</v>
      </c>
      <c r="H7" s="44" t="n">
        <f aca="false">IFERROR(1/G7,"")</f>
        <v>3.8693965026173</v>
      </c>
      <c r="I7" s="43" t="n">
        <v>0.237922872300829</v>
      </c>
      <c r="J7" s="44" t="n">
        <f aca="false">IFERROR(1/I7,"")</f>
        <v>4.20304273536006</v>
      </c>
      <c r="K7" s="43" t="n">
        <v>0.762077127699171</v>
      </c>
      <c r="L7" s="44" t="n">
        <f aca="false">IFERROR(1/K7,"")</f>
        <v>1.31220314014561</v>
      </c>
      <c r="M7" s="43" t="n">
        <v>0.741561765685272</v>
      </c>
      <c r="N7" s="44" t="n">
        <f aca="false">IFERROR(1/M7,"")</f>
        <v>1.34850533869678</v>
      </c>
      <c r="O7" s="43" t="n">
        <v>0.496361106615558</v>
      </c>
      <c r="P7" s="44" t="n">
        <f aca="false">IFERROR(1/O7,"")</f>
        <v>2.01466228250337</v>
      </c>
    </row>
    <row r="8" customFormat="false" ht="18.75" hidden="false" customHeight="true" outlineLevel="0" collapsed="false">
      <c r="A8" s="35" t="n">
        <v>21</v>
      </c>
      <c r="B8" s="33" t="n">
        <v>46298</v>
      </c>
      <c r="C8" s="34" t="s">
        <v>90</v>
      </c>
      <c r="D8" s="34" t="s">
        <v>91</v>
      </c>
      <c r="E8" s="36" t="n">
        <v>0.512882686211862</v>
      </c>
      <c r="F8" s="37" t="n">
        <f aca="false">IFERROR(1/E8,"")</f>
        <v>1.94976361433835</v>
      </c>
      <c r="G8" s="36" t="n">
        <v>0.252716665258713</v>
      </c>
      <c r="H8" s="37" t="n">
        <f aca="false">IFERROR(1/G8,"")</f>
        <v>3.95700061559562</v>
      </c>
      <c r="I8" s="36" t="n">
        <v>0.234400648529425</v>
      </c>
      <c r="J8" s="37" t="n">
        <f aca="false">IFERROR(1/I8,"")</f>
        <v>4.26619980052856</v>
      </c>
      <c r="K8" s="36" t="n">
        <v>0.765599351470575</v>
      </c>
      <c r="L8" s="37" t="n">
        <f aca="false">IFERROR(1/K8,"")</f>
        <v>1.30616620570431</v>
      </c>
      <c r="M8" s="36" t="n">
        <v>0.747283334741287</v>
      </c>
      <c r="N8" s="37" t="n">
        <f aca="false">IFERROR(1/M8,"")</f>
        <v>1.33818051803096</v>
      </c>
      <c r="O8" s="36" t="n">
        <v>0.487117313788138</v>
      </c>
      <c r="P8" s="37" t="n">
        <f aca="false">IFERROR(1/O8,"")</f>
        <v>2.05289356730796</v>
      </c>
    </row>
    <row r="9" customFormat="false" ht="18.75" hidden="false" customHeight="true" outlineLevel="0" collapsed="false">
      <c r="A9" s="42" t="n">
        <v>29</v>
      </c>
      <c r="B9" s="40" t="n">
        <v>46302</v>
      </c>
      <c r="C9" s="41" t="s">
        <v>92</v>
      </c>
      <c r="D9" s="41" t="s">
        <v>90</v>
      </c>
      <c r="E9" s="43" t="n">
        <v>0.45587463984214</v>
      </c>
      <c r="F9" s="44" t="n">
        <f aca="false">IFERROR(1/E9,"")</f>
        <v>2.19358550049259</v>
      </c>
      <c r="G9" s="43" t="n">
        <v>0.268513430487424</v>
      </c>
      <c r="H9" s="44" t="n">
        <f aca="false">IFERROR(1/G9,"")</f>
        <v>3.72420849930945</v>
      </c>
      <c r="I9" s="43" t="n">
        <v>0.275611929670436</v>
      </c>
      <c r="J9" s="44" t="n">
        <f aca="false">IFERROR(1/I9,"")</f>
        <v>3.62828996987087</v>
      </c>
      <c r="K9" s="43" t="n">
        <v>0.724388070329564</v>
      </c>
      <c r="L9" s="44" t="n">
        <f aca="false">IFERROR(1/K9,"")</f>
        <v>1.38047552266432</v>
      </c>
      <c r="M9" s="43" t="n">
        <v>0.731486569512576</v>
      </c>
      <c r="N9" s="44" t="n">
        <f aca="false">IFERROR(1/M9,"")</f>
        <v>1.36707909848071</v>
      </c>
      <c r="O9" s="43" t="n">
        <v>0.54412536015786</v>
      </c>
      <c r="P9" s="44" t="n">
        <f aca="false">IFERROR(1/O9,"")</f>
        <v>1.83781178607423</v>
      </c>
    </row>
    <row r="10" customFormat="false" ht="18.75" hidden="false" customHeight="true" outlineLevel="0" collapsed="false">
      <c r="A10" s="35" t="n">
        <v>29</v>
      </c>
      <c r="B10" s="33" t="n">
        <v>46302</v>
      </c>
      <c r="C10" s="34" t="s">
        <v>93</v>
      </c>
      <c r="D10" s="34" t="s">
        <v>84</v>
      </c>
      <c r="E10" s="36" t="n">
        <v>0.596488740691601</v>
      </c>
      <c r="F10" s="37" t="n">
        <f aca="false">IFERROR(1/E10,"")</f>
        <v>1.67647757917533</v>
      </c>
      <c r="G10" s="36" t="n">
        <v>0.216740464328827</v>
      </c>
      <c r="H10" s="37" t="n">
        <f aca="false">IFERROR(1/G10,"")</f>
        <v>4.61381312943418</v>
      </c>
      <c r="I10" s="36" t="n">
        <v>0.186770794979572</v>
      </c>
      <c r="J10" s="37" t="n">
        <f aca="false">IFERROR(1/I10,"")</f>
        <v>5.35415614689316</v>
      </c>
      <c r="K10" s="36" t="n">
        <v>0.813229205020428</v>
      </c>
      <c r="L10" s="37" t="n">
        <f aca="false">IFERROR(1/K10,"")</f>
        <v>1.22966562664812</v>
      </c>
      <c r="M10" s="36" t="n">
        <v>0.783259535671174</v>
      </c>
      <c r="N10" s="37" t="n">
        <f aca="false">IFERROR(1/M10,"")</f>
        <v>1.27671602381847</v>
      </c>
      <c r="O10" s="36" t="n">
        <v>0.403511259308399</v>
      </c>
      <c r="P10" s="37" t="n">
        <f aca="false">IFERROR(1/O10,"")</f>
        <v>2.47824559273503</v>
      </c>
    </row>
    <row r="11" customFormat="false" ht="18.75" hidden="false" customHeight="true" outlineLevel="0" collapsed="false">
      <c r="A11" s="42" t="n">
        <v>29</v>
      </c>
      <c r="B11" s="40" t="n">
        <v>46302</v>
      </c>
      <c r="C11" s="41" t="s">
        <v>91</v>
      </c>
      <c r="D11" s="41" t="s">
        <v>95</v>
      </c>
      <c r="E11" s="43" t="n">
        <v>0.429158576156502</v>
      </c>
      <c r="F11" s="44" t="n">
        <f aca="false">IFERROR(1/E11,"")</f>
        <v>2.33014101443782</v>
      </c>
      <c r="G11" s="43" t="n">
        <v>0.256552259128917</v>
      </c>
      <c r="H11" s="44" t="n">
        <f aca="false">IFERROR(1/G11,"")</f>
        <v>3.89784133414121</v>
      </c>
      <c r="I11" s="43" t="n">
        <v>0.314289164714581</v>
      </c>
      <c r="J11" s="44" t="n">
        <f aca="false">IFERROR(1/I11,"")</f>
        <v>3.1817832501739</v>
      </c>
      <c r="K11" s="43" t="n">
        <v>0.685710835285419</v>
      </c>
      <c r="L11" s="44" t="n">
        <f aca="false">IFERROR(1/K11,"")</f>
        <v>1.45834067152193</v>
      </c>
      <c r="M11" s="43" t="n">
        <v>0.743447740871083</v>
      </c>
      <c r="N11" s="44" t="n">
        <f aca="false">IFERROR(1/M11,"")</f>
        <v>1.34508445587355</v>
      </c>
      <c r="O11" s="43" t="n">
        <v>0.570841423843498</v>
      </c>
      <c r="P11" s="44" t="n">
        <f aca="false">IFERROR(1/O11,"")</f>
        <v>1.75179998898286</v>
      </c>
    </row>
    <row r="12" customFormat="false" ht="18.75" hidden="false" customHeight="true" outlineLevel="0" collapsed="false">
      <c r="A12" s="35" t="n">
        <v>29</v>
      </c>
      <c r="B12" s="33" t="n">
        <v>46302</v>
      </c>
      <c r="C12" s="34" t="s">
        <v>96</v>
      </c>
      <c r="D12" s="34" t="s">
        <v>87</v>
      </c>
      <c r="E12" s="36" t="n">
        <v>0.480814742760228</v>
      </c>
      <c r="F12" s="37" t="n">
        <f aca="false">IFERROR(1/E12,"")</f>
        <v>2.07980311556021</v>
      </c>
      <c r="G12" s="36" t="n">
        <v>0.27931563641294</v>
      </c>
      <c r="H12" s="37" t="n">
        <f aca="false">IFERROR(1/G12,"")</f>
        <v>3.5801790864354</v>
      </c>
      <c r="I12" s="36" t="n">
        <v>0.239869620826833</v>
      </c>
      <c r="J12" s="37" t="n">
        <f aca="false">IFERROR(1/I12,"")</f>
        <v>4.16893142430038</v>
      </c>
      <c r="K12" s="36" t="n">
        <v>0.760130379173167</v>
      </c>
      <c r="L12" s="37" t="n">
        <f aca="false">IFERROR(1/K12,"")</f>
        <v>1.31556378668585</v>
      </c>
      <c r="M12" s="36" t="n">
        <v>0.72068436358706</v>
      </c>
      <c r="N12" s="37" t="n">
        <f aca="false">IFERROR(1/M12,"")</f>
        <v>1.38756999669412</v>
      </c>
      <c r="O12" s="36" t="n">
        <v>0.519185257239772</v>
      </c>
      <c r="P12" s="37" t="n">
        <f aca="false">IFERROR(1/O12,"")</f>
        <v>1.92609475337659</v>
      </c>
    </row>
    <row r="13" customFormat="false" ht="18.75" hidden="false" customHeight="true" outlineLevel="0" collapsed="false">
      <c r="A13" s="42" t="n">
        <v>29</v>
      </c>
      <c r="B13" s="40" t="n">
        <v>46302</v>
      </c>
      <c r="C13" s="41" t="s">
        <v>98</v>
      </c>
      <c r="D13" s="41" t="s">
        <v>99</v>
      </c>
      <c r="E13" s="43" t="n">
        <v>0.627227752522016</v>
      </c>
      <c r="F13" s="44" t="n">
        <f aca="false">IFERROR(1/E13,"")</f>
        <v>1.59431720930572</v>
      </c>
      <c r="G13" s="43" t="n">
        <v>0.210393608813374</v>
      </c>
      <c r="H13" s="44" t="n">
        <f aca="false">IFERROR(1/G13,"")</f>
        <v>4.75299608975781</v>
      </c>
      <c r="I13" s="43" t="n">
        <v>0.16237863866461</v>
      </c>
      <c r="J13" s="44" t="n">
        <f aca="false">IFERROR(1/I13,"")</f>
        <v>6.15844552106068</v>
      </c>
      <c r="K13" s="43" t="n">
        <v>0.83762136133539</v>
      </c>
      <c r="L13" s="44" t="n">
        <f aca="false">IFERROR(1/K13,"")</f>
        <v>1.19385685007571</v>
      </c>
      <c r="M13" s="43" t="n">
        <v>0.789606391186626</v>
      </c>
      <c r="N13" s="44" t="n">
        <f aca="false">IFERROR(1/M13,"")</f>
        <v>1.26645378148117</v>
      </c>
      <c r="O13" s="43" t="n">
        <v>0.372772247477984</v>
      </c>
      <c r="P13" s="44" t="n">
        <f aca="false">IFERROR(1/O13,"")</f>
        <v>2.68260313573654</v>
      </c>
    </row>
    <row r="14" customFormat="false" ht="18.75" hidden="false" customHeight="true" outlineLevel="0" collapsed="false">
      <c r="A14" s="35" t="n">
        <v>29</v>
      </c>
      <c r="B14" s="33" t="n">
        <v>46302</v>
      </c>
      <c r="C14" s="34" t="s">
        <v>100</v>
      </c>
      <c r="D14" s="34" t="s">
        <v>101</v>
      </c>
      <c r="E14" s="36" t="n">
        <v>0.461683183401895</v>
      </c>
      <c r="F14" s="37" t="n">
        <f aca="false">IFERROR(1/E14,"")</f>
        <v>2.16598749088398</v>
      </c>
      <c r="G14" s="36" t="n">
        <v>0.276778128596004</v>
      </c>
      <c r="H14" s="37" t="n">
        <f aca="false">IFERROR(1/G14,"")</f>
        <v>3.61300224505686</v>
      </c>
      <c r="I14" s="36" t="n">
        <v>0.2615386880021</v>
      </c>
      <c r="J14" s="37" t="n">
        <f aca="false">IFERROR(1/I14,"")</f>
        <v>3.82352610101023</v>
      </c>
      <c r="K14" s="36" t="n">
        <v>0.7384613119979</v>
      </c>
      <c r="L14" s="37" t="n">
        <f aca="false">IFERROR(1/K14,"")</f>
        <v>1.35416708194842</v>
      </c>
      <c r="M14" s="36" t="n">
        <v>0.723221871403996</v>
      </c>
      <c r="N14" s="37" t="n">
        <f aca="false">IFERROR(1/M14,"")</f>
        <v>1.38270154642682</v>
      </c>
      <c r="O14" s="36" t="n">
        <v>0.538316816598104</v>
      </c>
      <c r="P14" s="37" t="n">
        <f aca="false">IFERROR(1/O14,"")</f>
        <v>1.85764213408659</v>
      </c>
    </row>
    <row r="15" customFormat="false" ht="18.75" hidden="false" customHeight="true" outlineLevel="0" collapsed="false">
      <c r="A15" s="42" t="n">
        <v>29</v>
      </c>
      <c r="B15" s="40" t="n">
        <v>46302</v>
      </c>
      <c r="C15" s="41" t="s">
        <v>102</v>
      </c>
      <c r="D15" s="41" t="s">
        <v>103</v>
      </c>
      <c r="E15" s="43" t="n">
        <v>0.656706758754522</v>
      </c>
      <c r="F15" s="44" t="n">
        <f aca="false">IFERROR(1/E15,"")</f>
        <v>1.52274966972557</v>
      </c>
      <c r="G15" s="43" t="n">
        <v>0.203863112994046</v>
      </c>
      <c r="H15" s="44" t="n">
        <f aca="false">IFERROR(1/G15,"")</f>
        <v>4.90525228087341</v>
      </c>
      <c r="I15" s="43" t="n">
        <v>0.139430128251431</v>
      </c>
      <c r="J15" s="44" t="n">
        <f aca="false">IFERROR(1/I15,"")</f>
        <v>7.17205106629985</v>
      </c>
      <c r="K15" s="43" t="n">
        <v>0.860569871748569</v>
      </c>
      <c r="L15" s="44" t="n">
        <f aca="false">IFERROR(1/K15,"")</f>
        <v>1.16202069445927</v>
      </c>
      <c r="M15" s="43" t="n">
        <v>0.796136887005953</v>
      </c>
      <c r="N15" s="44" t="n">
        <f aca="false">IFERROR(1/M15,"")</f>
        <v>1.25606540322572</v>
      </c>
      <c r="O15" s="43" t="n">
        <v>0.343293241245477</v>
      </c>
      <c r="P15" s="44" t="n">
        <f aca="false">IFERROR(1/O15,"")</f>
        <v>2.91296151468632</v>
      </c>
    </row>
    <row r="16" customFormat="false" ht="18.75" hidden="false" customHeight="true" outlineLevel="0" collapsed="false">
      <c r="A16" s="35" t="n">
        <v>29</v>
      </c>
      <c r="B16" s="33" t="n">
        <v>46302</v>
      </c>
      <c r="C16" s="34" t="s">
        <v>104</v>
      </c>
      <c r="D16" s="34" t="s">
        <v>105</v>
      </c>
      <c r="E16" s="36" t="n">
        <v>0.38071817580899</v>
      </c>
      <c r="F16" s="37" t="n">
        <f aca="false">IFERROR(1/E16,"")</f>
        <v>2.62661481258439</v>
      </c>
      <c r="G16" s="36" t="n">
        <v>0.251940433053161</v>
      </c>
      <c r="H16" s="37" t="n">
        <f aca="false">IFERROR(1/G16,"")</f>
        <v>3.96919219309666</v>
      </c>
      <c r="I16" s="36" t="n">
        <v>0.367341391137849</v>
      </c>
      <c r="J16" s="37" t="n">
        <f aca="false">IFERROR(1/I16,"")</f>
        <v>2.72226333357773</v>
      </c>
      <c r="K16" s="36" t="n">
        <v>0.632658608862152</v>
      </c>
      <c r="L16" s="37" t="n">
        <f aca="false">IFERROR(1/K16,"")</f>
        <v>1.58063130097687</v>
      </c>
      <c r="M16" s="36" t="n">
        <v>0.748059566946839</v>
      </c>
      <c r="N16" s="37" t="n">
        <f aca="false">IFERROR(1/M16,"")</f>
        <v>1.33679194035502</v>
      </c>
      <c r="O16" s="36" t="n">
        <v>0.61928182419101</v>
      </c>
      <c r="P16" s="37" t="n">
        <f aca="false">IFERROR(1/O16,"")</f>
        <v>1.61477369581505</v>
      </c>
    </row>
    <row r="17" customFormat="false" ht="18.75" hidden="false" customHeight="true" outlineLevel="0" collapsed="false">
      <c r="A17" s="42" t="n">
        <v>29</v>
      </c>
      <c r="B17" s="40" t="n">
        <v>46302</v>
      </c>
      <c r="C17" s="41" t="s">
        <v>88</v>
      </c>
      <c r="D17" s="41" t="s">
        <v>8</v>
      </c>
      <c r="E17" s="43" t="n">
        <v>0.274557353862132</v>
      </c>
      <c r="F17" s="44" t="n">
        <f aca="false">IFERROR(1/E17,"")</f>
        <v>3.64222624502037</v>
      </c>
      <c r="G17" s="43" t="n">
        <v>0.247493001913276</v>
      </c>
      <c r="H17" s="44" t="n">
        <f aca="false">IFERROR(1/G17,"")</f>
        <v>4.04051828645406</v>
      </c>
      <c r="I17" s="43" t="n">
        <v>0.477949644224592</v>
      </c>
      <c r="J17" s="44" t="n">
        <f aca="false">IFERROR(1/I17,"")</f>
        <v>2.09227062324183</v>
      </c>
      <c r="K17" s="43" t="n">
        <v>0.522050355775408</v>
      </c>
      <c r="L17" s="44" t="n">
        <f aca="false">IFERROR(1/K17,"")</f>
        <v>1.91552402739902</v>
      </c>
      <c r="M17" s="43" t="n">
        <v>0.752506998086724</v>
      </c>
      <c r="N17" s="44" t="n">
        <f aca="false">IFERROR(1/M17,"")</f>
        <v>1.32889129608434</v>
      </c>
      <c r="O17" s="43" t="n">
        <v>0.725442646137868</v>
      </c>
      <c r="P17" s="44" t="n">
        <f aca="false">IFERROR(1/O17,"")</f>
        <v>1.37846872571364</v>
      </c>
    </row>
    <row r="18" customFormat="false" ht="18.75" hidden="false" customHeight="true" outlineLevel="0" collapsed="false">
      <c r="A18" s="35" t="n">
        <v>29</v>
      </c>
      <c r="B18" s="33" t="n">
        <v>46302</v>
      </c>
      <c r="C18" s="34" t="s">
        <v>106</v>
      </c>
      <c r="D18" s="34" t="s">
        <v>83</v>
      </c>
      <c r="E18" s="36" t="n">
        <v>0.56202545739844</v>
      </c>
      <c r="F18" s="37" t="n">
        <f aca="false">IFERROR(1/E18,"")</f>
        <v>1.77927883307796</v>
      </c>
      <c r="G18" s="36" t="n">
        <v>0.23566021815145</v>
      </c>
      <c r="H18" s="37" t="n">
        <f aca="false">IFERROR(1/G18,"")</f>
        <v>4.24339758252001</v>
      </c>
      <c r="I18" s="36" t="n">
        <v>0.202314324450111</v>
      </c>
      <c r="J18" s="37" t="n">
        <f aca="false">IFERROR(1/I18,"")</f>
        <v>4.94280374223623</v>
      </c>
      <c r="K18" s="36" t="n">
        <v>0.79768567554989</v>
      </c>
      <c r="L18" s="37" t="n">
        <f aca="false">IFERROR(1/K18,"")</f>
        <v>1.2536266234324</v>
      </c>
      <c r="M18" s="36" t="n">
        <v>0.76433978184855</v>
      </c>
      <c r="N18" s="37" t="n">
        <f aca="false">IFERROR(1/M18,"")</f>
        <v>1.30831866108226</v>
      </c>
      <c r="O18" s="36" t="n">
        <v>0.43797454260156</v>
      </c>
      <c r="P18" s="37" t="n">
        <f aca="false">IFERROR(1/O18,"")</f>
        <v>2.28323772897854</v>
      </c>
    </row>
    <row r="19" customFormat="false" ht="18.75" hidden="false" customHeight="true" outlineLevel="0" collapsed="false">
      <c r="A19" s="42" t="n">
        <v>30</v>
      </c>
      <c r="B19" s="40" t="n">
        <v>46306</v>
      </c>
      <c r="C19" s="41" t="s">
        <v>90</v>
      </c>
      <c r="D19" s="41" t="s">
        <v>88</v>
      </c>
      <c r="E19" s="43" t="n">
        <v>0.529167364969504</v>
      </c>
      <c r="F19" s="44" t="n">
        <f aca="false">IFERROR(1/E19,"")</f>
        <v>1.88976128574677</v>
      </c>
      <c r="G19" s="43" t="n">
        <v>0.244588057354094</v>
      </c>
      <c r="H19" s="44" t="n">
        <f aca="false">IFERROR(1/G19,"")</f>
        <v>4.08850706292779</v>
      </c>
      <c r="I19" s="43" t="n">
        <v>0.226244577676402</v>
      </c>
      <c r="J19" s="44" t="n">
        <f aca="false">IFERROR(1/I19,"")</f>
        <v>4.41999543268746</v>
      </c>
      <c r="K19" s="43" t="n">
        <v>0.773755422323598</v>
      </c>
      <c r="L19" s="44" t="n">
        <f aca="false">IFERROR(1/K19,"")</f>
        <v>1.29239805130798</v>
      </c>
      <c r="M19" s="43" t="n">
        <v>0.755411942645906</v>
      </c>
      <c r="N19" s="44" t="n">
        <f aca="false">IFERROR(1/M19,"")</f>
        <v>1.32378103064852</v>
      </c>
      <c r="O19" s="43" t="n">
        <v>0.470832635030496</v>
      </c>
      <c r="P19" s="44" t="n">
        <f aca="false">IFERROR(1/O19,"")</f>
        <v>2.12389695530606</v>
      </c>
    </row>
    <row r="20" customFormat="false" ht="18.75" hidden="false" customHeight="true" outlineLevel="0" collapsed="false">
      <c r="A20" s="35" t="n">
        <v>30</v>
      </c>
      <c r="B20" s="33" t="n">
        <v>46306</v>
      </c>
      <c r="C20" s="34" t="s">
        <v>103</v>
      </c>
      <c r="D20" s="34" t="s">
        <v>95</v>
      </c>
      <c r="E20" s="36" t="n">
        <v>0.450704071466609</v>
      </c>
      <c r="F20" s="37" t="n">
        <f aca="false">IFERROR(1/E20,"")</f>
        <v>2.21875075755575</v>
      </c>
      <c r="G20" s="36" t="n">
        <v>0.247793005350548</v>
      </c>
      <c r="H20" s="37" t="n">
        <f aca="false">IFERROR(1/G20,"")</f>
        <v>4.03562642369715</v>
      </c>
      <c r="I20" s="36" t="n">
        <v>0.301502923182843</v>
      </c>
      <c r="J20" s="37" t="n">
        <f aca="false">IFERROR(1/I20,"")</f>
        <v>3.31671742828697</v>
      </c>
      <c r="K20" s="36" t="n">
        <v>0.698497076817157</v>
      </c>
      <c r="L20" s="37" t="n">
        <f aca="false">IFERROR(1/K20,"")</f>
        <v>1.43164521826877</v>
      </c>
      <c r="M20" s="36" t="n">
        <v>0.752206994649452</v>
      </c>
      <c r="N20" s="37" t="n">
        <f aca="false">IFERROR(1/M20,"")</f>
        <v>1.32942129907477</v>
      </c>
      <c r="O20" s="36" t="n">
        <v>0.549295928533391</v>
      </c>
      <c r="P20" s="37" t="n">
        <f aca="false">IFERROR(1/O20,"")</f>
        <v>1.82051231049533</v>
      </c>
    </row>
    <row r="21" customFormat="false" ht="18.75" hidden="false" customHeight="true" outlineLevel="0" collapsed="false">
      <c r="A21" s="42" t="n">
        <v>30</v>
      </c>
      <c r="B21" s="40" t="n">
        <v>46306</v>
      </c>
      <c r="C21" s="41" t="s">
        <v>91</v>
      </c>
      <c r="D21" s="41" t="s">
        <v>96</v>
      </c>
      <c r="E21" s="43" t="n">
        <v>0.397247154704857</v>
      </c>
      <c r="F21" s="44" t="n">
        <f aca="false">IFERROR(1/E21,"")</f>
        <v>2.51732451235043</v>
      </c>
      <c r="G21" s="43" t="n">
        <v>0.279620246095401</v>
      </c>
      <c r="H21" s="44" t="n">
        <f aca="false">IFERROR(1/G21,"")</f>
        <v>3.5762789496252</v>
      </c>
      <c r="I21" s="43" t="n">
        <v>0.323132599199743</v>
      </c>
      <c r="J21" s="44" t="n">
        <f aca="false">IFERROR(1/I21,"")</f>
        <v>3.09470478211285</v>
      </c>
      <c r="K21" s="43" t="n">
        <v>0.676867400800257</v>
      </c>
      <c r="L21" s="44" t="n">
        <f aca="false">IFERROR(1/K21,"")</f>
        <v>1.47739424120249</v>
      </c>
      <c r="M21" s="43" t="n">
        <v>0.720379753904599</v>
      </c>
      <c r="N21" s="44" t="n">
        <f aca="false">IFERROR(1/M21,"")</f>
        <v>1.38815672508813</v>
      </c>
      <c r="O21" s="43" t="n">
        <v>0.602752845295144</v>
      </c>
      <c r="P21" s="44" t="n">
        <f aca="false">IFERROR(1/O21,"")</f>
        <v>1.6590547980082</v>
      </c>
    </row>
    <row r="22" customFormat="false" ht="18.75" hidden="false" customHeight="true" outlineLevel="0" collapsed="false">
      <c r="A22" s="35" t="n">
        <v>30</v>
      </c>
      <c r="B22" s="33" t="n">
        <v>46306</v>
      </c>
      <c r="C22" s="34" t="s">
        <v>83</v>
      </c>
      <c r="D22" s="34" t="s">
        <v>92</v>
      </c>
      <c r="E22" s="36" t="n">
        <v>0.27393995755703</v>
      </c>
      <c r="F22" s="37" t="n">
        <f aca="false">IFERROR(1/E22,"")</f>
        <v>3.65043496727496</v>
      </c>
      <c r="G22" s="36" t="n">
        <v>0.255765047680959</v>
      </c>
      <c r="H22" s="37" t="n">
        <f aca="false">IFERROR(1/G22,"")</f>
        <v>3.90983838122948</v>
      </c>
      <c r="I22" s="36" t="n">
        <v>0.470294994762011</v>
      </c>
      <c r="J22" s="37" t="n">
        <f aca="false">IFERROR(1/I22,"")</f>
        <v>2.12632498992689</v>
      </c>
      <c r="K22" s="36" t="n">
        <v>0.529705005237989</v>
      </c>
      <c r="L22" s="37" t="n">
        <f aca="false">IFERROR(1/K22,"")</f>
        <v>1.88784321482995</v>
      </c>
      <c r="M22" s="36" t="n">
        <v>0.744234952319041</v>
      </c>
      <c r="N22" s="37" t="n">
        <f aca="false">IFERROR(1/M22,"")</f>
        <v>1.34366169834404</v>
      </c>
      <c r="O22" s="36" t="n">
        <v>0.72606004244297</v>
      </c>
      <c r="P22" s="37" t="n">
        <f aca="false">IFERROR(1/O22,"")</f>
        <v>1.37729656163877</v>
      </c>
    </row>
    <row r="23" customFormat="false" ht="18.75" hidden="false" customHeight="true" outlineLevel="0" collapsed="false">
      <c r="A23" s="42" t="n">
        <v>30</v>
      </c>
      <c r="B23" s="40" t="n">
        <v>46306</v>
      </c>
      <c r="C23" s="41" t="s">
        <v>99</v>
      </c>
      <c r="D23" s="41" t="s">
        <v>93</v>
      </c>
      <c r="E23" s="43" t="n">
        <v>0.320231495630554</v>
      </c>
      <c r="F23" s="44" t="n">
        <f aca="false">IFERROR(1/E23,"")</f>
        <v>3.12274093474455</v>
      </c>
      <c r="G23" s="43" t="n">
        <v>0.250291422732277</v>
      </c>
      <c r="H23" s="44" t="n">
        <f aca="false">IFERROR(1/G23,"")</f>
        <v>3.99534266529639</v>
      </c>
      <c r="I23" s="43" t="n">
        <v>0.429477081637169</v>
      </c>
      <c r="J23" s="44" t="n">
        <f aca="false">IFERROR(1/I23,"")</f>
        <v>2.32841295323139</v>
      </c>
      <c r="K23" s="43" t="n">
        <v>0.570522918362831</v>
      </c>
      <c r="L23" s="44" t="n">
        <f aca="false">IFERROR(1/K23,"")</f>
        <v>1.7527779652912</v>
      </c>
      <c r="M23" s="43" t="n">
        <v>0.749708577267723</v>
      </c>
      <c r="N23" s="44" t="n">
        <f aca="false">IFERROR(1/M23,"")</f>
        <v>1.33385161957791</v>
      </c>
      <c r="O23" s="43" t="n">
        <v>0.679768504369446</v>
      </c>
      <c r="P23" s="44" t="n">
        <f aca="false">IFERROR(1/O23,"")</f>
        <v>1.47108904512662</v>
      </c>
    </row>
    <row r="24" customFormat="false" ht="18.75" hidden="false" customHeight="true" outlineLevel="0" collapsed="false">
      <c r="A24" s="35" t="n">
        <v>30</v>
      </c>
      <c r="B24" s="33" t="n">
        <v>46306</v>
      </c>
      <c r="C24" s="34" t="s">
        <v>8</v>
      </c>
      <c r="D24" s="34" t="s">
        <v>98</v>
      </c>
      <c r="E24" s="36" t="n">
        <v>0.621240755764678</v>
      </c>
      <c r="F24" s="37" t="n">
        <f aca="false">IFERROR(1/E24,"")</f>
        <v>1.60968189984431</v>
      </c>
      <c r="G24" s="36" t="n">
        <v>0.216805911128329</v>
      </c>
      <c r="H24" s="37" t="n">
        <f aca="false">IFERROR(1/G24,"")</f>
        <v>4.61242036619607</v>
      </c>
      <c r="I24" s="36" t="n">
        <v>0.161953333106993</v>
      </c>
      <c r="J24" s="37" t="n">
        <f aca="false">IFERROR(1/I24,"")</f>
        <v>6.17461821140391</v>
      </c>
      <c r="K24" s="36" t="n">
        <v>0.838046666893007</v>
      </c>
      <c r="L24" s="37" t="n">
        <f aca="false">IFERROR(1/K24,"")</f>
        <v>1.19325097217727</v>
      </c>
      <c r="M24" s="36" t="n">
        <v>0.783194088871671</v>
      </c>
      <c r="N24" s="37" t="n">
        <f aca="false">IFERROR(1/M24,"")</f>
        <v>1.27682271126519</v>
      </c>
      <c r="O24" s="36" t="n">
        <v>0.378759244235322</v>
      </c>
      <c r="P24" s="37" t="n">
        <f aca="false">IFERROR(1/O24,"")</f>
        <v>2.64019958646528</v>
      </c>
    </row>
    <row r="25" customFormat="false" ht="18.75" hidden="false" customHeight="true" outlineLevel="0" collapsed="false">
      <c r="A25" s="42" t="n">
        <v>30</v>
      </c>
      <c r="B25" s="40" t="n">
        <v>46306</v>
      </c>
      <c r="C25" s="41" t="s">
        <v>105</v>
      </c>
      <c r="D25" s="41" t="s">
        <v>100</v>
      </c>
      <c r="E25" s="43" t="n">
        <v>0.445596013823509</v>
      </c>
      <c r="F25" s="44" t="n">
        <f aca="false">IFERROR(1/E25,"")</f>
        <v>2.24418524622637</v>
      </c>
      <c r="G25" s="43" t="n">
        <v>0.264075608958079</v>
      </c>
      <c r="H25" s="44" t="n">
        <f aca="false">IFERROR(1/G25,"")</f>
        <v>3.78679425921061</v>
      </c>
      <c r="I25" s="43" t="n">
        <v>0.290328377218412</v>
      </c>
      <c r="J25" s="44" t="n">
        <f aca="false">IFERROR(1/I25,"")</f>
        <v>3.44437567412746</v>
      </c>
      <c r="K25" s="43" t="n">
        <v>0.709671622781588</v>
      </c>
      <c r="L25" s="44" t="n">
        <f aca="false">IFERROR(1/K25,"")</f>
        <v>1.40910241849668</v>
      </c>
      <c r="M25" s="43" t="n">
        <v>0.735924391041921</v>
      </c>
      <c r="N25" s="44" t="n">
        <f aca="false">IFERROR(1/M25,"")</f>
        <v>1.35883524472426</v>
      </c>
      <c r="O25" s="43" t="n">
        <v>0.554403986176491</v>
      </c>
      <c r="P25" s="44" t="n">
        <f aca="false">IFERROR(1/O25,"")</f>
        <v>1.80373883473785</v>
      </c>
    </row>
    <row r="26" customFormat="false" ht="18.75" hidden="false" customHeight="true" outlineLevel="0" collapsed="false">
      <c r="A26" s="35" t="n">
        <v>30</v>
      </c>
      <c r="B26" s="33" t="n">
        <v>46306</v>
      </c>
      <c r="C26" s="34" t="s">
        <v>102</v>
      </c>
      <c r="D26" s="34" t="s">
        <v>101</v>
      </c>
      <c r="E26" s="36" t="n">
        <v>0.63159117064212</v>
      </c>
      <c r="F26" s="37" t="n">
        <f aca="false">IFERROR(1/E26,"")</f>
        <v>1.58330269085828</v>
      </c>
      <c r="G26" s="36" t="n">
        <v>0.22640729277741</v>
      </c>
      <c r="H26" s="37" t="n">
        <f aca="false">IFERROR(1/G26,"")</f>
        <v>4.41681885655132</v>
      </c>
      <c r="I26" s="36" t="n">
        <v>0.14200153658047</v>
      </c>
      <c r="J26" s="37" t="n">
        <f aca="false">IFERROR(1/I26,"")</f>
        <v>7.0421773178019</v>
      </c>
      <c r="K26" s="36" t="n">
        <v>0.85799846341953</v>
      </c>
      <c r="L26" s="37" t="n">
        <f aca="false">IFERROR(1/K26,"")</f>
        <v>1.16550325278501</v>
      </c>
      <c r="M26" s="36" t="n">
        <v>0.77359270722259</v>
      </c>
      <c r="N26" s="37" t="n">
        <f aca="false">IFERROR(1/M26,"")</f>
        <v>1.29266989032287</v>
      </c>
      <c r="O26" s="36" t="n">
        <v>0.36840882935788</v>
      </c>
      <c r="P26" s="37" t="n">
        <f aca="false">IFERROR(1/O26,"")</f>
        <v>2.71437577037162</v>
      </c>
    </row>
    <row r="27" customFormat="false" ht="18.75" hidden="false" customHeight="true" outlineLevel="0" collapsed="false">
      <c r="A27" s="42" t="n">
        <v>30</v>
      </c>
      <c r="B27" s="40" t="n">
        <v>46306</v>
      </c>
      <c r="C27" s="41" t="s">
        <v>87</v>
      </c>
      <c r="D27" s="41" t="s">
        <v>106</v>
      </c>
      <c r="E27" s="43" t="n">
        <v>0.560354063671756</v>
      </c>
      <c r="F27" s="44" t="n">
        <f aca="false">IFERROR(1/E27,"")</f>
        <v>1.78458596953404</v>
      </c>
      <c r="G27" s="43" t="n">
        <v>0.252012206393277</v>
      </c>
      <c r="H27" s="44" t="n">
        <f aca="false">IFERROR(1/G27,"")</f>
        <v>3.96806176300624</v>
      </c>
      <c r="I27" s="43" t="n">
        <v>0.187633729934967</v>
      </c>
      <c r="J27" s="44" t="n">
        <f aca="false">IFERROR(1/I27,"")</f>
        <v>5.32953217071682</v>
      </c>
      <c r="K27" s="43" t="n">
        <v>0.812366270065033</v>
      </c>
      <c r="L27" s="44" t="n">
        <f aca="false">IFERROR(1/K27,"")</f>
        <v>1.2309718372723</v>
      </c>
      <c r="M27" s="43" t="n">
        <v>0.747987793606723</v>
      </c>
      <c r="N27" s="44" t="n">
        <f aca="false">IFERROR(1/M27,"")</f>
        <v>1.33692021253194</v>
      </c>
      <c r="O27" s="43" t="n">
        <v>0.439645936328245</v>
      </c>
      <c r="P27" s="44" t="n">
        <f aca="false">IFERROR(1/O27,"")</f>
        <v>2.27455758684277</v>
      </c>
    </row>
    <row r="28" customFormat="false" ht="18.75" hidden="false" customHeight="true" outlineLevel="0" collapsed="false">
      <c r="A28" s="35" t="n">
        <v>30</v>
      </c>
      <c r="B28" s="33" t="n">
        <v>46306</v>
      </c>
      <c r="C28" s="34" t="s">
        <v>84</v>
      </c>
      <c r="D28" s="34" t="s">
        <v>104</v>
      </c>
      <c r="E28" s="36" t="n">
        <v>0.55353873460418</v>
      </c>
      <c r="F28" s="37" t="n">
        <f aca="false">IFERROR(1/E28,"")</f>
        <v>1.80655830836314</v>
      </c>
      <c r="G28" s="36" t="n">
        <v>0.221590122629108</v>
      </c>
      <c r="H28" s="37" t="n">
        <f aca="false">IFERROR(1/G28,"")</f>
        <v>4.5128365296037</v>
      </c>
      <c r="I28" s="36" t="n">
        <v>0.224871142766712</v>
      </c>
      <c r="J28" s="37" t="n">
        <f aca="false">IFERROR(1/I28,"")</f>
        <v>4.44699123105106</v>
      </c>
      <c r="K28" s="36" t="n">
        <v>0.775128857233288</v>
      </c>
      <c r="L28" s="37" t="n">
        <f aca="false">IFERROR(1/K28,"")</f>
        <v>1.29010807773221</v>
      </c>
      <c r="M28" s="36" t="n">
        <v>0.778409877370892</v>
      </c>
      <c r="N28" s="37" t="n">
        <f aca="false">IFERROR(1/M28,"")</f>
        <v>1.28467023488645</v>
      </c>
      <c r="O28" s="36" t="n">
        <v>0.44646126539582</v>
      </c>
      <c r="P28" s="37" t="n">
        <f aca="false">IFERROR(1/O28,"")</f>
        <v>2.23983596676282</v>
      </c>
    </row>
    <row r="29" customFormat="false" ht="18.75" hidden="false" customHeight="true" outlineLevel="0" collapsed="false">
      <c r="A29" s="42" t="n">
        <v>31</v>
      </c>
      <c r="B29" s="40" t="n">
        <v>46313</v>
      </c>
      <c r="C29" s="41" t="s">
        <v>92</v>
      </c>
      <c r="D29" s="41" t="s">
        <v>102</v>
      </c>
      <c r="E29" s="43" t="n">
        <v>0.307972686723041</v>
      </c>
      <c r="F29" s="44" t="n">
        <f aca="false">IFERROR(1/E29,"")</f>
        <v>3.24704119264738</v>
      </c>
      <c r="G29" s="43" t="n">
        <v>0.278389639274704</v>
      </c>
      <c r="H29" s="44" t="n">
        <f aca="false">IFERROR(1/G29,"")</f>
        <v>3.59208770342649</v>
      </c>
      <c r="I29" s="43" t="n">
        <v>0.413637674002255</v>
      </c>
      <c r="J29" s="44" t="n">
        <f aca="false">IFERROR(1/I29,"")</f>
        <v>2.41757475890494</v>
      </c>
      <c r="K29" s="43" t="n">
        <v>0.586362325997745</v>
      </c>
      <c r="L29" s="44" t="n">
        <f aca="false">IFERROR(1/K29,"")</f>
        <v>1.70543016776942</v>
      </c>
      <c r="M29" s="43" t="n">
        <v>0.721610360725296</v>
      </c>
      <c r="N29" s="44" t="n">
        <f aca="false">IFERROR(1/M29,"")</f>
        <v>1.38578941548856</v>
      </c>
      <c r="O29" s="43" t="n">
        <v>0.692027313276959</v>
      </c>
      <c r="P29" s="44" t="n">
        <f aca="false">IFERROR(1/O29,"")</f>
        <v>1.44502966980407</v>
      </c>
    </row>
    <row r="30" customFormat="false" ht="18.75" hidden="false" customHeight="true" outlineLevel="0" collapsed="false">
      <c r="A30" s="35" t="n">
        <v>31</v>
      </c>
      <c r="B30" s="33" t="n">
        <v>46313</v>
      </c>
      <c r="C30" s="34" t="s">
        <v>90</v>
      </c>
      <c r="D30" s="34" t="s">
        <v>99</v>
      </c>
      <c r="E30" s="36" t="n">
        <v>0.625594703486607</v>
      </c>
      <c r="F30" s="37" t="n">
        <f aca="false">IFERROR(1/E30,"")</f>
        <v>1.59847900633866</v>
      </c>
      <c r="G30" s="36" t="n">
        <v>0.209473972762562</v>
      </c>
      <c r="H30" s="37" t="n">
        <f aca="false">IFERROR(1/G30,"")</f>
        <v>4.77386277069131</v>
      </c>
      <c r="I30" s="36" t="n">
        <v>0.164931323750832</v>
      </c>
      <c r="J30" s="37" t="n">
        <f aca="false">IFERROR(1/I30,"")</f>
        <v>6.06312965456301</v>
      </c>
      <c r="K30" s="36" t="n">
        <v>0.835068676249169</v>
      </c>
      <c r="L30" s="37" t="n">
        <f aca="false">IFERROR(1/K30,"")</f>
        <v>1.1975062991126</v>
      </c>
      <c r="M30" s="36" t="n">
        <v>0.790526027237438</v>
      </c>
      <c r="N30" s="37" t="n">
        <f aca="false">IFERROR(1/M30,"")</f>
        <v>1.26498048836493</v>
      </c>
      <c r="O30" s="36" t="n">
        <v>0.374405296513394</v>
      </c>
      <c r="P30" s="37" t="n">
        <f aca="false">IFERROR(1/O30,"")</f>
        <v>2.67090238656447</v>
      </c>
    </row>
    <row r="31" customFormat="false" ht="18.75" hidden="false" customHeight="true" outlineLevel="0" collapsed="false">
      <c r="A31" s="42" t="n">
        <v>31</v>
      </c>
      <c r="B31" s="40" t="n">
        <v>46313</v>
      </c>
      <c r="C31" s="41" t="s">
        <v>103</v>
      </c>
      <c r="D31" s="41" t="s">
        <v>8</v>
      </c>
      <c r="E31" s="43" t="n">
        <v>0.298687171929437</v>
      </c>
      <c r="F31" s="44" t="n">
        <f aca="false">IFERROR(1/E31,"")</f>
        <v>3.3479844264495</v>
      </c>
      <c r="G31" s="43" t="n">
        <v>0.24959390007113</v>
      </c>
      <c r="H31" s="44" t="n">
        <f aca="false">IFERROR(1/G31,"")</f>
        <v>4.00650817073261</v>
      </c>
      <c r="I31" s="43" t="n">
        <v>0.451718927999434</v>
      </c>
      <c r="J31" s="44" t="n">
        <f aca="false">IFERROR(1/I31,"")</f>
        <v>2.21376599034445</v>
      </c>
      <c r="K31" s="43" t="n">
        <v>0.548281072000567</v>
      </c>
      <c r="L31" s="44" t="n">
        <f aca="false">IFERROR(1/K31,"")</f>
        <v>1.82388203982896</v>
      </c>
      <c r="M31" s="43" t="n">
        <v>0.750406099928871</v>
      </c>
      <c r="N31" s="44" t="n">
        <f aca="false">IFERROR(1/M31,"")</f>
        <v>1.33261176860741</v>
      </c>
      <c r="O31" s="43" t="n">
        <v>0.701312828070563</v>
      </c>
      <c r="P31" s="44" t="n">
        <f aca="false">IFERROR(1/O31,"")</f>
        <v>1.42589720303731</v>
      </c>
    </row>
    <row r="32" customFormat="false" ht="18.75" hidden="false" customHeight="true" outlineLevel="0" collapsed="false">
      <c r="A32" s="35" t="n">
        <v>31</v>
      </c>
      <c r="B32" s="33" t="n">
        <v>46313</v>
      </c>
      <c r="C32" s="34" t="s">
        <v>93</v>
      </c>
      <c r="D32" s="34" t="s">
        <v>83</v>
      </c>
      <c r="E32" s="36" t="n">
        <v>0.717744160077261</v>
      </c>
      <c r="F32" s="37" t="n">
        <f aca="false">IFERROR(1/E32,"")</f>
        <v>1.39325410866785</v>
      </c>
      <c r="G32" s="36" t="n">
        <v>0.171872064016699</v>
      </c>
      <c r="H32" s="37" t="n">
        <f aca="false">IFERROR(1/G32,"")</f>
        <v>5.81828120655397</v>
      </c>
      <c r="I32" s="36" t="n">
        <v>0.11038377590604</v>
      </c>
      <c r="J32" s="37" t="n">
        <f aca="false">IFERROR(1/I32,"")</f>
        <v>9.05930234576513</v>
      </c>
      <c r="K32" s="36" t="n">
        <v>0.88961622409396</v>
      </c>
      <c r="L32" s="37" t="n">
        <f aca="false">IFERROR(1/K32,"")</f>
        <v>1.12408021899383</v>
      </c>
      <c r="M32" s="36" t="n">
        <v>0.828127935983301</v>
      </c>
      <c r="N32" s="37" t="n">
        <f aca="false">IFERROR(1/M32,"")</f>
        <v>1.20754288866324</v>
      </c>
      <c r="O32" s="36" t="n">
        <v>0.282255839922739</v>
      </c>
      <c r="P32" s="37" t="n">
        <f aca="false">IFERROR(1/O32,"")</f>
        <v>3.54288506581025</v>
      </c>
    </row>
    <row r="33" customFormat="false" ht="18.75" hidden="false" customHeight="true" outlineLevel="0" collapsed="false">
      <c r="A33" s="42" t="n">
        <v>31</v>
      </c>
      <c r="B33" s="40" t="n">
        <v>46313</v>
      </c>
      <c r="C33" s="41" t="s">
        <v>101</v>
      </c>
      <c r="D33" s="41" t="s">
        <v>106</v>
      </c>
      <c r="E33" s="43" t="n">
        <v>0.544433707233567</v>
      </c>
      <c r="F33" s="44" t="n">
        <f aca="false">IFERROR(1/E33,"")</f>
        <v>1.83677091758573</v>
      </c>
      <c r="G33" s="43" t="n">
        <v>0.257265112714017</v>
      </c>
      <c r="H33" s="44" t="n">
        <f aca="false">IFERROR(1/G33,"")</f>
        <v>3.88704084067406</v>
      </c>
      <c r="I33" s="43" t="n">
        <v>0.198301180052416</v>
      </c>
      <c r="J33" s="44" t="n">
        <f aca="false">IFERROR(1/I33,"")</f>
        <v>5.04283433782732</v>
      </c>
      <c r="K33" s="43" t="n">
        <v>0.801698819947584</v>
      </c>
      <c r="L33" s="44" t="n">
        <f aca="false">IFERROR(1/K33,"")</f>
        <v>1.24735121858528</v>
      </c>
      <c r="M33" s="43" t="n">
        <v>0.742734887285983</v>
      </c>
      <c r="N33" s="44" t="n">
        <f aca="false">IFERROR(1/M33,"")</f>
        <v>1.34637542563011</v>
      </c>
      <c r="O33" s="43" t="n">
        <v>0.455566292766433</v>
      </c>
      <c r="P33" s="44" t="n">
        <f aca="false">IFERROR(1/O33,"")</f>
        <v>2.19507021453999</v>
      </c>
    </row>
    <row r="34" customFormat="false" ht="18.75" hidden="false" customHeight="true" outlineLevel="0" collapsed="false">
      <c r="A34" s="35" t="n">
        <v>31</v>
      </c>
      <c r="B34" s="33" t="n">
        <v>46313</v>
      </c>
      <c r="C34" s="34" t="s">
        <v>98</v>
      </c>
      <c r="D34" s="34" t="s">
        <v>88</v>
      </c>
      <c r="E34" s="36" t="n">
        <v>0.531355529264127</v>
      </c>
      <c r="F34" s="37" t="n">
        <f aca="false">IFERROR(1/E34,"")</f>
        <v>1.88197909859882</v>
      </c>
      <c r="G34" s="36" t="n">
        <v>0.245965059707496</v>
      </c>
      <c r="H34" s="37" t="n">
        <f aca="false">IFERROR(1/G34,"")</f>
        <v>4.06561810522685</v>
      </c>
      <c r="I34" s="36" t="n">
        <v>0.222679411028377</v>
      </c>
      <c r="J34" s="37" t="n">
        <f aca="false">IFERROR(1/I34,"")</f>
        <v>4.49076093466301</v>
      </c>
      <c r="K34" s="36" t="n">
        <v>0.777320588971623</v>
      </c>
      <c r="L34" s="37" t="n">
        <f aca="false">IFERROR(1/K34,"")</f>
        <v>1.28647049131038</v>
      </c>
      <c r="M34" s="36" t="n">
        <v>0.754034940292504</v>
      </c>
      <c r="N34" s="37" t="n">
        <f aca="false">IFERROR(1/M34,"")</f>
        <v>1.32619849103025</v>
      </c>
      <c r="O34" s="36" t="n">
        <v>0.468644470735873</v>
      </c>
      <c r="P34" s="37" t="n">
        <f aca="false">IFERROR(1/O34,"")</f>
        <v>2.13381371688817</v>
      </c>
    </row>
    <row r="35" customFormat="false" ht="18.75" hidden="false" customHeight="true" outlineLevel="0" collapsed="false">
      <c r="A35" s="42" t="n">
        <v>31</v>
      </c>
      <c r="B35" s="40" t="n">
        <v>46313</v>
      </c>
      <c r="C35" s="41" t="s">
        <v>105</v>
      </c>
      <c r="D35" s="41" t="s">
        <v>96</v>
      </c>
      <c r="E35" s="43" t="n">
        <v>0.398057052040988</v>
      </c>
      <c r="F35" s="44" t="n">
        <f aca="false">IFERROR(1/E35,"")</f>
        <v>2.5122026977606</v>
      </c>
      <c r="G35" s="43" t="n">
        <v>0.275904826469972</v>
      </c>
      <c r="H35" s="44" t="n">
        <f aca="false">IFERROR(1/G35,"")</f>
        <v>3.62443822674061</v>
      </c>
      <c r="I35" s="43" t="n">
        <v>0.32603812148904</v>
      </c>
      <c r="J35" s="44" t="n">
        <f aca="false">IFERROR(1/I35,"")</f>
        <v>3.06712600180901</v>
      </c>
      <c r="K35" s="43" t="n">
        <v>0.67396187851096</v>
      </c>
      <c r="L35" s="44" t="n">
        <f aca="false">IFERROR(1/K35,"")</f>
        <v>1.48376344699107</v>
      </c>
      <c r="M35" s="43" t="n">
        <v>0.724095173530028</v>
      </c>
      <c r="N35" s="44" t="n">
        <f aca="false">IFERROR(1/M35,"")</f>
        <v>1.38103392558869</v>
      </c>
      <c r="O35" s="43" t="n">
        <v>0.601942947959012</v>
      </c>
      <c r="P35" s="44" t="n">
        <f aca="false">IFERROR(1/O35,"")</f>
        <v>1.66128700965875</v>
      </c>
    </row>
    <row r="36" customFormat="false" ht="18.75" hidden="false" customHeight="true" outlineLevel="0" collapsed="false">
      <c r="A36" s="35" t="n">
        <v>31</v>
      </c>
      <c r="B36" s="33" t="n">
        <v>46313</v>
      </c>
      <c r="C36" s="34" t="s">
        <v>95</v>
      </c>
      <c r="D36" s="34" t="s">
        <v>100</v>
      </c>
      <c r="E36" s="36" t="n">
        <v>0.499352864426719</v>
      </c>
      <c r="F36" s="37" t="n">
        <f aca="false">IFERROR(1/E36,"")</f>
        <v>2.00259189691051</v>
      </c>
      <c r="G36" s="36" t="n">
        <v>0.25012926221857</v>
      </c>
      <c r="H36" s="37" t="n">
        <f aca="false">IFERROR(1/G36,"")</f>
        <v>3.99793287330841</v>
      </c>
      <c r="I36" s="36" t="n">
        <v>0.250517873354711</v>
      </c>
      <c r="J36" s="37" t="n">
        <f aca="false">IFERROR(1/I36,"")</f>
        <v>3.99173115518224</v>
      </c>
      <c r="K36" s="36" t="n">
        <v>0.749482126645289</v>
      </c>
      <c r="L36" s="37" t="n">
        <f aca="false">IFERROR(1/K36,"")</f>
        <v>1.3342546332306</v>
      </c>
      <c r="M36" s="36" t="n">
        <v>0.74987073778143</v>
      </c>
      <c r="N36" s="37" t="n">
        <f aca="false">IFERROR(1/M36,"")</f>
        <v>1.3335631724457</v>
      </c>
      <c r="O36" s="36" t="n">
        <v>0.500647135573281</v>
      </c>
      <c r="P36" s="37" t="n">
        <f aca="false">IFERROR(1/O36,"")</f>
        <v>1.99741480365192</v>
      </c>
    </row>
    <row r="37" customFormat="false" ht="18.75" hidden="false" customHeight="true" outlineLevel="0" collapsed="false">
      <c r="A37" s="42" t="n">
        <v>31</v>
      </c>
      <c r="B37" s="40" t="n">
        <v>46313</v>
      </c>
      <c r="C37" s="41" t="s">
        <v>104</v>
      </c>
      <c r="D37" s="41" t="s">
        <v>91</v>
      </c>
      <c r="E37" s="43" t="n">
        <v>0.377280149274393</v>
      </c>
      <c r="F37" s="44" t="n">
        <f aca="false">IFERROR(1/E37,"")</f>
        <v>2.65055026595823</v>
      </c>
      <c r="G37" s="43" t="n">
        <v>0.255309996658155</v>
      </c>
      <c r="H37" s="44" t="n">
        <f aca="false">IFERROR(1/G37,"")</f>
        <v>3.91680707018668</v>
      </c>
      <c r="I37" s="43" t="n">
        <v>0.367409854067452</v>
      </c>
      <c r="J37" s="44" t="n">
        <f aca="false">IFERROR(1/I37,"")</f>
        <v>2.72175606867749</v>
      </c>
      <c r="K37" s="43" t="n">
        <v>0.632590145932548</v>
      </c>
      <c r="L37" s="44" t="n">
        <f aca="false">IFERROR(1/K37,"")</f>
        <v>1.58080236695092</v>
      </c>
      <c r="M37" s="43" t="n">
        <v>0.744690003341845</v>
      </c>
      <c r="N37" s="44" t="n">
        <f aca="false">IFERROR(1/M37,"")</f>
        <v>1.34284063907456</v>
      </c>
      <c r="O37" s="43" t="n">
        <v>0.622719850725608</v>
      </c>
      <c r="P37" s="44" t="n">
        <f aca="false">IFERROR(1/O37,"")</f>
        <v>1.60585855555235</v>
      </c>
    </row>
    <row r="38" customFormat="false" ht="18.75" hidden="false" customHeight="true" outlineLevel="0" collapsed="false">
      <c r="A38" s="35" t="n">
        <v>31</v>
      </c>
      <c r="B38" s="33" t="n">
        <v>46313</v>
      </c>
      <c r="C38" s="34" t="s">
        <v>87</v>
      </c>
      <c r="D38" s="34" t="s">
        <v>84</v>
      </c>
      <c r="E38" s="36" t="n">
        <v>0.543637274095709</v>
      </c>
      <c r="F38" s="37" t="n">
        <f aca="false">IFERROR(1/E38,"")</f>
        <v>1.83946180228979</v>
      </c>
      <c r="G38" s="36" t="n">
        <v>0.242975950374775</v>
      </c>
      <c r="H38" s="37" t="n">
        <f aca="false">IFERROR(1/G38,"")</f>
        <v>4.1156336602761</v>
      </c>
      <c r="I38" s="36" t="n">
        <v>0.213386775529516</v>
      </c>
      <c r="J38" s="37" t="n">
        <f aca="false">IFERROR(1/I38,"")</f>
        <v>4.68632602708634</v>
      </c>
      <c r="K38" s="36" t="n">
        <v>0.786613224470484</v>
      </c>
      <c r="L38" s="37" t="n">
        <f aca="false">IFERROR(1/K38,"")</f>
        <v>1.27127280458978</v>
      </c>
      <c r="M38" s="36" t="n">
        <v>0.757024049625225</v>
      </c>
      <c r="N38" s="37" t="n">
        <f aca="false">IFERROR(1/M38,"")</f>
        <v>1.32096199651129</v>
      </c>
      <c r="O38" s="36" t="n">
        <v>0.456362725904291</v>
      </c>
      <c r="P38" s="37" t="n">
        <f aca="false">IFERROR(1/O38,"")</f>
        <v>2.19123943135032</v>
      </c>
    </row>
    <row r="39" customFormat="false" ht="18.75" hidden="false" customHeight="true" outlineLevel="0" collapsed="false">
      <c r="A39" s="42" t="n">
        <v>32</v>
      </c>
      <c r="B39" s="40" t="n">
        <v>46320</v>
      </c>
      <c r="C39" s="41" t="s">
        <v>83</v>
      </c>
      <c r="D39" s="41" t="s">
        <v>98</v>
      </c>
      <c r="E39" s="43" t="n">
        <v>0.263879551007815</v>
      </c>
      <c r="F39" s="44" t="n">
        <f aca="false">IFERROR(1/E39,"")</f>
        <v>3.78960778196255</v>
      </c>
      <c r="G39" s="43" t="n">
        <v>0.254317073785885</v>
      </c>
      <c r="H39" s="44" t="n">
        <f aca="false">IFERROR(1/G39,"")</f>
        <v>3.93209934792629</v>
      </c>
      <c r="I39" s="43" t="n">
        <v>0.4818033752063</v>
      </c>
      <c r="J39" s="44" t="n">
        <f aca="false">IFERROR(1/I39,"")</f>
        <v>2.07553548077951</v>
      </c>
      <c r="K39" s="43" t="n">
        <v>0.5181966247937</v>
      </c>
      <c r="L39" s="44" t="n">
        <f aca="false">IFERROR(1/K39,"")</f>
        <v>1.92976941985701</v>
      </c>
      <c r="M39" s="43" t="n">
        <v>0.745682926214115</v>
      </c>
      <c r="N39" s="44" t="n">
        <f aca="false">IFERROR(1/M39,"")</f>
        <v>1.34105256382504</v>
      </c>
      <c r="O39" s="43" t="n">
        <v>0.736120448992185</v>
      </c>
      <c r="P39" s="44" t="n">
        <f aca="false">IFERROR(1/O39,"")</f>
        <v>1.3584733332284</v>
      </c>
    </row>
    <row r="40" customFormat="false" ht="18.75" hidden="false" customHeight="true" outlineLevel="0" collapsed="false">
      <c r="A40" s="35" t="n">
        <v>32</v>
      </c>
      <c r="B40" s="33" t="n">
        <v>46320</v>
      </c>
      <c r="C40" s="34" t="s">
        <v>99</v>
      </c>
      <c r="D40" s="34" t="s">
        <v>105</v>
      </c>
      <c r="E40" s="36" t="n">
        <v>0.38584176131359</v>
      </c>
      <c r="F40" s="37" t="n">
        <f aca="false">IFERROR(1/E40,"")</f>
        <v>2.59173604380076</v>
      </c>
      <c r="G40" s="36" t="n">
        <v>0.251757542803976</v>
      </c>
      <c r="H40" s="37" t="n">
        <f aca="false">IFERROR(1/G40,"")</f>
        <v>3.97207562825087</v>
      </c>
      <c r="I40" s="36" t="n">
        <v>0.362400695882433</v>
      </c>
      <c r="J40" s="37" t="n">
        <f aca="false">IFERROR(1/I40,"")</f>
        <v>2.75937659988493</v>
      </c>
      <c r="K40" s="36" t="n">
        <v>0.637599304117567</v>
      </c>
      <c r="L40" s="37" t="n">
        <f aca="false">IFERROR(1/K40,"")</f>
        <v>1.56838314211148</v>
      </c>
      <c r="M40" s="36" t="n">
        <v>0.748242457196024</v>
      </c>
      <c r="N40" s="37" t="n">
        <f aca="false">IFERROR(1/M40,"")</f>
        <v>1.33646519304373</v>
      </c>
      <c r="O40" s="36" t="n">
        <v>0.61415823868641</v>
      </c>
      <c r="P40" s="37" t="n">
        <f aca="false">IFERROR(1/O40,"")</f>
        <v>1.62824486754236</v>
      </c>
    </row>
    <row r="41" customFormat="false" ht="18.75" hidden="false" customHeight="true" outlineLevel="0" collapsed="false">
      <c r="A41" s="42" t="n">
        <v>32</v>
      </c>
      <c r="B41" s="40" t="n">
        <v>46320</v>
      </c>
      <c r="C41" s="41" t="s">
        <v>96</v>
      </c>
      <c r="D41" s="41" t="s">
        <v>104</v>
      </c>
      <c r="E41" s="43" t="n">
        <v>0.637996516603916</v>
      </c>
      <c r="F41" s="44" t="n">
        <f aca="false">IFERROR(1/E41,"")</f>
        <v>1.56740667695655</v>
      </c>
      <c r="G41" s="43" t="n">
        <v>0.210521677170073</v>
      </c>
      <c r="H41" s="44" t="n">
        <f aca="false">IFERROR(1/G41,"")</f>
        <v>4.75010466115629</v>
      </c>
      <c r="I41" s="43" t="n">
        <v>0.151481806226011</v>
      </c>
      <c r="J41" s="44" t="n">
        <f aca="false">IFERROR(1/I41,"")</f>
        <v>6.60145284053452</v>
      </c>
      <c r="K41" s="43" t="n">
        <v>0.848518193773989</v>
      </c>
      <c r="L41" s="44" t="n">
        <f aca="false">IFERROR(1/K41,"")</f>
        <v>1.17852511276424</v>
      </c>
      <c r="M41" s="43" t="n">
        <v>0.789478322829928</v>
      </c>
      <c r="N41" s="44" t="n">
        <f aca="false">IFERROR(1/M41,"")</f>
        <v>1.26665922430327</v>
      </c>
      <c r="O41" s="43" t="n">
        <v>0.362003483396084</v>
      </c>
      <c r="P41" s="44" t="n">
        <f aca="false">IFERROR(1/O41,"")</f>
        <v>2.76240435760077</v>
      </c>
    </row>
    <row r="42" customFormat="false" ht="18.75" hidden="false" customHeight="true" outlineLevel="0" collapsed="false">
      <c r="A42" s="35" t="n">
        <v>32</v>
      </c>
      <c r="B42" s="33" t="n">
        <v>46320</v>
      </c>
      <c r="C42" s="34" t="s">
        <v>8</v>
      </c>
      <c r="D42" s="34" t="s">
        <v>90</v>
      </c>
      <c r="E42" s="36" t="n">
        <v>0.629029529027885</v>
      </c>
      <c r="F42" s="37" t="n">
        <f aca="false">IFERROR(1/E42,"")</f>
        <v>1.58975048682599</v>
      </c>
      <c r="G42" s="36" t="n">
        <v>0.212404248719823</v>
      </c>
      <c r="H42" s="37" t="n">
        <f aca="false">IFERROR(1/G42,"")</f>
        <v>4.70800375240644</v>
      </c>
      <c r="I42" s="36" t="n">
        <v>0.158566222252292</v>
      </c>
      <c r="J42" s="37" t="n">
        <f aca="false">IFERROR(1/I42,"")</f>
        <v>6.3065133658095</v>
      </c>
      <c r="K42" s="36" t="n">
        <v>0.841433777747708</v>
      </c>
      <c r="L42" s="37" t="n">
        <f aca="false">IFERROR(1/K42,"")</f>
        <v>1.18844765499756</v>
      </c>
      <c r="M42" s="36" t="n">
        <v>0.787595751280177</v>
      </c>
      <c r="N42" s="37" t="n">
        <f aca="false">IFERROR(1/M42,"")</f>
        <v>1.26968688997443</v>
      </c>
      <c r="O42" s="36" t="n">
        <v>0.370970470972115</v>
      </c>
      <c r="P42" s="37" t="n">
        <f aca="false">IFERROR(1/O42,"")</f>
        <v>2.69563234340333</v>
      </c>
    </row>
    <row r="43" customFormat="false" ht="18.75" hidden="false" customHeight="true" outlineLevel="0" collapsed="false">
      <c r="A43" s="42" t="n">
        <v>32</v>
      </c>
      <c r="B43" s="40" t="n">
        <v>46320</v>
      </c>
      <c r="C43" s="41" t="s">
        <v>100</v>
      </c>
      <c r="D43" s="41" t="s">
        <v>93</v>
      </c>
      <c r="E43" s="43" t="n">
        <v>0.424688896181804</v>
      </c>
      <c r="F43" s="44" t="n">
        <f aca="false">IFERROR(1/E43,"")</f>
        <v>2.35466481226745</v>
      </c>
      <c r="G43" s="43" t="n">
        <v>0.267687943243933</v>
      </c>
      <c r="H43" s="44" t="n">
        <f aca="false">IFERROR(1/G43,"")</f>
        <v>3.73569309055037</v>
      </c>
      <c r="I43" s="43" t="n">
        <v>0.307623160574263</v>
      </c>
      <c r="J43" s="44" t="n">
        <f aca="false">IFERROR(1/I43,"")</f>
        <v>3.25073053060513</v>
      </c>
      <c r="K43" s="43" t="n">
        <v>0.692376839425737</v>
      </c>
      <c r="L43" s="44" t="n">
        <f aca="false">IFERROR(1/K43,"")</f>
        <v>1.44430018893961</v>
      </c>
      <c r="M43" s="43" t="n">
        <v>0.732312056756067</v>
      </c>
      <c r="N43" s="44" t="n">
        <f aca="false">IFERROR(1/M43,"")</f>
        <v>1.36553808007711</v>
      </c>
      <c r="O43" s="43" t="n">
        <v>0.575311103818196</v>
      </c>
      <c r="P43" s="44" t="n">
        <f aca="false">IFERROR(1/O43,"")</f>
        <v>1.73818998688405</v>
      </c>
    </row>
    <row r="44" customFormat="false" ht="18.75" hidden="false" customHeight="true" outlineLevel="0" collapsed="false">
      <c r="A44" s="35" t="n">
        <v>32</v>
      </c>
      <c r="B44" s="33" t="n">
        <v>46320</v>
      </c>
      <c r="C44" s="34" t="s">
        <v>95</v>
      </c>
      <c r="D44" s="34" t="s">
        <v>87</v>
      </c>
      <c r="E44" s="36" t="n">
        <v>0.48396440421835</v>
      </c>
      <c r="F44" s="37" t="n">
        <f aca="false">IFERROR(1/E44,"")</f>
        <v>2.06626766614189</v>
      </c>
      <c r="G44" s="36" t="n">
        <v>0.259502081945547</v>
      </c>
      <c r="H44" s="37" t="n">
        <f aca="false">IFERROR(1/G44,"")</f>
        <v>3.8535336306467</v>
      </c>
      <c r="I44" s="36" t="n">
        <v>0.256533513836103</v>
      </c>
      <c r="J44" s="37" t="n">
        <f aca="false">IFERROR(1/I44,"")</f>
        <v>3.89812615531744</v>
      </c>
      <c r="K44" s="36" t="n">
        <v>0.743466486163897</v>
      </c>
      <c r="L44" s="37" t="n">
        <f aca="false">IFERROR(1/K44,"")</f>
        <v>1.34505054176652</v>
      </c>
      <c r="M44" s="36" t="n">
        <v>0.740497918054453</v>
      </c>
      <c r="N44" s="37" t="n">
        <f aca="false">IFERROR(1/M44,"")</f>
        <v>1.35044268946407</v>
      </c>
      <c r="O44" s="36" t="n">
        <v>0.51603559578165</v>
      </c>
      <c r="P44" s="37" t="n">
        <f aca="false">IFERROR(1/O44,"")</f>
        <v>1.93785081528199</v>
      </c>
    </row>
    <row r="45" customFormat="false" ht="18.75" hidden="false" customHeight="true" outlineLevel="0" collapsed="false">
      <c r="A45" s="42" t="n">
        <v>32</v>
      </c>
      <c r="B45" s="40" t="n">
        <v>46320</v>
      </c>
      <c r="C45" s="41" t="s">
        <v>102</v>
      </c>
      <c r="D45" s="41" t="s">
        <v>91</v>
      </c>
      <c r="E45" s="43" t="n">
        <v>0.661764499713578</v>
      </c>
      <c r="F45" s="44" t="n">
        <f aca="false">IFERROR(1/E45,"")</f>
        <v>1.51111158188875</v>
      </c>
      <c r="G45" s="43" t="n">
        <v>0.205916025561594</v>
      </c>
      <c r="H45" s="44" t="n">
        <f aca="false">IFERROR(1/G45,"")</f>
        <v>4.8563485880844</v>
      </c>
      <c r="I45" s="43" t="n">
        <v>0.132319474724828</v>
      </c>
      <c r="J45" s="44" t="n">
        <f aca="false">IFERROR(1/I45,"")</f>
        <v>7.55746651866327</v>
      </c>
      <c r="K45" s="43" t="n">
        <v>0.867680525275172</v>
      </c>
      <c r="L45" s="44" t="n">
        <f aca="false">IFERROR(1/K45,"")</f>
        <v>1.15249791930373</v>
      </c>
      <c r="M45" s="43" t="n">
        <v>0.794083974438406</v>
      </c>
      <c r="N45" s="44" t="n">
        <f aca="false">IFERROR(1/M45,"")</f>
        <v>1.25931265733857</v>
      </c>
      <c r="O45" s="43" t="n">
        <v>0.338235500286423</v>
      </c>
      <c r="P45" s="44" t="n">
        <f aca="false">IFERROR(1/O45,"")</f>
        <v>2.95651993700598</v>
      </c>
    </row>
    <row r="46" customFormat="false" ht="18.75" hidden="false" customHeight="true" outlineLevel="0" collapsed="false">
      <c r="A46" s="35" t="n">
        <v>32</v>
      </c>
      <c r="B46" s="33" t="n">
        <v>46320</v>
      </c>
      <c r="C46" s="34" t="s">
        <v>88</v>
      </c>
      <c r="D46" s="34" t="s">
        <v>103</v>
      </c>
      <c r="E46" s="36" t="n">
        <v>0.452673038785135</v>
      </c>
      <c r="F46" s="37" t="n">
        <f aca="false">IFERROR(1/E46,"")</f>
        <v>2.20909997795265</v>
      </c>
      <c r="G46" s="36" t="n">
        <v>0.250690833200746</v>
      </c>
      <c r="H46" s="37" t="n">
        <f aca="false">IFERROR(1/G46,"")</f>
        <v>3.98897712865004</v>
      </c>
      <c r="I46" s="36" t="n">
        <v>0.296636128014119</v>
      </c>
      <c r="J46" s="37" t="n">
        <f aca="false">IFERROR(1/I46,"")</f>
        <v>3.37113353890731</v>
      </c>
      <c r="K46" s="36" t="n">
        <v>0.703363871985881</v>
      </c>
      <c r="L46" s="37" t="n">
        <f aca="false">IFERROR(1/K46,"")</f>
        <v>1.42173921611384</v>
      </c>
      <c r="M46" s="36" t="n">
        <v>0.749309166799254</v>
      </c>
      <c r="N46" s="37" t="n">
        <f aca="false">IFERROR(1/M46,"")</f>
        <v>1.33456261354922</v>
      </c>
      <c r="O46" s="36" t="n">
        <v>0.547326961214865</v>
      </c>
      <c r="P46" s="37" t="n">
        <f aca="false">IFERROR(1/O46,"")</f>
        <v>1.82706146574685</v>
      </c>
    </row>
    <row r="47" customFormat="false" ht="18.75" hidden="false" customHeight="true" outlineLevel="0" collapsed="false">
      <c r="A47" s="42" t="n">
        <v>32</v>
      </c>
      <c r="B47" s="40" t="n">
        <v>46320</v>
      </c>
      <c r="C47" s="41" t="s">
        <v>84</v>
      </c>
      <c r="D47" s="41" t="s">
        <v>101</v>
      </c>
      <c r="E47" s="43" t="n">
        <v>0.412156902484691</v>
      </c>
      <c r="F47" s="44" t="n">
        <f aca="false">IFERROR(1/E47,"")</f>
        <v>2.42626047015467</v>
      </c>
      <c r="G47" s="43" t="n">
        <v>0.267311110721739</v>
      </c>
      <c r="H47" s="44" t="n">
        <f aca="false">IFERROR(1/G47,"")</f>
        <v>3.74095935369092</v>
      </c>
      <c r="I47" s="43" t="n">
        <v>0.32053198679357</v>
      </c>
      <c r="J47" s="44" t="n">
        <f aca="false">IFERROR(1/I47,"")</f>
        <v>3.1198134389128</v>
      </c>
      <c r="K47" s="43" t="n">
        <v>0.67946801320643</v>
      </c>
      <c r="L47" s="44" t="n">
        <f aca="false">IFERROR(1/K47,"")</f>
        <v>1.4717396265366</v>
      </c>
      <c r="M47" s="43" t="n">
        <v>0.732688889278261</v>
      </c>
      <c r="N47" s="44" t="n">
        <f aca="false">IFERROR(1/M47,"")</f>
        <v>1.36483576403766</v>
      </c>
      <c r="O47" s="43" t="n">
        <v>0.587843097515309</v>
      </c>
      <c r="P47" s="44" t="n">
        <f aca="false">IFERROR(1/O47,"")</f>
        <v>1.70113420439364</v>
      </c>
    </row>
    <row r="48" customFormat="false" ht="18.75" hidden="false" customHeight="true" outlineLevel="0" collapsed="false">
      <c r="A48" s="35" t="n">
        <v>32</v>
      </c>
      <c r="B48" s="33" t="n">
        <v>46320</v>
      </c>
      <c r="C48" s="34" t="s">
        <v>106</v>
      </c>
      <c r="D48" s="34" t="s">
        <v>92</v>
      </c>
      <c r="E48" s="36" t="n">
        <v>0.34677540710245</v>
      </c>
      <c r="F48" s="37" t="n">
        <f aca="false">IFERROR(1/E48,"")</f>
        <v>2.88371083853869</v>
      </c>
      <c r="G48" s="36" t="n">
        <v>0.279811780739644</v>
      </c>
      <c r="H48" s="37" t="n">
        <f aca="false">IFERROR(1/G48,"")</f>
        <v>3.57383094220206</v>
      </c>
      <c r="I48" s="36" t="n">
        <v>0.373412812157906</v>
      </c>
      <c r="J48" s="37" t="n">
        <f aca="false">IFERROR(1/I48,"")</f>
        <v>2.67800130965278</v>
      </c>
      <c r="K48" s="36" t="n">
        <v>0.626587187842094</v>
      </c>
      <c r="L48" s="37" t="n">
        <f aca="false">IFERROR(1/K48,"")</f>
        <v>1.59594709148762</v>
      </c>
      <c r="M48" s="36" t="n">
        <v>0.720188219260356</v>
      </c>
      <c r="N48" s="37" t="n">
        <f aca="false">IFERROR(1/M48,"")</f>
        <v>1.38852590650124</v>
      </c>
      <c r="O48" s="36" t="n">
        <v>0.65322459289755</v>
      </c>
      <c r="P48" s="37" t="n">
        <f aca="false">IFERROR(1/O48,"")</f>
        <v>1.53086704155494</v>
      </c>
    </row>
    <row r="49" customFormat="false" ht="18.75" hidden="false" customHeight="true" outlineLevel="0" collapsed="false">
      <c r="A49" s="42" t="n">
        <v>33</v>
      </c>
      <c r="B49" s="40" t="n">
        <v>46323</v>
      </c>
      <c r="C49" s="41" t="s">
        <v>90</v>
      </c>
      <c r="D49" s="41" t="s">
        <v>96</v>
      </c>
      <c r="E49" s="43" t="n">
        <v>0.437855750545641</v>
      </c>
      <c r="F49" s="44" t="n">
        <f aca="false">IFERROR(1/E49,"")</f>
        <v>2.28385718071268</v>
      </c>
      <c r="G49" s="43" t="n">
        <v>0.278339610453099</v>
      </c>
      <c r="H49" s="44" t="n">
        <f aca="false">IFERROR(1/G49,"")</f>
        <v>3.59273334604491</v>
      </c>
      <c r="I49" s="43" t="n">
        <v>0.28380463900126</v>
      </c>
      <c r="J49" s="44" t="n">
        <f aca="false">IFERROR(1/I49,"")</f>
        <v>3.52355057873301</v>
      </c>
      <c r="K49" s="43" t="n">
        <v>0.71619536099874</v>
      </c>
      <c r="L49" s="44" t="n">
        <f aca="false">IFERROR(1/K49,"")</f>
        <v>1.39626707244444</v>
      </c>
      <c r="M49" s="43" t="n">
        <v>0.721660389546901</v>
      </c>
      <c r="N49" s="44" t="n">
        <f aca="false">IFERROR(1/M49,"")</f>
        <v>1.38569334618442</v>
      </c>
      <c r="O49" s="43" t="n">
        <v>0.562144249454359</v>
      </c>
      <c r="P49" s="44" t="n">
        <f aca="false">IFERROR(1/O49,"")</f>
        <v>1.77890283671965</v>
      </c>
    </row>
    <row r="50" customFormat="false" ht="18.75" hidden="false" customHeight="true" outlineLevel="0" collapsed="false">
      <c r="A50" s="35" t="n">
        <v>33</v>
      </c>
      <c r="B50" s="33" t="n">
        <v>46323</v>
      </c>
      <c r="C50" s="34" t="s">
        <v>103</v>
      </c>
      <c r="D50" s="34" t="s">
        <v>87</v>
      </c>
      <c r="E50" s="36" t="n">
        <v>0.451622690447422</v>
      </c>
      <c r="F50" s="37" t="n">
        <f aca="false">IFERROR(1/E50,"")</f>
        <v>2.21423772797886</v>
      </c>
      <c r="G50" s="36" t="n">
        <v>0.266599119882747</v>
      </c>
      <c r="H50" s="37" t="n">
        <f aca="false">IFERROR(1/G50,"")</f>
        <v>3.750950117314</v>
      </c>
      <c r="I50" s="36" t="n">
        <v>0.281778189669831</v>
      </c>
      <c r="J50" s="37" t="n">
        <f aca="false">IFERROR(1/I50,"")</f>
        <v>3.54889071141998</v>
      </c>
      <c r="K50" s="36" t="n">
        <v>0.718221810330169</v>
      </c>
      <c r="L50" s="37" t="n">
        <f aca="false">IFERROR(1/K50,"")</f>
        <v>1.39232753115684</v>
      </c>
      <c r="M50" s="36" t="n">
        <v>0.733400880117253</v>
      </c>
      <c r="N50" s="37" t="n">
        <f aca="false">IFERROR(1/M50,"")</f>
        <v>1.36351077168073</v>
      </c>
      <c r="O50" s="36" t="n">
        <v>0.548377309552578</v>
      </c>
      <c r="P50" s="37" t="n">
        <f aca="false">IFERROR(1/O50,"")</f>
        <v>1.82356195739737</v>
      </c>
    </row>
    <row r="51" customFormat="false" ht="18.75" hidden="false" customHeight="true" outlineLevel="0" collapsed="false">
      <c r="A51" s="42" t="n">
        <v>33</v>
      </c>
      <c r="B51" s="40" t="n">
        <v>46323</v>
      </c>
      <c r="C51" s="41" t="s">
        <v>91</v>
      </c>
      <c r="D51" s="41" t="s">
        <v>83</v>
      </c>
      <c r="E51" s="43" t="n">
        <v>0.652621885693369</v>
      </c>
      <c r="F51" s="44" t="n">
        <f aca="false">IFERROR(1/E51,"")</f>
        <v>1.53228082281912</v>
      </c>
      <c r="G51" s="43" t="n">
        <v>0.200522086107634</v>
      </c>
      <c r="H51" s="44" t="n">
        <f aca="false">IFERROR(1/G51,"")</f>
        <v>4.98698183033679</v>
      </c>
      <c r="I51" s="43" t="n">
        <v>0.146856028198997</v>
      </c>
      <c r="J51" s="44" t="n">
        <f aca="false">IFERROR(1/I51,"")</f>
        <v>6.80939020524888</v>
      </c>
      <c r="K51" s="43" t="n">
        <v>0.853143971801003</v>
      </c>
      <c r="L51" s="44" t="n">
        <f aca="false">IFERROR(1/K51,"")</f>
        <v>1.17213510621071</v>
      </c>
      <c r="M51" s="43" t="n">
        <v>0.799477913892366</v>
      </c>
      <c r="N51" s="44" t="n">
        <f aca="false">IFERROR(1/M51,"")</f>
        <v>1.25081629226174</v>
      </c>
      <c r="O51" s="43" t="n">
        <v>0.347378114306631</v>
      </c>
      <c r="P51" s="44" t="n">
        <f aca="false">IFERROR(1/O51,"")</f>
        <v>2.87870754896579</v>
      </c>
    </row>
    <row r="52" customFormat="false" ht="18.75" hidden="false" customHeight="true" outlineLevel="0" collapsed="false">
      <c r="A52" s="35" t="n">
        <v>33</v>
      </c>
      <c r="B52" s="33" t="n">
        <v>46323</v>
      </c>
      <c r="C52" s="34" t="s">
        <v>101</v>
      </c>
      <c r="D52" s="34" t="s">
        <v>95</v>
      </c>
      <c r="E52" s="36" t="n">
        <v>0.433323322665609</v>
      </c>
      <c r="F52" s="37" t="n">
        <f aca="false">IFERROR(1/E52,"")</f>
        <v>2.30774562017215</v>
      </c>
      <c r="G52" s="36" t="n">
        <v>0.26786967721078</v>
      </c>
      <c r="H52" s="37" t="n">
        <f aca="false">IFERROR(1/G52,"")</f>
        <v>3.73315864047249</v>
      </c>
      <c r="I52" s="36" t="n">
        <v>0.298807000123611</v>
      </c>
      <c r="J52" s="37" t="n">
        <f aca="false">IFERROR(1/I52,"")</f>
        <v>3.34664181088903</v>
      </c>
      <c r="K52" s="36" t="n">
        <v>0.701192999876389</v>
      </c>
      <c r="L52" s="37" t="n">
        <f aca="false">IFERROR(1/K52,"")</f>
        <v>1.42614087729953</v>
      </c>
      <c r="M52" s="36" t="n">
        <v>0.73213032278922</v>
      </c>
      <c r="N52" s="37" t="n">
        <f aca="false">IFERROR(1/M52,"")</f>
        <v>1.36587704247827</v>
      </c>
      <c r="O52" s="36" t="n">
        <v>0.566676677334391</v>
      </c>
      <c r="P52" s="37" t="n">
        <f aca="false">IFERROR(1/O52,"")</f>
        <v>1.76467470781387</v>
      </c>
    </row>
    <row r="53" customFormat="false" ht="18.75" hidden="false" customHeight="true" outlineLevel="0" collapsed="false">
      <c r="A53" s="42" t="n">
        <v>33</v>
      </c>
      <c r="B53" s="40" t="n">
        <v>46323</v>
      </c>
      <c r="C53" s="41" t="s">
        <v>99</v>
      </c>
      <c r="D53" s="41" t="s">
        <v>106</v>
      </c>
      <c r="E53" s="43" t="n">
        <v>0.461792939476874</v>
      </c>
      <c r="F53" s="44" t="n">
        <f aca="false">IFERROR(1/E53,"")</f>
        <v>2.16547269244267</v>
      </c>
      <c r="G53" s="43" t="n">
        <v>0.254127917591347</v>
      </c>
      <c r="H53" s="44" t="n">
        <f aca="false">IFERROR(1/G53,"")</f>
        <v>3.93502614540784</v>
      </c>
      <c r="I53" s="43" t="n">
        <v>0.284079142931779</v>
      </c>
      <c r="J53" s="44" t="n">
        <f aca="false">IFERROR(1/I53,"")</f>
        <v>3.5201457934564</v>
      </c>
      <c r="K53" s="43" t="n">
        <v>0.715920857068221</v>
      </c>
      <c r="L53" s="44" t="n">
        <f aca="false">IFERROR(1/K53,"")</f>
        <v>1.3968024400003</v>
      </c>
      <c r="M53" s="43" t="n">
        <v>0.745872082408653</v>
      </c>
      <c r="N53" s="44" t="n">
        <f aca="false">IFERROR(1/M53,"")</f>
        <v>1.34071246743904</v>
      </c>
      <c r="O53" s="43" t="n">
        <v>0.538207060523126</v>
      </c>
      <c r="P53" s="44" t="n">
        <f aca="false">IFERROR(1/O53,"")</f>
        <v>1.85802096135272</v>
      </c>
    </row>
    <row r="54" customFormat="false" ht="18.75" hidden="false" customHeight="true" outlineLevel="0" collapsed="false">
      <c r="A54" s="35" t="n">
        <v>33</v>
      </c>
      <c r="B54" s="33" t="n">
        <v>46323</v>
      </c>
      <c r="C54" s="34" t="s">
        <v>98</v>
      </c>
      <c r="D54" s="34" t="s">
        <v>100</v>
      </c>
      <c r="E54" s="36" t="n">
        <v>0.488756030674576</v>
      </c>
      <c r="F54" s="37" t="n">
        <f aca="false">IFERROR(1/E54,"")</f>
        <v>2.04601055995117</v>
      </c>
      <c r="G54" s="36" t="n">
        <v>0.264725942875028</v>
      </c>
      <c r="H54" s="37" t="n">
        <f aca="false">IFERROR(1/G54,"")</f>
        <v>3.77749150362675</v>
      </c>
      <c r="I54" s="36" t="n">
        <v>0.246518026450396</v>
      </c>
      <c r="J54" s="37" t="n">
        <f aca="false">IFERROR(1/I54,"")</f>
        <v>4.05649848166872</v>
      </c>
      <c r="K54" s="36" t="n">
        <v>0.753481973549605</v>
      </c>
      <c r="L54" s="37" t="n">
        <f aca="false">IFERROR(1/K54,"")</f>
        <v>1.32717176402916</v>
      </c>
      <c r="M54" s="36" t="n">
        <v>0.735274057124972</v>
      </c>
      <c r="N54" s="37" t="n">
        <f aca="false">IFERROR(1/M54,"")</f>
        <v>1.36003710495396</v>
      </c>
      <c r="O54" s="36" t="n">
        <v>0.511243969325424</v>
      </c>
      <c r="P54" s="37" t="n">
        <f aca="false">IFERROR(1/O54,"")</f>
        <v>1.95601329306531</v>
      </c>
    </row>
    <row r="55" customFormat="false" ht="18.75" hidden="false" customHeight="true" outlineLevel="0" collapsed="false">
      <c r="A55" s="42" t="n">
        <v>33</v>
      </c>
      <c r="B55" s="40" t="n">
        <v>46323</v>
      </c>
      <c r="C55" s="41" t="s">
        <v>105</v>
      </c>
      <c r="D55" s="41" t="s">
        <v>92</v>
      </c>
      <c r="E55" s="43" t="n">
        <v>0.428918087517414</v>
      </c>
      <c r="F55" s="44" t="n">
        <f aca="false">IFERROR(1/E55,"")</f>
        <v>2.33144749336177</v>
      </c>
      <c r="G55" s="43" t="n">
        <v>0.265920880638504</v>
      </c>
      <c r="H55" s="44" t="n">
        <f aca="false">IFERROR(1/G55,"")</f>
        <v>3.76051702897078</v>
      </c>
      <c r="I55" s="43" t="n">
        <v>0.305161031844082</v>
      </c>
      <c r="J55" s="44" t="n">
        <f aca="false">IFERROR(1/I55,"")</f>
        <v>3.27695837819468</v>
      </c>
      <c r="K55" s="43" t="n">
        <v>0.694838968155918</v>
      </c>
      <c r="L55" s="44" t="n">
        <f aca="false">IFERROR(1/K55,"")</f>
        <v>1.4391823801333</v>
      </c>
      <c r="M55" s="43" t="n">
        <v>0.734079119361496</v>
      </c>
      <c r="N55" s="44" t="n">
        <f aca="false">IFERROR(1/M55,"")</f>
        <v>1.36225098034365</v>
      </c>
      <c r="O55" s="43" t="n">
        <v>0.571081912482586</v>
      </c>
      <c r="P55" s="44" t="n">
        <f aca="false">IFERROR(1/O55,"")</f>
        <v>1.75106228746212</v>
      </c>
    </row>
    <row r="56" customFormat="false" ht="18.75" hidden="false" customHeight="true" outlineLevel="0" collapsed="false">
      <c r="A56" s="35" t="n">
        <v>33</v>
      </c>
      <c r="B56" s="33" t="n">
        <v>46323</v>
      </c>
      <c r="C56" s="34" t="s">
        <v>104</v>
      </c>
      <c r="D56" s="34" t="s">
        <v>93</v>
      </c>
      <c r="E56" s="36" t="n">
        <v>0.315487972235046</v>
      </c>
      <c r="F56" s="37" t="n">
        <f aca="false">IFERROR(1/E56,"")</f>
        <v>3.16969294555222</v>
      </c>
      <c r="G56" s="36" t="n">
        <v>0.249894435047321</v>
      </c>
      <c r="H56" s="37" t="n">
        <f aca="false">IFERROR(1/G56,"")</f>
        <v>4.00168975275755</v>
      </c>
      <c r="I56" s="36" t="n">
        <v>0.434617592717633</v>
      </c>
      <c r="J56" s="37" t="n">
        <f aca="false">IFERROR(1/I56,"")</f>
        <v>2.30087326596025</v>
      </c>
      <c r="K56" s="36" t="n">
        <v>0.565382407282367</v>
      </c>
      <c r="L56" s="37" t="n">
        <f aca="false">IFERROR(1/K56,"")</f>
        <v>1.7687143906842</v>
      </c>
      <c r="M56" s="36" t="n">
        <v>0.750105564952679</v>
      </c>
      <c r="N56" s="37" t="n">
        <f aca="false">IFERROR(1/M56,"")</f>
        <v>1.33314568871794</v>
      </c>
      <c r="O56" s="36" t="n">
        <v>0.684512027764954</v>
      </c>
      <c r="P56" s="37" t="n">
        <f aca="false">IFERROR(1/O56,"")</f>
        <v>1.46089470957167</v>
      </c>
    </row>
    <row r="57" customFormat="false" ht="18.75" hidden="false" customHeight="true" outlineLevel="0" collapsed="false">
      <c r="A57" s="42" t="n">
        <v>33</v>
      </c>
      <c r="B57" s="40" t="n">
        <v>46323</v>
      </c>
      <c r="C57" s="41" t="s">
        <v>88</v>
      </c>
      <c r="D57" s="41" t="s">
        <v>102</v>
      </c>
      <c r="E57" s="43" t="n">
        <v>0.269291234031585</v>
      </c>
      <c r="F57" s="44" t="n">
        <f aca="false">IFERROR(1/E57,"")</f>
        <v>3.71345173412779</v>
      </c>
      <c r="G57" s="43" t="n">
        <v>0.261058765675232</v>
      </c>
      <c r="H57" s="44" t="n">
        <f aca="false">IFERROR(1/G57,"")</f>
        <v>3.83055515264345</v>
      </c>
      <c r="I57" s="43" t="n">
        <v>0.469650000293183</v>
      </c>
      <c r="J57" s="44" t="n">
        <f aca="false">IFERROR(1/I57,"")</f>
        <v>2.12924518125357</v>
      </c>
      <c r="K57" s="43" t="n">
        <v>0.530349999706817</v>
      </c>
      <c r="L57" s="44" t="n">
        <f aca="false">IFERROR(1/K57,"")</f>
        <v>1.8855472811404</v>
      </c>
      <c r="M57" s="43" t="n">
        <v>0.738941234324768</v>
      </c>
      <c r="N57" s="44" t="n">
        <f aca="false">IFERROR(1/M57,"")</f>
        <v>1.35328758708909</v>
      </c>
      <c r="O57" s="43" t="n">
        <v>0.730708765968416</v>
      </c>
      <c r="P57" s="44" t="n">
        <f aca="false">IFERROR(1/O57,"")</f>
        <v>1.3685342869463</v>
      </c>
    </row>
    <row r="58" customFormat="false" ht="18.75" hidden="false" customHeight="true" outlineLevel="0" collapsed="false">
      <c r="A58" s="35" t="n">
        <v>33</v>
      </c>
      <c r="B58" s="33" t="n">
        <v>46323</v>
      </c>
      <c r="C58" s="34" t="s">
        <v>84</v>
      </c>
      <c r="D58" s="34" t="s">
        <v>8</v>
      </c>
      <c r="E58" s="36" t="n">
        <v>0.246718409100986</v>
      </c>
      <c r="F58" s="37" t="n">
        <f aca="false">IFERROR(1/E58,"")</f>
        <v>4.05320382716428</v>
      </c>
      <c r="G58" s="36" t="n">
        <v>0.234466675867208</v>
      </c>
      <c r="H58" s="37" t="n">
        <f aca="false">IFERROR(1/G58,"")</f>
        <v>4.26499841097401</v>
      </c>
      <c r="I58" s="36" t="n">
        <v>0.518814915031806</v>
      </c>
      <c r="J58" s="37" t="n">
        <f aca="false">IFERROR(1/I58,"")</f>
        <v>1.92746964481292</v>
      </c>
      <c r="K58" s="36" t="n">
        <v>0.481185084968194</v>
      </c>
      <c r="L58" s="37" t="n">
        <f aca="false">IFERROR(1/K58,"")</f>
        <v>2.07820240327295</v>
      </c>
      <c r="M58" s="36" t="n">
        <v>0.765533324132792</v>
      </c>
      <c r="N58" s="37" t="n">
        <f aca="false">IFERROR(1/M58,"")</f>
        <v>1.30627886269068</v>
      </c>
      <c r="O58" s="36" t="n">
        <v>0.753281590899014</v>
      </c>
      <c r="P58" s="37" t="n">
        <f aca="false">IFERROR(1/O58,"")</f>
        <v>1.3275248088919</v>
      </c>
    </row>
    <row r="59" customFormat="false" ht="18.75" hidden="false" customHeight="true" outlineLevel="0" collapsed="false">
      <c r="A59" s="42" t="n">
        <v>34</v>
      </c>
      <c r="B59" s="40" t="n">
        <v>46330</v>
      </c>
      <c r="C59" s="41" t="s">
        <v>92</v>
      </c>
      <c r="D59" s="41" t="s">
        <v>84</v>
      </c>
      <c r="E59" s="43" t="n">
        <v>0.560829226403294</v>
      </c>
      <c r="F59" s="44" t="n">
        <f aca="false">IFERROR(1/E59,"")</f>
        <v>1.7830739785321</v>
      </c>
      <c r="G59" s="43" t="n">
        <v>0.23249850589652</v>
      </c>
      <c r="H59" s="44" t="n">
        <f aca="false">IFERROR(1/G59,"")</f>
        <v>4.30110290878635</v>
      </c>
      <c r="I59" s="43" t="n">
        <v>0.206672267700187</v>
      </c>
      <c r="J59" s="44" t="n">
        <f aca="false">IFERROR(1/I59,"")</f>
        <v>4.83857854335188</v>
      </c>
      <c r="K59" s="43" t="n">
        <v>0.793327732299813</v>
      </c>
      <c r="L59" s="44" t="n">
        <f aca="false">IFERROR(1/K59,"")</f>
        <v>1.26051310106235</v>
      </c>
      <c r="M59" s="43" t="n">
        <v>0.767501494103481</v>
      </c>
      <c r="N59" s="44" t="n">
        <f aca="false">IFERROR(1/M59,"")</f>
        <v>1.30292905966014</v>
      </c>
      <c r="O59" s="43" t="n">
        <v>0.439170773596707</v>
      </c>
      <c r="P59" s="44" t="n">
        <f aca="false">IFERROR(1/O59,"")</f>
        <v>2.27701855433191</v>
      </c>
    </row>
    <row r="60" customFormat="false" ht="18.75" hidden="false" customHeight="true" outlineLevel="0" collapsed="false">
      <c r="A60" s="35" t="n">
        <v>34</v>
      </c>
      <c r="B60" s="33" t="n">
        <v>46330</v>
      </c>
      <c r="C60" s="34" t="s">
        <v>93</v>
      </c>
      <c r="D60" s="34" t="s">
        <v>90</v>
      </c>
      <c r="E60" s="36" t="n">
        <v>0.488625056631443</v>
      </c>
      <c r="F60" s="37" t="n">
        <f aca="false">IFERROR(1/E60,"")</f>
        <v>2.04655898511213</v>
      </c>
      <c r="G60" s="36" t="n">
        <v>0.25596404955589</v>
      </c>
      <c r="H60" s="37" t="n">
        <f aca="false">IFERROR(1/G60,"")</f>
        <v>3.9067986372893</v>
      </c>
      <c r="I60" s="36" t="n">
        <v>0.255410893812668</v>
      </c>
      <c r="J60" s="37" t="n">
        <f aca="false">IFERROR(1/I60,"")</f>
        <v>3.91525978031874</v>
      </c>
      <c r="K60" s="36" t="n">
        <v>0.744589106187332</v>
      </c>
      <c r="L60" s="37" t="n">
        <f aca="false">IFERROR(1/K60,"")</f>
        <v>1.34302260359475</v>
      </c>
      <c r="M60" s="36" t="n">
        <v>0.744035950444111</v>
      </c>
      <c r="N60" s="37" t="n">
        <f aca="false">IFERROR(1/M60,"")</f>
        <v>1.34402107774914</v>
      </c>
      <c r="O60" s="36" t="n">
        <v>0.511374943368557</v>
      </c>
      <c r="P60" s="37" t="n">
        <f aca="false">IFERROR(1/O60,"")</f>
        <v>1.95551231629134</v>
      </c>
    </row>
    <row r="61" customFormat="false" ht="18.75" hidden="false" customHeight="true" outlineLevel="0" collapsed="false">
      <c r="A61" s="42" t="n">
        <v>34</v>
      </c>
      <c r="B61" s="40" t="n">
        <v>46330</v>
      </c>
      <c r="C61" s="41" t="s">
        <v>91</v>
      </c>
      <c r="D61" s="41" t="s">
        <v>88</v>
      </c>
      <c r="E61" s="43" t="n">
        <v>0.485510779136609</v>
      </c>
      <c r="F61" s="44" t="n">
        <f aca="false">IFERROR(1/E61,"")</f>
        <v>2.05968650537134</v>
      </c>
      <c r="G61" s="43" t="n">
        <v>0.251637820008903</v>
      </c>
      <c r="H61" s="44" t="n">
        <f aca="false">IFERROR(1/G61,"")</f>
        <v>3.97396543955364</v>
      </c>
      <c r="I61" s="43" t="n">
        <v>0.262851400854488</v>
      </c>
      <c r="J61" s="44" t="n">
        <f aca="false">IFERROR(1/I61,"")</f>
        <v>3.804430932265</v>
      </c>
      <c r="K61" s="43" t="n">
        <v>0.737148599145512</v>
      </c>
      <c r="L61" s="44" t="n">
        <f aca="false">IFERROR(1/K61,"")</f>
        <v>1.35657858016576</v>
      </c>
      <c r="M61" s="43" t="n">
        <v>0.748362179991096</v>
      </c>
      <c r="N61" s="44" t="n">
        <f aca="false">IFERROR(1/M61,"")</f>
        <v>1.33625138567518</v>
      </c>
      <c r="O61" s="43" t="n">
        <v>0.514489220863391</v>
      </c>
      <c r="P61" s="44" t="n">
        <f aca="false">IFERROR(1/O61,"")</f>
        <v>1.94367531805982</v>
      </c>
    </row>
    <row r="62" customFormat="false" ht="18.75" hidden="false" customHeight="true" outlineLevel="0" collapsed="false">
      <c r="A62" s="35" t="n">
        <v>34</v>
      </c>
      <c r="B62" s="33" t="n">
        <v>46330</v>
      </c>
      <c r="C62" s="34" t="s">
        <v>83</v>
      </c>
      <c r="D62" s="34" t="s">
        <v>95</v>
      </c>
      <c r="E62" s="36" t="n">
        <v>0.268212555734817</v>
      </c>
      <c r="F62" s="37" t="n">
        <f aca="false">IFERROR(1/E62,"")</f>
        <v>3.72838623180902</v>
      </c>
      <c r="G62" s="36" t="n">
        <v>0.240733916109163</v>
      </c>
      <c r="H62" s="37" t="n">
        <f aca="false">IFERROR(1/G62,"")</f>
        <v>4.15396391236596</v>
      </c>
      <c r="I62" s="36" t="n">
        <v>0.49105352815602</v>
      </c>
      <c r="J62" s="37" t="n">
        <f aca="false">IFERROR(1/I62,"")</f>
        <v>2.0364378680979</v>
      </c>
      <c r="K62" s="36" t="n">
        <v>0.50894647184398</v>
      </c>
      <c r="L62" s="37" t="n">
        <f aca="false">IFERROR(1/K62,"")</f>
        <v>1.96484317177181</v>
      </c>
      <c r="M62" s="36" t="n">
        <v>0.759266083890837</v>
      </c>
      <c r="N62" s="37" t="n">
        <f aca="false">IFERROR(1/M62,"")</f>
        <v>1.31706133227436</v>
      </c>
      <c r="O62" s="36" t="n">
        <v>0.731787444265184</v>
      </c>
      <c r="P62" s="37" t="n">
        <f aca="false">IFERROR(1/O62,"")</f>
        <v>1.36651702326505</v>
      </c>
    </row>
    <row r="63" customFormat="false" ht="18.75" hidden="false" customHeight="true" outlineLevel="0" collapsed="false">
      <c r="A63" s="42" t="n">
        <v>34</v>
      </c>
      <c r="B63" s="40" t="n">
        <v>46330</v>
      </c>
      <c r="C63" s="41" t="s">
        <v>96</v>
      </c>
      <c r="D63" s="41" t="s">
        <v>103</v>
      </c>
      <c r="E63" s="43" t="n">
        <v>0.514548977154803</v>
      </c>
      <c r="F63" s="44" t="n">
        <f aca="false">IFERROR(1/E63,"")</f>
        <v>1.94344959255287</v>
      </c>
      <c r="G63" s="43" t="n">
        <v>0.253881503931163</v>
      </c>
      <c r="H63" s="44" t="n">
        <f aca="false">IFERROR(1/G63,"")</f>
        <v>3.93884542400985</v>
      </c>
      <c r="I63" s="43" t="n">
        <v>0.231569518914034</v>
      </c>
      <c r="J63" s="44" t="n">
        <f aca="false">IFERROR(1/I63,"")</f>
        <v>4.31835763484586</v>
      </c>
      <c r="K63" s="43" t="n">
        <v>0.768430481085966</v>
      </c>
      <c r="L63" s="44" t="n">
        <f aca="false">IFERROR(1/K63,"")</f>
        <v>1.30135389552322</v>
      </c>
      <c r="M63" s="43" t="n">
        <v>0.746118496068837</v>
      </c>
      <c r="N63" s="44" t="n">
        <f aca="false">IFERROR(1/M63,"")</f>
        <v>1.34026968272308</v>
      </c>
      <c r="O63" s="43" t="n">
        <v>0.485451022845197</v>
      </c>
      <c r="P63" s="44" t="n">
        <f aca="false">IFERROR(1/O63,"")</f>
        <v>2.05994004119935</v>
      </c>
    </row>
    <row r="64" customFormat="false" ht="18.75" hidden="false" customHeight="true" outlineLevel="0" collapsed="false">
      <c r="A64" s="35" t="n">
        <v>34</v>
      </c>
      <c r="B64" s="33" t="n">
        <v>46330</v>
      </c>
      <c r="C64" s="34" t="s">
        <v>8</v>
      </c>
      <c r="D64" s="34" t="s">
        <v>105</v>
      </c>
      <c r="E64" s="36" t="n">
        <v>0.684039405587102</v>
      </c>
      <c r="F64" s="37" t="n">
        <f aca="false">IFERROR(1/E64,"")</f>
        <v>1.46190408305749</v>
      </c>
      <c r="G64" s="36" t="n">
        <v>0.186901425211006</v>
      </c>
      <c r="H64" s="37" t="n">
        <f aca="false">IFERROR(1/G64,"")</f>
        <v>5.35041398893041</v>
      </c>
      <c r="I64" s="36" t="n">
        <v>0.129059169201892</v>
      </c>
      <c r="J64" s="37" t="n">
        <f aca="false">IFERROR(1/I64,"")</f>
        <v>7.74838398684921</v>
      </c>
      <c r="K64" s="36" t="n">
        <v>0.870940830798108</v>
      </c>
      <c r="L64" s="37" t="n">
        <f aca="false">IFERROR(1/K64,"")</f>
        <v>1.14818362469426</v>
      </c>
      <c r="M64" s="36" t="n">
        <v>0.813098574788994</v>
      </c>
      <c r="N64" s="37" t="n">
        <f aca="false">IFERROR(1/M64,"")</f>
        <v>1.22986318142239</v>
      </c>
      <c r="O64" s="36" t="n">
        <v>0.315960594412898</v>
      </c>
      <c r="P64" s="37" t="n">
        <f aca="false">IFERROR(1/O64,"")</f>
        <v>3.16495163537133</v>
      </c>
    </row>
    <row r="65" customFormat="false" ht="18.75" hidden="false" customHeight="true" outlineLevel="0" collapsed="false">
      <c r="A65" s="42" t="n">
        <v>34</v>
      </c>
      <c r="B65" s="40" t="n">
        <v>46330</v>
      </c>
      <c r="C65" s="41" t="s">
        <v>100</v>
      </c>
      <c r="D65" s="41" t="s">
        <v>99</v>
      </c>
      <c r="E65" s="43" t="n">
        <v>0.598493345102832</v>
      </c>
      <c r="F65" s="44" t="n">
        <f aca="false">IFERROR(1/E65,"")</f>
        <v>1.67086235491588</v>
      </c>
      <c r="G65" s="43" t="n">
        <v>0.220000443716259</v>
      </c>
      <c r="H65" s="44" t="n">
        <f aca="false">IFERROR(1/G65,"")</f>
        <v>4.54544537778174</v>
      </c>
      <c r="I65" s="43" t="n">
        <v>0.181506211180909</v>
      </c>
      <c r="J65" s="44" t="n">
        <f aca="false">IFERROR(1/I65,"")</f>
        <v>5.50945333216885</v>
      </c>
      <c r="K65" s="43" t="n">
        <v>0.818493788819091</v>
      </c>
      <c r="L65" s="44" t="n">
        <f aca="false">IFERROR(1/K65,"")</f>
        <v>1.22175636963939</v>
      </c>
      <c r="M65" s="43" t="n">
        <v>0.779999556283741</v>
      </c>
      <c r="N65" s="44" t="n">
        <f aca="false">IFERROR(1/M65,"")</f>
        <v>1.28205201136836</v>
      </c>
      <c r="O65" s="43" t="n">
        <v>0.401506654897168</v>
      </c>
      <c r="P65" s="44" t="n">
        <f aca="false">IFERROR(1/O65,"")</f>
        <v>2.49061874268589</v>
      </c>
    </row>
    <row r="66" customFormat="false" ht="18.75" hidden="false" customHeight="true" outlineLevel="0" collapsed="false">
      <c r="A66" s="35" t="n">
        <v>34</v>
      </c>
      <c r="B66" s="33" t="n">
        <v>46330</v>
      </c>
      <c r="C66" s="34" t="s">
        <v>102</v>
      </c>
      <c r="D66" s="34" t="s">
        <v>104</v>
      </c>
      <c r="E66" s="36" t="n">
        <v>0.770290783786222</v>
      </c>
      <c r="F66" s="37" t="n">
        <f aca="false">IFERROR(1/E66,"")</f>
        <v>1.29821104062116</v>
      </c>
      <c r="G66" s="36" t="n">
        <v>0.14852375044515</v>
      </c>
      <c r="H66" s="37" t="n">
        <f aca="false">IFERROR(1/G66,"")</f>
        <v>6.73292989843603</v>
      </c>
      <c r="I66" s="36" t="n">
        <v>0.081185465768628</v>
      </c>
      <c r="J66" s="37" t="n">
        <f aca="false">IFERROR(1/I66,"")</f>
        <v>12.31747567785</v>
      </c>
      <c r="K66" s="36" t="n">
        <v>0.918814534231372</v>
      </c>
      <c r="L66" s="37" t="n">
        <f aca="false">IFERROR(1/K66,"")</f>
        <v>1.08835892635998</v>
      </c>
      <c r="M66" s="36" t="n">
        <v>0.851476249554851</v>
      </c>
      <c r="N66" s="37" t="n">
        <f aca="false">IFERROR(1/M66,"")</f>
        <v>1.17443087875064</v>
      </c>
      <c r="O66" s="36" t="n">
        <v>0.229709216213778</v>
      </c>
      <c r="P66" s="37" t="n">
        <f aca="false">IFERROR(1/O66,"")</f>
        <v>4.35332990326934</v>
      </c>
    </row>
    <row r="67" customFormat="false" ht="18.75" hidden="false" customHeight="true" outlineLevel="0" collapsed="false">
      <c r="A67" s="42" t="n">
        <v>34</v>
      </c>
      <c r="B67" s="40" t="n">
        <v>46330</v>
      </c>
      <c r="C67" s="41" t="s">
        <v>87</v>
      </c>
      <c r="D67" s="41" t="s">
        <v>101</v>
      </c>
      <c r="E67" s="43" t="n">
        <v>0.462671613359736</v>
      </c>
      <c r="F67" s="44" t="n">
        <f aca="false">IFERROR(1/E67,"")</f>
        <v>2.1613601766886</v>
      </c>
      <c r="G67" s="43" t="n">
        <v>0.283663484857175</v>
      </c>
      <c r="H67" s="44" t="n">
        <f aca="false">IFERROR(1/G67,"")</f>
        <v>3.52530393717578</v>
      </c>
      <c r="I67" s="43" t="n">
        <v>0.253664901783089</v>
      </c>
      <c r="J67" s="44" t="n">
        <f aca="false">IFERROR(1/I67,"")</f>
        <v>3.9422087682241</v>
      </c>
      <c r="K67" s="43" t="n">
        <v>0.746335098216911</v>
      </c>
      <c r="L67" s="44" t="n">
        <f aca="false">IFERROR(1/K67,"")</f>
        <v>1.33988070826245</v>
      </c>
      <c r="M67" s="43" t="n">
        <v>0.716336515142825</v>
      </c>
      <c r="N67" s="44" t="n">
        <f aca="false">IFERROR(1/M67,"")</f>
        <v>1.39599193795198</v>
      </c>
      <c r="O67" s="43" t="n">
        <v>0.537328386640264</v>
      </c>
      <c r="P67" s="44" t="n">
        <f aca="false">IFERROR(1/O67,"")</f>
        <v>1.86105931654322</v>
      </c>
    </row>
    <row r="68" customFormat="false" ht="18.75" hidden="false" customHeight="true" outlineLevel="0" collapsed="false">
      <c r="A68" s="35" t="n">
        <v>34</v>
      </c>
      <c r="B68" s="33" t="n">
        <v>46330</v>
      </c>
      <c r="C68" s="34" t="s">
        <v>106</v>
      </c>
      <c r="D68" s="34" t="s">
        <v>98</v>
      </c>
      <c r="E68" s="36" t="n">
        <v>0.335892621237886</v>
      </c>
      <c r="F68" s="37" t="n">
        <f aca="false">IFERROR(1/E68,"")</f>
        <v>2.97714191015759</v>
      </c>
      <c r="G68" s="36" t="n">
        <v>0.280141945003855</v>
      </c>
      <c r="H68" s="37" t="n">
        <f aca="false">IFERROR(1/G68,"")</f>
        <v>3.56961896579336</v>
      </c>
      <c r="I68" s="36" t="n">
        <v>0.383965433758259</v>
      </c>
      <c r="J68" s="37" t="n">
        <f aca="false">IFERROR(1/I68,"")</f>
        <v>2.60440110509945</v>
      </c>
      <c r="K68" s="36" t="n">
        <v>0.616034566241741</v>
      </c>
      <c r="L68" s="37" t="n">
        <f aca="false">IFERROR(1/K68,"")</f>
        <v>1.6232855342854</v>
      </c>
      <c r="M68" s="36" t="n">
        <v>0.719858054996146</v>
      </c>
      <c r="N68" s="37" t="n">
        <f aca="false">IFERROR(1/M68,"")</f>
        <v>1.3891627565456</v>
      </c>
      <c r="O68" s="36" t="n">
        <v>0.664107378762114</v>
      </c>
      <c r="P68" s="37" t="n">
        <f aca="false">IFERROR(1/O68,"")</f>
        <v>1.50578058907279</v>
      </c>
    </row>
    <row r="69" customFormat="false" ht="18.75" hidden="false" customHeight="true" outlineLevel="0" collapsed="false">
      <c r="A69" s="42" t="n">
        <v>35</v>
      </c>
      <c r="B69" s="40" t="n">
        <v>46344</v>
      </c>
      <c r="C69" s="41" t="s">
        <v>101</v>
      </c>
      <c r="D69" s="41" t="s">
        <v>93</v>
      </c>
      <c r="E69" s="43" t="n">
        <v>0.411581103777085</v>
      </c>
      <c r="F69" s="44" t="n">
        <f aca="false">IFERROR(1/E69,"")</f>
        <v>2.42965478935497</v>
      </c>
      <c r="G69" s="43" t="n">
        <v>0.276400828648805</v>
      </c>
      <c r="H69" s="44" t="n">
        <f aca="false">IFERROR(1/G69,"")</f>
        <v>3.61793416064827</v>
      </c>
      <c r="I69" s="43" t="n">
        <v>0.312018067574111</v>
      </c>
      <c r="J69" s="44" t="n">
        <f aca="false">IFERROR(1/I69,"")</f>
        <v>3.2049426104547</v>
      </c>
      <c r="K69" s="43" t="n">
        <v>0.68798193242589</v>
      </c>
      <c r="L69" s="44" t="n">
        <f aca="false">IFERROR(1/K69,"")</f>
        <v>1.45352654316648</v>
      </c>
      <c r="M69" s="43" t="n">
        <v>0.723599171351195</v>
      </c>
      <c r="N69" s="44" t="n">
        <f aca="false">IFERROR(1/M69,"")</f>
        <v>1.38198057652923</v>
      </c>
      <c r="O69" s="43" t="n">
        <v>0.588418896222915</v>
      </c>
      <c r="P69" s="44" t="n">
        <f aca="false">IFERROR(1/O69,"")</f>
        <v>1.69946955548002</v>
      </c>
    </row>
    <row r="70" customFormat="false" ht="18.75" hidden="false" customHeight="true" outlineLevel="0" collapsed="false">
      <c r="A70" s="35" t="n">
        <v>35</v>
      </c>
      <c r="B70" s="33" t="n">
        <v>46344</v>
      </c>
      <c r="C70" s="34" t="s">
        <v>99</v>
      </c>
      <c r="D70" s="34" t="s">
        <v>88</v>
      </c>
      <c r="E70" s="36" t="n">
        <v>0.396012732313812</v>
      </c>
      <c r="F70" s="37" t="n">
        <f aca="false">IFERROR(1/E70,"")</f>
        <v>2.525171335167</v>
      </c>
      <c r="G70" s="36" t="n">
        <v>0.250068041588119</v>
      </c>
      <c r="H70" s="37" t="n">
        <f aca="false">IFERROR(1/G70,"")</f>
        <v>3.99891163080757</v>
      </c>
      <c r="I70" s="36" t="n">
        <v>0.35391922609807</v>
      </c>
      <c r="J70" s="37" t="n">
        <f aca="false">IFERROR(1/I70,"")</f>
        <v>2.82550346593181</v>
      </c>
      <c r="K70" s="36" t="n">
        <v>0.646080773901931</v>
      </c>
      <c r="L70" s="37" t="n">
        <f aca="false">IFERROR(1/K70,"")</f>
        <v>1.54779408457029</v>
      </c>
      <c r="M70" s="36" t="n">
        <v>0.749931958411881</v>
      </c>
      <c r="N70" s="37" t="n">
        <f aca="false">IFERROR(1/M70,"")</f>
        <v>1.33345430713165</v>
      </c>
      <c r="O70" s="36" t="n">
        <v>0.603987267686189</v>
      </c>
      <c r="P70" s="37" t="n">
        <f aca="false">IFERROR(1/O70,"")</f>
        <v>1.65566404045386</v>
      </c>
    </row>
    <row r="71" customFormat="false" ht="18.75" hidden="false" customHeight="true" outlineLevel="0" collapsed="false">
      <c r="A71" s="42" t="n">
        <v>35</v>
      </c>
      <c r="B71" s="40" t="n">
        <v>46344</v>
      </c>
      <c r="C71" s="41" t="s">
        <v>96</v>
      </c>
      <c r="D71" s="41" t="s">
        <v>102</v>
      </c>
      <c r="E71" s="43" t="n">
        <v>0.327687390070479</v>
      </c>
      <c r="F71" s="44" t="n">
        <f aca="false">IFERROR(1/E71,"")</f>
        <v>3.05168898865751</v>
      </c>
      <c r="G71" s="43" t="n">
        <v>0.288417548798244</v>
      </c>
      <c r="H71" s="44" t="n">
        <f aca="false">IFERROR(1/G71,"")</f>
        <v>3.46719540529598</v>
      </c>
      <c r="I71" s="43" t="n">
        <v>0.383895061131278</v>
      </c>
      <c r="J71" s="44" t="n">
        <f aca="false">IFERROR(1/I71,"")</f>
        <v>2.60487852345159</v>
      </c>
      <c r="K71" s="43" t="n">
        <v>0.616104938868722</v>
      </c>
      <c r="L71" s="44" t="n">
        <f aca="false">IFERROR(1/K71,"")</f>
        <v>1.62310011965847</v>
      </c>
      <c r="M71" s="43" t="n">
        <v>0.711582451201756</v>
      </c>
      <c r="N71" s="44" t="n">
        <f aca="false">IFERROR(1/M71,"")</f>
        <v>1.40531852396184</v>
      </c>
      <c r="O71" s="43" t="n">
        <v>0.672312609929521</v>
      </c>
      <c r="P71" s="44" t="n">
        <f aca="false">IFERROR(1/O71,"")</f>
        <v>1.48740330797132</v>
      </c>
    </row>
    <row r="72" customFormat="false" ht="18.75" hidden="false" customHeight="true" outlineLevel="0" collapsed="false">
      <c r="A72" s="35" t="n">
        <v>35</v>
      </c>
      <c r="B72" s="33" t="n">
        <v>46344</v>
      </c>
      <c r="C72" s="34" t="s">
        <v>8</v>
      </c>
      <c r="D72" s="34" t="s">
        <v>92</v>
      </c>
      <c r="E72" s="36" t="n">
        <v>0.633817361932326</v>
      </c>
      <c r="F72" s="37" t="n">
        <f aca="false">IFERROR(1/E72,"")</f>
        <v>1.57774157046012</v>
      </c>
      <c r="G72" s="36" t="n">
        <v>0.211700939793445</v>
      </c>
      <c r="H72" s="37" t="n">
        <f aca="false">IFERROR(1/G72,"")</f>
        <v>4.7236445949446</v>
      </c>
      <c r="I72" s="36" t="n">
        <v>0.154481698274229</v>
      </c>
      <c r="J72" s="37" t="n">
        <f aca="false">IFERROR(1/I72,"")</f>
        <v>6.4732587171902</v>
      </c>
      <c r="K72" s="36" t="n">
        <v>0.845518301725771</v>
      </c>
      <c r="L72" s="37" t="n">
        <f aca="false">IFERROR(1/K72,"")</f>
        <v>1.18270651026586</v>
      </c>
      <c r="M72" s="36" t="n">
        <v>0.788299060206555</v>
      </c>
      <c r="N72" s="37" t="n">
        <f aca="false">IFERROR(1/M72,"")</f>
        <v>1.26855409384603</v>
      </c>
      <c r="O72" s="36" t="n">
        <v>0.366182638067674</v>
      </c>
      <c r="P72" s="37" t="n">
        <f aca="false">IFERROR(1/O72,"")</f>
        <v>2.73087769883615</v>
      </c>
    </row>
    <row r="73" customFormat="false" ht="18.75" hidden="false" customHeight="true" outlineLevel="0" collapsed="false">
      <c r="A73" s="42" t="n">
        <v>35</v>
      </c>
      <c r="B73" s="40" t="n">
        <v>46344</v>
      </c>
      <c r="C73" s="41" t="s">
        <v>105</v>
      </c>
      <c r="D73" s="41" t="s">
        <v>103</v>
      </c>
      <c r="E73" s="43" t="n">
        <v>0.461009677352878</v>
      </c>
      <c r="F73" s="44" t="n">
        <f aca="false">IFERROR(1/E73,"")</f>
        <v>2.1691518619349</v>
      </c>
      <c r="G73" s="43" t="n">
        <v>0.250869873803684</v>
      </c>
      <c r="H73" s="44" t="n">
        <f aca="false">IFERROR(1/G73,"")</f>
        <v>3.98613027876971</v>
      </c>
      <c r="I73" s="43" t="n">
        <v>0.288120448843439</v>
      </c>
      <c r="J73" s="44" t="n">
        <f aca="false">IFERROR(1/I73,"")</f>
        <v>3.47077065864002</v>
      </c>
      <c r="K73" s="43" t="n">
        <v>0.711879551156562</v>
      </c>
      <c r="L73" s="44" t="n">
        <f aca="false">IFERROR(1/K73,"")</f>
        <v>1.40473202015052</v>
      </c>
      <c r="M73" s="43" t="n">
        <v>0.749130126196316</v>
      </c>
      <c r="N73" s="44" t="n">
        <f aca="false">IFERROR(1/M73,"")</f>
        <v>1.33488157134658</v>
      </c>
      <c r="O73" s="43" t="n">
        <v>0.538990322647122</v>
      </c>
      <c r="P73" s="44" t="n">
        <f aca="false">IFERROR(1/O73,"")</f>
        <v>1.85532088050995</v>
      </c>
    </row>
    <row r="74" customFormat="false" ht="18.75" hidden="false" customHeight="true" outlineLevel="0" collapsed="false">
      <c r="A74" s="35" t="n">
        <v>35</v>
      </c>
      <c r="B74" s="33" t="n">
        <v>46344</v>
      </c>
      <c r="C74" s="34" t="s">
        <v>95</v>
      </c>
      <c r="D74" s="34" t="s">
        <v>90</v>
      </c>
      <c r="E74" s="36" t="n">
        <v>0.47633065914055</v>
      </c>
      <c r="F74" s="37" t="n">
        <f aca="false">IFERROR(1/E74,"")</f>
        <v>2.09938197512693</v>
      </c>
      <c r="G74" s="36" t="n">
        <v>0.252837825049394</v>
      </c>
      <c r="H74" s="37" t="n">
        <f aca="false">IFERROR(1/G74,"")</f>
        <v>3.9551044223887</v>
      </c>
      <c r="I74" s="36" t="n">
        <v>0.270831515810055</v>
      </c>
      <c r="J74" s="37" t="n">
        <f aca="false">IFERROR(1/I74,"")</f>
        <v>3.69233247101618</v>
      </c>
      <c r="K74" s="36" t="n">
        <v>0.729168484189945</v>
      </c>
      <c r="L74" s="37" t="n">
        <f aca="false">IFERROR(1/K74,"")</f>
        <v>1.37142515300964</v>
      </c>
      <c r="M74" s="36" t="n">
        <v>0.747162174950606</v>
      </c>
      <c r="N74" s="37" t="n">
        <f aca="false">IFERROR(1/M74,"")</f>
        <v>1.33839751733432</v>
      </c>
      <c r="O74" s="36" t="n">
        <v>0.52366934085945</v>
      </c>
      <c r="P74" s="37" t="n">
        <f aca="false">IFERROR(1/O74,"")</f>
        <v>1.90960196057839</v>
      </c>
    </row>
    <row r="75" customFormat="false" ht="18.75" hidden="false" customHeight="true" outlineLevel="0" collapsed="false">
      <c r="A75" s="42" t="n">
        <v>35</v>
      </c>
      <c r="B75" s="40" t="n">
        <v>46344</v>
      </c>
      <c r="C75" s="41" t="s">
        <v>104</v>
      </c>
      <c r="D75" s="41" t="s">
        <v>83</v>
      </c>
      <c r="E75" s="43" t="n">
        <v>0.564030517973121</v>
      </c>
      <c r="F75" s="44" t="n">
        <f aca="false">IFERROR(1/E75,"")</f>
        <v>1.772953711075</v>
      </c>
      <c r="G75" s="43" t="n">
        <v>0.221160150309844</v>
      </c>
      <c r="H75" s="44" t="n">
        <f aca="false">IFERROR(1/G75,"")</f>
        <v>4.52161023854888</v>
      </c>
      <c r="I75" s="43" t="n">
        <v>0.214809331717035</v>
      </c>
      <c r="J75" s="44" t="n">
        <f aca="false">IFERROR(1/I75,"")</f>
        <v>4.65529123901044</v>
      </c>
      <c r="K75" s="43" t="n">
        <v>0.785190668282965</v>
      </c>
      <c r="L75" s="44" t="n">
        <f aca="false">IFERROR(1/K75,"")</f>
        <v>1.27357601203638</v>
      </c>
      <c r="M75" s="43" t="n">
        <v>0.778839849690156</v>
      </c>
      <c r="N75" s="44" t="n">
        <f aca="false">IFERROR(1/M75,"")</f>
        <v>1.28396100995324</v>
      </c>
      <c r="O75" s="43" t="n">
        <v>0.435969482026879</v>
      </c>
      <c r="P75" s="44" t="n">
        <f aca="false">IFERROR(1/O75,"")</f>
        <v>2.29373853268552</v>
      </c>
    </row>
    <row r="76" customFormat="false" ht="18.75" hidden="false" customHeight="true" outlineLevel="0" collapsed="false">
      <c r="A76" s="35" t="n">
        <v>35</v>
      </c>
      <c r="B76" s="33" t="n">
        <v>46344</v>
      </c>
      <c r="C76" s="34" t="s">
        <v>87</v>
      </c>
      <c r="D76" s="34" t="s">
        <v>98</v>
      </c>
      <c r="E76" s="36" t="n">
        <v>0.43460291668005</v>
      </c>
      <c r="F76" s="37" t="n">
        <f aca="false">IFERROR(1/E76,"")</f>
        <v>2.30095096378792</v>
      </c>
      <c r="G76" s="36" t="n">
        <v>0.281465074144889</v>
      </c>
      <c r="H76" s="37" t="n">
        <f aca="false">IFERROR(1/G76,"")</f>
        <v>3.55283867114978</v>
      </c>
      <c r="I76" s="36" t="n">
        <v>0.283932009175062</v>
      </c>
      <c r="J76" s="37" t="n">
        <f aca="false">IFERROR(1/I76,"")</f>
        <v>3.52196993535674</v>
      </c>
      <c r="K76" s="36" t="n">
        <v>0.716067990824938</v>
      </c>
      <c r="L76" s="37" t="n">
        <f aca="false">IFERROR(1/K76,"")</f>
        <v>1.39651543263086</v>
      </c>
      <c r="M76" s="36" t="n">
        <v>0.718534925855111</v>
      </c>
      <c r="N76" s="37" t="n">
        <f aca="false">IFERROR(1/M76,"")</f>
        <v>1.3917207974406</v>
      </c>
      <c r="O76" s="36" t="n">
        <v>0.56539708331995</v>
      </c>
      <c r="P76" s="37" t="n">
        <f aca="false">IFERROR(1/O76,"")</f>
        <v>1.76866848008502</v>
      </c>
    </row>
    <row r="77" customFormat="false" ht="18.75" hidden="false" customHeight="true" outlineLevel="0" collapsed="false">
      <c r="A77" s="42" t="n">
        <v>35</v>
      </c>
      <c r="B77" s="40" t="n">
        <v>46344</v>
      </c>
      <c r="C77" s="41" t="s">
        <v>84</v>
      </c>
      <c r="D77" s="41" t="s">
        <v>100</v>
      </c>
      <c r="E77" s="43" t="n">
        <v>0.409262197705236</v>
      </c>
      <c r="F77" s="44" t="n">
        <f aca="false">IFERROR(1/E77,"")</f>
        <v>2.44342137047369</v>
      </c>
      <c r="G77" s="43" t="n">
        <v>0.260347362496456</v>
      </c>
      <c r="H77" s="44" t="n">
        <f aca="false">IFERROR(1/G77,"")</f>
        <v>3.84102220360927</v>
      </c>
      <c r="I77" s="43" t="n">
        <v>0.330390439798309</v>
      </c>
      <c r="J77" s="44" t="n">
        <f aca="false">IFERROR(1/I77,"")</f>
        <v>3.02672196147826</v>
      </c>
      <c r="K77" s="43" t="n">
        <v>0.669609560201692</v>
      </c>
      <c r="L77" s="44" t="n">
        <f aca="false">IFERROR(1/K77,"")</f>
        <v>1.49340759068433</v>
      </c>
      <c r="M77" s="43" t="n">
        <v>0.739652637503544</v>
      </c>
      <c r="N77" s="44" t="n">
        <f aca="false">IFERROR(1/M77,"")</f>
        <v>1.351985985442</v>
      </c>
      <c r="O77" s="43" t="n">
        <v>0.590737802294765</v>
      </c>
      <c r="P77" s="44" t="n">
        <f aca="false">IFERROR(1/O77,"")</f>
        <v>1.69279838892217</v>
      </c>
    </row>
    <row r="78" customFormat="false" ht="18.75" hidden="false" customHeight="true" outlineLevel="0" collapsed="false">
      <c r="A78" s="35" t="n">
        <v>35</v>
      </c>
      <c r="B78" s="33" t="n">
        <v>46344</v>
      </c>
      <c r="C78" s="34" t="s">
        <v>106</v>
      </c>
      <c r="D78" s="34" t="s">
        <v>91</v>
      </c>
      <c r="E78" s="36" t="n">
        <v>0.384725446429843</v>
      </c>
      <c r="F78" s="37" t="n">
        <f aca="false">IFERROR(1/E78,"")</f>
        <v>2.59925619498204</v>
      </c>
      <c r="G78" s="36" t="n">
        <v>0.274351942929105</v>
      </c>
      <c r="H78" s="37" t="n">
        <f aca="false">IFERROR(1/G78,"")</f>
        <v>3.64495322804551</v>
      </c>
      <c r="I78" s="36" t="n">
        <v>0.340922610641052</v>
      </c>
      <c r="J78" s="37" t="n">
        <f aca="false">IFERROR(1/I78,"")</f>
        <v>2.93321700816398</v>
      </c>
      <c r="K78" s="36" t="n">
        <v>0.659077389358947</v>
      </c>
      <c r="L78" s="37" t="n">
        <f aca="false">IFERROR(1/K78,"")</f>
        <v>1.51727250266111</v>
      </c>
      <c r="M78" s="36" t="n">
        <v>0.725648057070895</v>
      </c>
      <c r="N78" s="37" t="n">
        <f aca="false">IFERROR(1/M78,"")</f>
        <v>1.37807851927081</v>
      </c>
      <c r="O78" s="36" t="n">
        <v>0.615274553570157</v>
      </c>
      <c r="P78" s="37" t="n">
        <f aca="false">IFERROR(1/O78,"")</f>
        <v>1.62529068396776</v>
      </c>
    </row>
    <row r="79" customFormat="false" ht="18.75" hidden="false" customHeight="true" outlineLevel="0" collapsed="false">
      <c r="A79" s="42" t="n">
        <v>36</v>
      </c>
      <c r="B79" s="40" t="n">
        <v>46348</v>
      </c>
      <c r="C79" s="41" t="s">
        <v>92</v>
      </c>
      <c r="D79" s="41" t="s">
        <v>104</v>
      </c>
      <c r="E79" s="43" t="n">
        <v>0.621033556243381</v>
      </c>
      <c r="F79" s="44" t="n">
        <f aca="false">IFERROR(1/E79,"")</f>
        <v>1.61021894863295</v>
      </c>
      <c r="G79" s="43" t="n">
        <v>0.212247706539126</v>
      </c>
      <c r="H79" s="44" t="n">
        <f aca="false">IFERROR(1/G79,"")</f>
        <v>4.71147611583573</v>
      </c>
      <c r="I79" s="43" t="n">
        <v>0.166718737217494</v>
      </c>
      <c r="J79" s="44" t="n">
        <f aca="false">IFERROR(1/I79,"")</f>
        <v>5.99812604563725</v>
      </c>
      <c r="K79" s="43" t="n">
        <v>0.833281262782507</v>
      </c>
      <c r="L79" s="44" t="n">
        <f aca="false">IFERROR(1/K79,"")</f>
        <v>1.20007498627868</v>
      </c>
      <c r="M79" s="43" t="n">
        <v>0.787752293460875</v>
      </c>
      <c r="N79" s="44" t="n">
        <f aca="false">IFERROR(1/M79,"")</f>
        <v>1.26943457772322</v>
      </c>
      <c r="O79" s="43" t="n">
        <v>0.378966443756619</v>
      </c>
      <c r="P79" s="44" t="n">
        <f aca="false">IFERROR(1/O79,"")</f>
        <v>2.63875606000151</v>
      </c>
    </row>
    <row r="80" customFormat="false" ht="18.75" hidden="false" customHeight="true" outlineLevel="0" collapsed="false">
      <c r="A80" s="35" t="n">
        <v>36</v>
      </c>
      <c r="B80" s="33" t="n">
        <v>46348</v>
      </c>
      <c r="C80" s="34" t="s">
        <v>90</v>
      </c>
      <c r="D80" s="34" t="s">
        <v>101</v>
      </c>
      <c r="E80" s="36" t="n">
        <v>0.4868461579774</v>
      </c>
      <c r="F80" s="37" t="n">
        <f aca="false">IFERROR(1/E80,"")</f>
        <v>2.0540369552355</v>
      </c>
      <c r="G80" s="36" t="n">
        <v>0.269734450064841</v>
      </c>
      <c r="H80" s="37" t="n">
        <f aca="false">IFERROR(1/G80,"")</f>
        <v>3.70734995014397</v>
      </c>
      <c r="I80" s="36" t="n">
        <v>0.243419391957759</v>
      </c>
      <c r="J80" s="37" t="n">
        <f aca="false">IFERROR(1/I80,"")</f>
        <v>4.10813613474777</v>
      </c>
      <c r="K80" s="36" t="n">
        <v>0.756580608042241</v>
      </c>
      <c r="L80" s="37" t="n">
        <f aca="false">IFERROR(1/K80,"")</f>
        <v>1.32173622925341</v>
      </c>
      <c r="M80" s="36" t="n">
        <v>0.730265549935159</v>
      </c>
      <c r="N80" s="37" t="n">
        <f aca="false">IFERROR(1/M80,"")</f>
        <v>1.36936488389572</v>
      </c>
      <c r="O80" s="36" t="n">
        <v>0.5131538420226</v>
      </c>
      <c r="P80" s="37" t="n">
        <f aca="false">IFERROR(1/O80,"")</f>
        <v>1.94873333902849</v>
      </c>
    </row>
    <row r="81" customFormat="false" ht="18.75" hidden="false" customHeight="true" outlineLevel="0" collapsed="false">
      <c r="A81" s="42" t="n">
        <v>36</v>
      </c>
      <c r="B81" s="40" t="n">
        <v>46348</v>
      </c>
      <c r="C81" s="41" t="s">
        <v>103</v>
      </c>
      <c r="D81" s="41" t="s">
        <v>99</v>
      </c>
      <c r="E81" s="43" t="n">
        <v>0.607499625661995</v>
      </c>
      <c r="F81" s="44" t="n">
        <f aca="false">IFERROR(1/E81,"")</f>
        <v>1.64609154929157</v>
      </c>
      <c r="G81" s="43" t="n">
        <v>0.209152407511355</v>
      </c>
      <c r="H81" s="44" t="n">
        <f aca="false">IFERROR(1/G81,"")</f>
        <v>4.78120243462036</v>
      </c>
      <c r="I81" s="43" t="n">
        <v>0.18334796682665</v>
      </c>
      <c r="J81" s="44" t="n">
        <f aca="false">IFERROR(1/I81,"")</f>
        <v>5.45411011263338</v>
      </c>
      <c r="K81" s="43" t="n">
        <v>0.81665203317335</v>
      </c>
      <c r="L81" s="44" t="n">
        <f aca="false">IFERROR(1/K81,"")</f>
        <v>1.22451173740938</v>
      </c>
      <c r="M81" s="43" t="n">
        <v>0.790847592488645</v>
      </c>
      <c r="N81" s="44" t="n">
        <f aca="false">IFERROR(1/M81,"")</f>
        <v>1.26446613670934</v>
      </c>
      <c r="O81" s="43" t="n">
        <v>0.392500374338005</v>
      </c>
      <c r="P81" s="44" t="n">
        <f aca="false">IFERROR(1/O81,"")</f>
        <v>2.54776827076053</v>
      </c>
    </row>
    <row r="82" customFormat="false" ht="18.75" hidden="false" customHeight="true" outlineLevel="0" collapsed="false">
      <c r="A82" s="35" t="n">
        <v>36</v>
      </c>
      <c r="B82" s="33" t="n">
        <v>46348</v>
      </c>
      <c r="C82" s="34" t="s">
        <v>93</v>
      </c>
      <c r="D82" s="34" t="s">
        <v>87</v>
      </c>
      <c r="E82" s="36" t="n">
        <v>0.495364724417786</v>
      </c>
      <c r="F82" s="37" t="n">
        <f aca="false">IFERROR(1/E82,"")</f>
        <v>2.01871459695747</v>
      </c>
      <c r="G82" s="36" t="n">
        <v>0.262635362042403</v>
      </c>
      <c r="H82" s="37" t="n">
        <f aca="false">IFERROR(1/G82,"")</f>
        <v>3.8075603841898</v>
      </c>
      <c r="I82" s="36" t="n">
        <v>0.241999913539811</v>
      </c>
      <c r="J82" s="37" t="n">
        <f aca="false">IFERROR(1/I82,"")</f>
        <v>4.13223288129602</v>
      </c>
      <c r="K82" s="36" t="n">
        <v>0.758000086460189</v>
      </c>
      <c r="L82" s="37" t="n">
        <f aca="false">IFERROR(1/K82,"")</f>
        <v>1.31926106324068</v>
      </c>
      <c r="M82" s="36" t="n">
        <v>0.737364637957597</v>
      </c>
      <c r="N82" s="37" t="n">
        <f aca="false">IFERROR(1/M82,"")</f>
        <v>1.35618111924904</v>
      </c>
      <c r="O82" s="36" t="n">
        <v>0.504635275582214</v>
      </c>
      <c r="P82" s="37" t="n">
        <f aca="false">IFERROR(1/O82,"")</f>
        <v>1.98162920506552</v>
      </c>
    </row>
    <row r="83" customFormat="false" ht="18.75" hidden="false" customHeight="true" outlineLevel="0" collapsed="false">
      <c r="A83" s="42" t="n">
        <v>36</v>
      </c>
      <c r="B83" s="40" t="n">
        <v>46348</v>
      </c>
      <c r="C83" s="41" t="s">
        <v>91</v>
      </c>
      <c r="D83" s="41" t="s">
        <v>84</v>
      </c>
      <c r="E83" s="43" t="n">
        <v>0.526040686642669</v>
      </c>
      <c r="F83" s="44" t="n">
        <f aca="false">IFERROR(1/E83,"")</f>
        <v>1.90099364059131</v>
      </c>
      <c r="G83" s="43" t="n">
        <v>0.237840850811097</v>
      </c>
      <c r="H83" s="44" t="n">
        <f aca="false">IFERROR(1/G83,"")</f>
        <v>4.20449219126887</v>
      </c>
      <c r="I83" s="43" t="n">
        <v>0.236118462546234</v>
      </c>
      <c r="J83" s="44" t="n">
        <f aca="false">IFERROR(1/I83,"")</f>
        <v>4.23516225379534</v>
      </c>
      <c r="K83" s="43" t="n">
        <v>0.763881537453765</v>
      </c>
      <c r="L83" s="44" t="n">
        <f aca="false">IFERROR(1/K83,"")</f>
        <v>1.30910350750626</v>
      </c>
      <c r="M83" s="43" t="n">
        <v>0.762159149188903</v>
      </c>
      <c r="N83" s="44" t="n">
        <f aca="false">IFERROR(1/M83,"")</f>
        <v>1.31206192442118</v>
      </c>
      <c r="O83" s="43" t="n">
        <v>0.473959313357331</v>
      </c>
      <c r="P83" s="44" t="n">
        <f aca="false">IFERROR(1/O83,"")</f>
        <v>2.10988574718875</v>
      </c>
    </row>
    <row r="84" customFormat="false" ht="18.75" hidden="false" customHeight="true" outlineLevel="0" collapsed="false">
      <c r="A84" s="35" t="n">
        <v>36</v>
      </c>
      <c r="B84" s="33" t="n">
        <v>46348</v>
      </c>
      <c r="C84" s="34" t="s">
        <v>83</v>
      </c>
      <c r="D84" s="34" t="s">
        <v>96</v>
      </c>
      <c r="E84" s="36" t="n">
        <v>0.251137103882167</v>
      </c>
      <c r="F84" s="37" t="n">
        <f aca="false">IFERROR(1/E84,"")</f>
        <v>3.98188871553284</v>
      </c>
      <c r="G84" s="36" t="n">
        <v>0.258344646651702</v>
      </c>
      <c r="H84" s="37" t="n">
        <f aca="false">IFERROR(1/G84,"")</f>
        <v>3.87079822617029</v>
      </c>
      <c r="I84" s="36" t="n">
        <v>0.490518249466131</v>
      </c>
      <c r="J84" s="37" t="n">
        <f aca="false">IFERROR(1/I84,"")</f>
        <v>2.03866013362067</v>
      </c>
      <c r="K84" s="36" t="n">
        <v>0.50948175053387</v>
      </c>
      <c r="L84" s="37" t="n">
        <f aca="false">IFERROR(1/K84,"")</f>
        <v>1.96277884134639</v>
      </c>
      <c r="M84" s="36" t="n">
        <v>0.741655353348298</v>
      </c>
      <c r="N84" s="37" t="n">
        <f aca="false">IFERROR(1/M84,"")</f>
        <v>1.34833517412822</v>
      </c>
      <c r="O84" s="36" t="n">
        <v>0.748862896117833</v>
      </c>
      <c r="P84" s="37" t="n">
        <f aca="false">IFERROR(1/O84,"")</f>
        <v>1.33535792090125</v>
      </c>
    </row>
    <row r="85" customFormat="false" ht="18.75" hidden="false" customHeight="true" outlineLevel="0" collapsed="false">
      <c r="A85" s="42" t="n">
        <v>36</v>
      </c>
      <c r="B85" s="40" t="n">
        <v>46348</v>
      </c>
      <c r="C85" s="41" t="s">
        <v>98</v>
      </c>
      <c r="D85" s="41" t="s">
        <v>95</v>
      </c>
      <c r="E85" s="43" t="n">
        <v>0.476039001962594</v>
      </c>
      <c r="F85" s="44" t="n">
        <f aca="false">IFERROR(1/E85,"")</f>
        <v>2.10066821390105</v>
      </c>
      <c r="G85" s="43" t="n">
        <v>0.254996214901869</v>
      </c>
      <c r="H85" s="44" t="n">
        <f aca="false">IFERROR(1/G85,"")</f>
        <v>3.92162683820555</v>
      </c>
      <c r="I85" s="43" t="n">
        <v>0.268964783135538</v>
      </c>
      <c r="J85" s="44" t="n">
        <f aca="false">IFERROR(1/I85,"")</f>
        <v>3.7179588656262</v>
      </c>
      <c r="K85" s="43" t="n">
        <v>0.731035216864463</v>
      </c>
      <c r="L85" s="44" t="n">
        <f aca="false">IFERROR(1/K85,"")</f>
        <v>1.36792315463156</v>
      </c>
      <c r="M85" s="43" t="n">
        <v>0.745003785098131</v>
      </c>
      <c r="N85" s="44" t="n">
        <f aca="false">IFERROR(1/M85,"")</f>
        <v>1.34227505953984</v>
      </c>
      <c r="O85" s="43" t="n">
        <v>0.523960998037407</v>
      </c>
      <c r="P85" s="44" t="n">
        <f aca="false">IFERROR(1/O85,"")</f>
        <v>1.90853900146325</v>
      </c>
    </row>
    <row r="86" customFormat="false" ht="18.75" hidden="false" customHeight="true" outlineLevel="0" collapsed="false">
      <c r="A86" s="35" t="n">
        <v>36</v>
      </c>
      <c r="B86" s="33" t="n">
        <v>46348</v>
      </c>
      <c r="C86" s="34" t="s">
        <v>100</v>
      </c>
      <c r="D86" s="34" t="s">
        <v>106</v>
      </c>
      <c r="E86" s="36" t="n">
        <v>0.561107830937974</v>
      </c>
      <c r="F86" s="37" t="n">
        <f aca="false">IFERROR(1/E86,"")</f>
        <v>1.78218863623477</v>
      </c>
      <c r="G86" s="36" t="n">
        <v>0.246092514258452</v>
      </c>
      <c r="H86" s="37" t="n">
        <f aca="false">IFERROR(1/G86,"")</f>
        <v>4.06351246811911</v>
      </c>
      <c r="I86" s="36" t="n">
        <v>0.192799654803574</v>
      </c>
      <c r="J86" s="37" t="n">
        <f aca="false">IFERROR(1/I86,"")</f>
        <v>5.18673127822148</v>
      </c>
      <c r="K86" s="36" t="n">
        <v>0.807200345196426</v>
      </c>
      <c r="L86" s="37" t="n">
        <f aca="false">IFERROR(1/K86,"")</f>
        <v>1.23884981708805</v>
      </c>
      <c r="M86" s="36" t="n">
        <v>0.753907485741548</v>
      </c>
      <c r="N86" s="37" t="n">
        <f aca="false">IFERROR(1/M86,"")</f>
        <v>1.32642269630258</v>
      </c>
      <c r="O86" s="36" t="n">
        <v>0.438892169062026</v>
      </c>
      <c r="P86" s="37" t="n">
        <f aca="false">IFERROR(1/O86,"")</f>
        <v>2.27846398384628</v>
      </c>
    </row>
    <row r="87" customFormat="false" ht="18.75" hidden="false" customHeight="true" outlineLevel="0" collapsed="false">
      <c r="A87" s="42" t="n">
        <v>36</v>
      </c>
      <c r="B87" s="40" t="n">
        <v>46348</v>
      </c>
      <c r="C87" s="41" t="s">
        <v>102</v>
      </c>
      <c r="D87" s="41" t="s">
        <v>8</v>
      </c>
      <c r="E87" s="43" t="n">
        <v>0.472840254933894</v>
      </c>
      <c r="F87" s="44" t="n">
        <f aca="false">IFERROR(1/E87,"")</f>
        <v>2.11487915752817</v>
      </c>
      <c r="G87" s="43" t="n">
        <v>0.259237381684227</v>
      </c>
      <c r="H87" s="44" t="n">
        <f aca="false">IFERROR(1/G87,"")</f>
        <v>3.85746836934993</v>
      </c>
      <c r="I87" s="43" t="n">
        <v>0.267922363381879</v>
      </c>
      <c r="J87" s="44" t="n">
        <f aca="false">IFERROR(1/I87,"")</f>
        <v>3.73242452543861</v>
      </c>
      <c r="K87" s="43" t="n">
        <v>0.732077636618121</v>
      </c>
      <c r="L87" s="44" t="n">
        <f aca="false">IFERROR(1/K87,"")</f>
        <v>1.36597534193172</v>
      </c>
      <c r="M87" s="43" t="n">
        <v>0.740762618315773</v>
      </c>
      <c r="N87" s="44" t="n">
        <f aca="false">IFERROR(1/M87,"")</f>
        <v>1.34996012929707</v>
      </c>
      <c r="O87" s="43" t="n">
        <v>0.527159745066106</v>
      </c>
      <c r="P87" s="44" t="n">
        <f aca="false">IFERROR(1/O87,"")</f>
        <v>1.89695819788857</v>
      </c>
    </row>
    <row r="88" customFormat="false" ht="18.75" hidden="false" customHeight="true" outlineLevel="0" collapsed="false">
      <c r="A88" s="35" t="n">
        <v>36</v>
      </c>
      <c r="B88" s="33" t="n">
        <v>46348</v>
      </c>
      <c r="C88" s="34" t="s">
        <v>88</v>
      </c>
      <c r="D88" s="34" t="s">
        <v>105</v>
      </c>
      <c r="E88" s="36" t="n">
        <v>0.467958923516958</v>
      </c>
      <c r="F88" s="37" t="n">
        <f aca="false">IFERROR(1/E88,"")</f>
        <v>2.13693969651112</v>
      </c>
      <c r="G88" s="36" t="n">
        <v>0.251622884044523</v>
      </c>
      <c r="H88" s="37" t="n">
        <f aca="false">IFERROR(1/G88,"")</f>
        <v>3.97420132829833</v>
      </c>
      <c r="I88" s="36" t="n">
        <v>0.28041819243852</v>
      </c>
      <c r="J88" s="37" t="n">
        <f aca="false">IFERROR(1/I88,"")</f>
        <v>3.56610243901791</v>
      </c>
      <c r="K88" s="36" t="n">
        <v>0.71958180756148</v>
      </c>
      <c r="L88" s="37" t="n">
        <f aca="false">IFERROR(1/K88,"")</f>
        <v>1.3896960560868</v>
      </c>
      <c r="M88" s="36" t="n">
        <v>0.748377115955477</v>
      </c>
      <c r="N88" s="37" t="n">
        <f aca="false">IFERROR(1/M88,"")</f>
        <v>1.33622471703089</v>
      </c>
      <c r="O88" s="36" t="n">
        <v>0.532041076483043</v>
      </c>
      <c r="P88" s="37" t="n">
        <f aca="false">IFERROR(1/O88,"")</f>
        <v>1.87955412505048</v>
      </c>
    </row>
    <row r="89" customFormat="false" ht="18.75" hidden="false" customHeight="true" outlineLevel="0" collapsed="false">
      <c r="A89" s="42" t="n">
        <v>37</v>
      </c>
      <c r="B89" s="40" t="n">
        <v>46355</v>
      </c>
      <c r="C89" s="41" t="s">
        <v>90</v>
      </c>
      <c r="D89" s="41" t="s">
        <v>84</v>
      </c>
      <c r="E89" s="43" t="n">
        <v>0.570232177381576</v>
      </c>
      <c r="F89" s="44" t="n">
        <f aca="false">IFERROR(1/E89,"")</f>
        <v>1.75367164405182</v>
      </c>
      <c r="G89" s="43" t="n">
        <v>0.228519664863641</v>
      </c>
      <c r="H89" s="44" t="n">
        <f aca="false">IFERROR(1/G89,"")</f>
        <v>4.37599101415061</v>
      </c>
      <c r="I89" s="43" t="n">
        <v>0.201248157754783</v>
      </c>
      <c r="J89" s="44" t="n">
        <f aca="false">IFERROR(1/I89,"")</f>
        <v>4.96898958557663</v>
      </c>
      <c r="K89" s="43" t="n">
        <v>0.798751842245217</v>
      </c>
      <c r="L89" s="44" t="n">
        <f aca="false">IFERROR(1/K89,"")</f>
        <v>1.25195329401569</v>
      </c>
      <c r="M89" s="43" t="n">
        <v>0.771480335136359</v>
      </c>
      <c r="N89" s="44" t="n">
        <f aca="false">IFERROR(1/M89,"")</f>
        <v>1.29620931922166</v>
      </c>
      <c r="O89" s="43" t="n">
        <v>0.429767822618424</v>
      </c>
      <c r="P89" s="44" t="n">
        <f aca="false">IFERROR(1/O89,"")</f>
        <v>2.32683776534816</v>
      </c>
    </row>
    <row r="90" customFormat="false" ht="18.75" hidden="false" customHeight="true" outlineLevel="0" collapsed="false">
      <c r="A90" s="35" t="n">
        <v>37</v>
      </c>
      <c r="B90" s="33" t="n">
        <v>46355</v>
      </c>
      <c r="C90" s="34" t="s">
        <v>93</v>
      </c>
      <c r="D90" s="34" t="s">
        <v>103</v>
      </c>
      <c r="E90" s="36" t="n">
        <v>0.529264446484816</v>
      </c>
      <c r="F90" s="37" t="n">
        <f aca="false">IFERROR(1/E90,"")</f>
        <v>1.88941465205464</v>
      </c>
      <c r="G90" s="36" t="n">
        <v>0.238583431831998</v>
      </c>
      <c r="H90" s="37" t="n">
        <f aca="false">IFERROR(1/G90,"")</f>
        <v>4.19140588397674</v>
      </c>
      <c r="I90" s="36" t="n">
        <v>0.232152121683186</v>
      </c>
      <c r="J90" s="37" t="n">
        <f aca="false">IFERROR(1/I90,"")</f>
        <v>4.3075203997691</v>
      </c>
      <c r="K90" s="36" t="n">
        <v>0.767847878316815</v>
      </c>
      <c r="L90" s="37" t="n">
        <f aca="false">IFERROR(1/K90,"")</f>
        <v>1.30234129472635</v>
      </c>
      <c r="M90" s="36" t="n">
        <v>0.761416568168002</v>
      </c>
      <c r="N90" s="37" t="n">
        <f aca="false">IFERROR(1/M90,"")</f>
        <v>1.31334152920528</v>
      </c>
      <c r="O90" s="36" t="n">
        <v>0.470735553515184</v>
      </c>
      <c r="P90" s="37" t="n">
        <f aca="false">IFERROR(1/O90,"")</f>
        <v>2.12433497434509</v>
      </c>
    </row>
    <row r="91" customFormat="false" ht="18.75" hidden="false" customHeight="true" outlineLevel="0" collapsed="false">
      <c r="A91" s="42" t="n">
        <v>37</v>
      </c>
      <c r="B91" s="40" t="n">
        <v>46355</v>
      </c>
      <c r="C91" s="41" t="s">
        <v>83</v>
      </c>
      <c r="D91" s="41" t="s">
        <v>102</v>
      </c>
      <c r="E91" s="43" t="n">
        <v>0.153956677898085</v>
      </c>
      <c r="F91" s="44" t="n">
        <f aca="false">IFERROR(1/E91,"")</f>
        <v>6.49533371109744</v>
      </c>
      <c r="G91" s="43" t="n">
        <v>0.212181613505321</v>
      </c>
      <c r="H91" s="44" t="n">
        <f aca="false">IFERROR(1/G91,"")</f>
        <v>4.71294370647682</v>
      </c>
      <c r="I91" s="43" t="n">
        <v>0.633861708596595</v>
      </c>
      <c r="J91" s="44" t="n">
        <f aca="false">IFERROR(1/I91,"")</f>
        <v>1.57763118743055</v>
      </c>
      <c r="K91" s="43" t="n">
        <v>0.366138291403406</v>
      </c>
      <c r="L91" s="44" t="n">
        <f aca="false">IFERROR(1/K91,"")</f>
        <v>2.73120846270136</v>
      </c>
      <c r="M91" s="43" t="n">
        <v>0.787818386494679</v>
      </c>
      <c r="N91" s="44" t="n">
        <f aca="false">IFERROR(1/M91,"")</f>
        <v>1.2693280801041</v>
      </c>
      <c r="O91" s="43" t="n">
        <v>0.846043322101916</v>
      </c>
      <c r="P91" s="44" t="n">
        <f aca="false">IFERROR(1/O91,"")</f>
        <v>1.18197257028824</v>
      </c>
    </row>
    <row r="92" customFormat="false" ht="18.75" hidden="false" customHeight="true" outlineLevel="0" collapsed="false">
      <c r="A92" s="35" t="n">
        <v>37</v>
      </c>
      <c r="B92" s="33" t="n">
        <v>46355</v>
      </c>
      <c r="C92" s="34" t="s">
        <v>101</v>
      </c>
      <c r="D92" s="34" t="s">
        <v>105</v>
      </c>
      <c r="E92" s="36" t="n">
        <v>0.476731662111688</v>
      </c>
      <c r="F92" s="37" t="n">
        <f aca="false">IFERROR(1/E92,"")</f>
        <v>2.09761607939043</v>
      </c>
      <c r="G92" s="36" t="n">
        <v>0.26577471489324</v>
      </c>
      <c r="H92" s="37" t="n">
        <f aca="false">IFERROR(1/G92,"")</f>
        <v>3.76258516692114</v>
      </c>
      <c r="I92" s="36" t="n">
        <v>0.257493622995072</v>
      </c>
      <c r="J92" s="37" t="n">
        <f aca="false">IFERROR(1/I92,"")</f>
        <v>3.88359132303303</v>
      </c>
      <c r="K92" s="36" t="n">
        <v>0.742506377004928</v>
      </c>
      <c r="L92" s="37" t="n">
        <f aca="false">IFERROR(1/K92,"")</f>
        <v>1.3467897798181</v>
      </c>
      <c r="M92" s="36" t="n">
        <v>0.73422528510676</v>
      </c>
      <c r="N92" s="37" t="n">
        <f aca="false">IFERROR(1/M92,"")</f>
        <v>1.36197979051429</v>
      </c>
      <c r="O92" s="36" t="n">
        <v>0.523268337888312</v>
      </c>
      <c r="P92" s="37" t="n">
        <f aca="false">IFERROR(1/O92,"")</f>
        <v>1.91106537046666</v>
      </c>
    </row>
    <row r="93" customFormat="false" ht="18.75" hidden="false" customHeight="true" outlineLevel="0" collapsed="false">
      <c r="A93" s="42" t="n">
        <v>37</v>
      </c>
      <c r="B93" s="40" t="n">
        <v>46355</v>
      </c>
      <c r="C93" s="41" t="s">
        <v>99</v>
      </c>
      <c r="D93" s="41" t="s">
        <v>8</v>
      </c>
      <c r="E93" s="43" t="n">
        <v>0.204689724287008</v>
      </c>
      <c r="F93" s="44" t="n">
        <f aca="false">IFERROR(1/E93,"")</f>
        <v>4.88544309433843</v>
      </c>
      <c r="G93" s="43" t="n">
        <v>0.218944244685762</v>
      </c>
      <c r="H93" s="44" t="n">
        <f aca="false">IFERROR(1/G93,"")</f>
        <v>4.56737285529127</v>
      </c>
      <c r="I93" s="43" t="n">
        <v>0.57636603102723</v>
      </c>
      <c r="J93" s="44" t="n">
        <f aca="false">IFERROR(1/I93,"")</f>
        <v>1.73500856429333</v>
      </c>
      <c r="K93" s="43" t="n">
        <v>0.42363396897277</v>
      </c>
      <c r="L93" s="44" t="n">
        <f aca="false">IFERROR(1/K93,"")</f>
        <v>2.36052836467483</v>
      </c>
      <c r="M93" s="43" t="n">
        <v>0.781055755314238</v>
      </c>
      <c r="N93" s="44" t="n">
        <f aca="false">IFERROR(1/M93,"")</f>
        <v>1.28031832964047</v>
      </c>
      <c r="O93" s="43" t="n">
        <v>0.795310275712992</v>
      </c>
      <c r="P93" s="44" t="n">
        <f aca="false">IFERROR(1/O93,"")</f>
        <v>1.25737090358037</v>
      </c>
    </row>
    <row r="94" customFormat="false" ht="18.75" hidden="false" customHeight="true" outlineLevel="0" collapsed="false">
      <c r="A94" s="35" t="n">
        <v>37</v>
      </c>
      <c r="B94" s="33" t="n">
        <v>46355</v>
      </c>
      <c r="C94" s="34" t="s">
        <v>98</v>
      </c>
      <c r="D94" s="34" t="s">
        <v>96</v>
      </c>
      <c r="E94" s="36" t="n">
        <v>0.440231034863097</v>
      </c>
      <c r="F94" s="37" t="n">
        <f aca="false">IFERROR(1/E94,"")</f>
        <v>2.27153453711181</v>
      </c>
      <c r="G94" s="36" t="n">
        <v>0.280404026988705</v>
      </c>
      <c r="H94" s="37" t="n">
        <f aca="false">IFERROR(1/G94,"")</f>
        <v>3.56628259137049</v>
      </c>
      <c r="I94" s="36" t="n">
        <v>0.279364938148197</v>
      </c>
      <c r="J94" s="37" t="n">
        <f aca="false">IFERROR(1/I94,"")</f>
        <v>3.57954726397885</v>
      </c>
      <c r="K94" s="36" t="n">
        <v>0.720635061851803</v>
      </c>
      <c r="L94" s="37" t="n">
        <f aca="false">IFERROR(1/K94,"")</f>
        <v>1.38766492630863</v>
      </c>
      <c r="M94" s="36" t="n">
        <v>0.719595973011295</v>
      </c>
      <c r="N94" s="37" t="n">
        <f aca="false">IFERROR(1/M94,"")</f>
        <v>1.38966869952773</v>
      </c>
      <c r="O94" s="36" t="n">
        <v>0.559768965136903</v>
      </c>
      <c r="P94" s="37" t="n">
        <f aca="false">IFERROR(1/O94,"")</f>
        <v>1.78645130809535</v>
      </c>
    </row>
    <row r="95" customFormat="false" ht="18.75" hidden="false" customHeight="true" outlineLevel="0" collapsed="false">
      <c r="A95" s="42" t="n">
        <v>37</v>
      </c>
      <c r="B95" s="40" t="n">
        <v>46355</v>
      </c>
      <c r="C95" s="41" t="s">
        <v>100</v>
      </c>
      <c r="D95" s="41" t="s">
        <v>91</v>
      </c>
      <c r="E95" s="43" t="n">
        <v>0.48664916245173</v>
      </c>
      <c r="F95" s="44" t="n">
        <f aca="false">IFERROR(1/E95,"")</f>
        <v>2.05486842916161</v>
      </c>
      <c r="G95" s="43" t="n">
        <v>0.260249364276429</v>
      </c>
      <c r="H95" s="44" t="n">
        <f aca="false">IFERROR(1/G95,"")</f>
        <v>3.8424685600301</v>
      </c>
      <c r="I95" s="43" t="n">
        <v>0.253101473271841</v>
      </c>
      <c r="J95" s="44" t="n">
        <f aca="false">IFERROR(1/I95,"")</f>
        <v>3.95098450859652</v>
      </c>
      <c r="K95" s="43" t="n">
        <v>0.746898526728159</v>
      </c>
      <c r="L95" s="44" t="n">
        <f aca="false">IFERROR(1/K95,"")</f>
        <v>1.33886995919053</v>
      </c>
      <c r="M95" s="43" t="n">
        <v>0.739750635723571</v>
      </c>
      <c r="N95" s="44" t="n">
        <f aca="false">IFERROR(1/M95,"")</f>
        <v>1.35180688154715</v>
      </c>
      <c r="O95" s="43" t="n">
        <v>0.51335083754827</v>
      </c>
      <c r="P95" s="44" t="n">
        <f aca="false">IFERROR(1/O95,"")</f>
        <v>1.94798552345981</v>
      </c>
    </row>
    <row r="96" customFormat="false" ht="18.75" hidden="false" customHeight="true" outlineLevel="0" collapsed="false">
      <c r="A96" s="35" t="n">
        <v>37</v>
      </c>
      <c r="B96" s="33" t="n">
        <v>46355</v>
      </c>
      <c r="C96" s="34" t="s">
        <v>95</v>
      </c>
      <c r="D96" s="34" t="s">
        <v>92</v>
      </c>
      <c r="E96" s="36" t="n">
        <v>0.48214574649626</v>
      </c>
      <c r="F96" s="37" t="n">
        <f aca="false">IFERROR(1/E96,"")</f>
        <v>2.07406164477645</v>
      </c>
      <c r="G96" s="36" t="n">
        <v>0.253305372164891</v>
      </c>
      <c r="H96" s="37" t="n">
        <f aca="false">IFERROR(1/G96,"")</f>
        <v>3.94780415217188</v>
      </c>
      <c r="I96" s="36" t="n">
        <v>0.264548881338849</v>
      </c>
      <c r="J96" s="37" t="n">
        <f aca="false">IFERROR(1/I96,"")</f>
        <v>3.78001976398133</v>
      </c>
      <c r="K96" s="36" t="n">
        <v>0.735451118661151</v>
      </c>
      <c r="L96" s="37" t="n">
        <f aca="false">IFERROR(1/K96,"")</f>
        <v>1.35970967291537</v>
      </c>
      <c r="M96" s="36" t="n">
        <v>0.746694627835109</v>
      </c>
      <c r="N96" s="37" t="n">
        <f aca="false">IFERROR(1/M96,"")</f>
        <v>1.33923556260114</v>
      </c>
      <c r="O96" s="36" t="n">
        <v>0.51785425350374</v>
      </c>
      <c r="P96" s="37" t="n">
        <f aca="false">IFERROR(1/O96,"")</f>
        <v>1.9310452569118</v>
      </c>
    </row>
    <row r="97" customFormat="false" ht="18.75" hidden="false" customHeight="true" outlineLevel="0" collapsed="false">
      <c r="A97" s="42" t="n">
        <v>37</v>
      </c>
      <c r="B97" s="40" t="n">
        <v>46355</v>
      </c>
      <c r="C97" s="41" t="s">
        <v>87</v>
      </c>
      <c r="D97" s="41" t="s">
        <v>104</v>
      </c>
      <c r="E97" s="43" t="n">
        <v>0.602922415323591</v>
      </c>
      <c r="F97" s="44" t="n">
        <f aca="false">IFERROR(1/E97,"")</f>
        <v>1.65858819407684</v>
      </c>
      <c r="G97" s="43" t="n">
        <v>0.223455538268462</v>
      </c>
      <c r="H97" s="44" t="n">
        <f aca="false">IFERROR(1/G97,"")</f>
        <v>4.47516319241364</v>
      </c>
      <c r="I97" s="43" t="n">
        <v>0.173622046407947</v>
      </c>
      <c r="J97" s="44" t="n">
        <f aca="false">IFERROR(1/I97,"")</f>
        <v>5.75963721594648</v>
      </c>
      <c r="K97" s="43" t="n">
        <v>0.826377953592053</v>
      </c>
      <c r="L97" s="44" t="n">
        <f aca="false">IFERROR(1/K97,"")</f>
        <v>1.21010004641733</v>
      </c>
      <c r="M97" s="43" t="n">
        <v>0.776544461731538</v>
      </c>
      <c r="N97" s="44" t="n">
        <f aca="false">IFERROR(1/M97,"")</f>
        <v>1.2877562706071</v>
      </c>
      <c r="O97" s="43" t="n">
        <v>0.39707758467641</v>
      </c>
      <c r="P97" s="44" t="n">
        <f aca="false">IFERROR(1/O97,"")</f>
        <v>2.51839952339523</v>
      </c>
    </row>
    <row r="98" customFormat="false" ht="18.75" hidden="false" customHeight="true" outlineLevel="0" collapsed="false">
      <c r="A98" s="35" t="n">
        <v>37</v>
      </c>
      <c r="B98" s="33" t="n">
        <v>46355</v>
      </c>
      <c r="C98" s="34" t="s">
        <v>106</v>
      </c>
      <c r="D98" s="34" t="s">
        <v>88</v>
      </c>
      <c r="E98" s="36" t="n">
        <v>0.39824234144277</v>
      </c>
      <c r="F98" s="37" t="n">
        <f aca="false">IFERROR(1/E98,"")</f>
        <v>2.51103385033635</v>
      </c>
      <c r="G98" s="36" t="n">
        <v>0.268534544742998</v>
      </c>
      <c r="H98" s="37" t="n">
        <f aca="false">IFERROR(1/G98,"")</f>
        <v>3.72391567333378</v>
      </c>
      <c r="I98" s="36" t="n">
        <v>0.333223113814233</v>
      </c>
      <c r="J98" s="37" t="n">
        <f aca="false">IFERROR(1/I98,"")</f>
        <v>3.00099230378564</v>
      </c>
      <c r="K98" s="36" t="n">
        <v>0.666776886185767</v>
      </c>
      <c r="L98" s="37" t="n">
        <f aca="false">IFERROR(1/K98,"")</f>
        <v>1.4997520470759</v>
      </c>
      <c r="M98" s="36" t="n">
        <v>0.731465455257003</v>
      </c>
      <c r="N98" s="37" t="n">
        <f aca="false">IFERROR(1/M98,"")</f>
        <v>1.3671185601631</v>
      </c>
      <c r="O98" s="36" t="n">
        <v>0.601757658557231</v>
      </c>
      <c r="P98" s="37" t="n">
        <f aca="false">IFERROR(1/O98,"")</f>
        <v>1.66179854261862</v>
      </c>
    </row>
    <row r="99" customFormat="false" ht="18.75" hidden="false" customHeight="true" outlineLevel="0" collapsed="false">
      <c r="A99" s="42" t="n">
        <v>38</v>
      </c>
      <c r="B99" s="40" t="n">
        <v>46358</v>
      </c>
      <c r="C99" s="41" t="s">
        <v>92</v>
      </c>
      <c r="D99" s="41" t="s">
        <v>87</v>
      </c>
      <c r="E99" s="43" t="n">
        <v>0.462807258596752</v>
      </c>
      <c r="F99" s="44" t="n">
        <f aca="false">IFERROR(1/E99,"")</f>
        <v>2.16072669869534</v>
      </c>
      <c r="G99" s="43" t="n">
        <v>0.276096933886394</v>
      </c>
      <c r="H99" s="44" t="n">
        <f aca="false">IFERROR(1/G99,"")</f>
        <v>3.6219163535205</v>
      </c>
      <c r="I99" s="43" t="n">
        <v>0.261095807516854</v>
      </c>
      <c r="J99" s="44" t="n">
        <f aca="false">IFERROR(1/I99,"")</f>
        <v>3.83001170915182</v>
      </c>
      <c r="K99" s="43" t="n">
        <v>0.738904192483146</v>
      </c>
      <c r="L99" s="44" t="n">
        <f aca="false">IFERROR(1/K99,"")</f>
        <v>1.35335542844793</v>
      </c>
      <c r="M99" s="43" t="n">
        <v>0.723903066113606</v>
      </c>
      <c r="N99" s="44" t="n">
        <f aca="false">IFERROR(1/M99,"")</f>
        <v>1.3814004205959</v>
      </c>
      <c r="O99" s="43" t="n">
        <v>0.537192741403248</v>
      </c>
      <c r="P99" s="44" t="n">
        <f aca="false">IFERROR(1/O99,"")</f>
        <v>1.86152924812017</v>
      </c>
    </row>
    <row r="100" customFormat="false" ht="18.75" hidden="false" customHeight="true" outlineLevel="0" collapsed="false">
      <c r="A100" s="35" t="n">
        <v>38</v>
      </c>
      <c r="B100" s="33" t="n">
        <v>46358</v>
      </c>
      <c r="C100" s="34" t="s">
        <v>103</v>
      </c>
      <c r="D100" s="34" t="s">
        <v>90</v>
      </c>
      <c r="E100" s="36" t="n">
        <v>0.443281359843362</v>
      </c>
      <c r="F100" s="37" t="n">
        <f aca="false">IFERROR(1/E100,"")</f>
        <v>2.25590356507064</v>
      </c>
      <c r="G100" s="36" t="n">
        <v>0.25919933801004</v>
      </c>
      <c r="H100" s="37" t="n">
        <f aca="false">IFERROR(1/G100,"")</f>
        <v>3.85803454467644</v>
      </c>
      <c r="I100" s="36" t="n">
        <v>0.297519302146598</v>
      </c>
      <c r="J100" s="37" t="n">
        <f aca="false">IFERROR(1/I100,"")</f>
        <v>3.36112646401431</v>
      </c>
      <c r="K100" s="36" t="n">
        <v>0.702480697853402</v>
      </c>
      <c r="L100" s="37" t="n">
        <f aca="false">IFERROR(1/K100,"")</f>
        <v>1.4235266578224</v>
      </c>
      <c r="M100" s="36" t="n">
        <v>0.74080066198996</v>
      </c>
      <c r="N100" s="37" t="n">
        <f aca="false">IFERROR(1/M100,"")</f>
        <v>1.3498908023567</v>
      </c>
      <c r="O100" s="36" t="n">
        <v>0.556718640156638</v>
      </c>
      <c r="P100" s="37" t="n">
        <f aca="false">IFERROR(1/O100,"")</f>
        <v>1.79623947874036</v>
      </c>
    </row>
    <row r="101" customFormat="false" ht="18.75" hidden="false" customHeight="true" outlineLevel="0" collapsed="false">
      <c r="A101" s="42" t="n">
        <v>38</v>
      </c>
      <c r="B101" s="40" t="n">
        <v>46358</v>
      </c>
      <c r="C101" s="41" t="s">
        <v>91</v>
      </c>
      <c r="D101" s="41" t="s">
        <v>98</v>
      </c>
      <c r="E101" s="43" t="n">
        <v>0.415872385759962</v>
      </c>
      <c r="F101" s="44" t="n">
        <f aca="false">IFERROR(1/E101,"")</f>
        <v>2.40458379599455</v>
      </c>
      <c r="G101" s="43" t="n">
        <v>0.271369974120152</v>
      </c>
      <c r="H101" s="44" t="n">
        <f aca="false">IFERROR(1/G101,"")</f>
        <v>3.68500606318826</v>
      </c>
      <c r="I101" s="43" t="n">
        <v>0.312757640119886</v>
      </c>
      <c r="J101" s="44" t="n">
        <f aca="false">IFERROR(1/I101,"")</f>
        <v>3.19736393846904</v>
      </c>
      <c r="K101" s="43" t="n">
        <v>0.687242359880114</v>
      </c>
      <c r="L101" s="44" t="n">
        <f aca="false">IFERROR(1/K101,"")</f>
        <v>1.45509074873447</v>
      </c>
      <c r="M101" s="43" t="n">
        <v>0.728630025879848</v>
      </c>
      <c r="N101" s="44" t="n">
        <f aca="false">IFERROR(1/M101,"")</f>
        <v>1.37243863755472</v>
      </c>
      <c r="O101" s="43" t="n">
        <v>0.584127614240038</v>
      </c>
      <c r="P101" s="44" t="n">
        <f aca="false">IFERROR(1/O101,"")</f>
        <v>1.71195467500885</v>
      </c>
    </row>
    <row r="102" customFormat="false" ht="18.75" hidden="false" customHeight="true" outlineLevel="0" collapsed="false">
      <c r="A102" s="35" t="n">
        <v>38</v>
      </c>
      <c r="B102" s="33" t="n">
        <v>46358</v>
      </c>
      <c r="C102" s="34" t="s">
        <v>96</v>
      </c>
      <c r="D102" s="34" t="s">
        <v>100</v>
      </c>
      <c r="E102" s="36" t="n">
        <v>0.496336965857958</v>
      </c>
      <c r="F102" s="37" t="n">
        <f aca="false">IFERROR(1/E102,"")</f>
        <v>2.01476027132378</v>
      </c>
      <c r="G102" s="36" t="n">
        <v>0.268953599442637</v>
      </c>
      <c r="H102" s="37" t="n">
        <f aca="false">IFERROR(1/G102,"")</f>
        <v>3.71811346668101</v>
      </c>
      <c r="I102" s="36" t="n">
        <v>0.234709434699406</v>
      </c>
      <c r="J102" s="37" t="n">
        <f aca="false">IFERROR(1/I102,"")</f>
        <v>4.26058714376228</v>
      </c>
      <c r="K102" s="36" t="n">
        <v>0.765290565300595</v>
      </c>
      <c r="L102" s="37" t="n">
        <f aca="false">IFERROR(1/K102,"")</f>
        <v>1.30669322913607</v>
      </c>
      <c r="M102" s="36" t="n">
        <v>0.731046400557363</v>
      </c>
      <c r="N102" s="37" t="n">
        <f aca="false">IFERROR(1/M102,"")</f>
        <v>1.36790222787169</v>
      </c>
      <c r="O102" s="36" t="n">
        <v>0.503663034142043</v>
      </c>
      <c r="P102" s="37" t="n">
        <f aca="false">IFERROR(1/O102,"")</f>
        <v>1.98545442530527</v>
      </c>
    </row>
    <row r="103" customFormat="false" ht="18.75" hidden="false" customHeight="true" outlineLevel="0" collapsed="false">
      <c r="A103" s="42" t="n">
        <v>38</v>
      </c>
      <c r="B103" s="40" t="n">
        <v>46358</v>
      </c>
      <c r="C103" s="41" t="s">
        <v>8</v>
      </c>
      <c r="D103" s="41" t="s">
        <v>83</v>
      </c>
      <c r="E103" s="43" t="n">
        <v>0.834156029199319</v>
      </c>
      <c r="F103" s="44" t="n">
        <f aca="false">IFERROR(1/E103,"")</f>
        <v>1.19881648635912</v>
      </c>
      <c r="G103" s="43" t="n">
        <v>0.111137751182224</v>
      </c>
      <c r="H103" s="44" t="n">
        <f aca="false">IFERROR(1/G103,"")</f>
        <v>8.99784267148236</v>
      </c>
      <c r="I103" s="43" t="n">
        <v>0.0547062196184578</v>
      </c>
      <c r="J103" s="44" t="n">
        <f aca="false">IFERROR(1/I103,"")</f>
        <v>18.2794571983658</v>
      </c>
      <c r="K103" s="43" t="n">
        <v>0.945293780381542</v>
      </c>
      <c r="L103" s="44" t="n">
        <f aca="false">IFERROR(1/K103,"")</f>
        <v>1.05787218825916</v>
      </c>
      <c r="M103" s="43" t="n">
        <v>0.888862248817777</v>
      </c>
      <c r="N103" s="44" t="n">
        <f aca="false">IFERROR(1/M103,"")</f>
        <v>1.12503371735051</v>
      </c>
      <c r="O103" s="43" t="n">
        <v>0.165843970800682</v>
      </c>
      <c r="P103" s="44" t="n">
        <f aca="false">IFERROR(1/O103,"")</f>
        <v>6.02976397135259</v>
      </c>
    </row>
    <row r="104" customFormat="false" ht="18.75" hidden="false" customHeight="true" outlineLevel="0" collapsed="false">
      <c r="A104" s="35" t="n">
        <v>38</v>
      </c>
      <c r="B104" s="33" t="n">
        <v>46358</v>
      </c>
      <c r="C104" s="34" t="s">
        <v>105</v>
      </c>
      <c r="D104" s="34" t="s">
        <v>95</v>
      </c>
      <c r="E104" s="36" t="n">
        <v>0.429891761159277</v>
      </c>
      <c r="F104" s="37" t="n">
        <f aca="false">IFERROR(1/E104,"")</f>
        <v>2.326166933982</v>
      </c>
      <c r="G104" s="36" t="n">
        <v>0.253264509069587</v>
      </c>
      <c r="H104" s="37" t="n">
        <f aca="false">IFERROR(1/G104,"")</f>
        <v>3.94844111270735</v>
      </c>
      <c r="I104" s="36" t="n">
        <v>0.316843729771136</v>
      </c>
      <c r="J104" s="37" t="n">
        <f aca="false">IFERROR(1/I104,"")</f>
        <v>3.15612999734073</v>
      </c>
      <c r="K104" s="36" t="n">
        <v>0.683156270228864</v>
      </c>
      <c r="L104" s="37" t="n">
        <f aca="false">IFERROR(1/K104,"")</f>
        <v>1.46379392765434</v>
      </c>
      <c r="M104" s="36" t="n">
        <v>0.746735490930413</v>
      </c>
      <c r="N104" s="37" t="n">
        <f aca="false">IFERROR(1/M104,"")</f>
        <v>1.33916227652984</v>
      </c>
      <c r="O104" s="36" t="n">
        <v>0.570108238840722</v>
      </c>
      <c r="P104" s="37" t="n">
        <f aca="false">IFERROR(1/O104,"")</f>
        <v>1.75405288306907</v>
      </c>
    </row>
    <row r="105" customFormat="false" ht="18.75" hidden="false" customHeight="true" outlineLevel="0" collapsed="false">
      <c r="A105" s="42" t="n">
        <v>38</v>
      </c>
      <c r="B105" s="40" t="n">
        <v>46358</v>
      </c>
      <c r="C105" s="41" t="s">
        <v>102</v>
      </c>
      <c r="D105" s="41" t="s">
        <v>99</v>
      </c>
      <c r="E105" s="43" t="n">
        <v>0.766284499267028</v>
      </c>
      <c r="F105" s="44" t="n">
        <f aca="false">IFERROR(1/E105,"")</f>
        <v>1.30499834063788</v>
      </c>
      <c r="G105" s="43" t="n">
        <v>0.150542257692616</v>
      </c>
      <c r="H105" s="44" t="n">
        <f aca="false">IFERROR(1/G105,"")</f>
        <v>6.6426531349214</v>
      </c>
      <c r="I105" s="43" t="n">
        <v>0.0831732430403562</v>
      </c>
      <c r="J105" s="44" t="n">
        <f aca="false">IFERROR(1/I105,"")</f>
        <v>12.0230973741735</v>
      </c>
      <c r="K105" s="43" t="n">
        <v>0.916826756959643</v>
      </c>
      <c r="L105" s="44" t="n">
        <f aca="false">IFERROR(1/K105,"")</f>
        <v>1.09071860349732</v>
      </c>
      <c r="M105" s="43" t="n">
        <v>0.849457742307384</v>
      </c>
      <c r="N105" s="44" t="n">
        <f aca="false">IFERROR(1/M105,"")</f>
        <v>1.17722159701988</v>
      </c>
      <c r="O105" s="43" t="n">
        <v>0.233715500732972</v>
      </c>
      <c r="P105" s="44" t="n">
        <f aca="false">IFERROR(1/O105,"")</f>
        <v>4.27870636249555</v>
      </c>
    </row>
    <row r="106" customFormat="false" ht="18.75" hidden="false" customHeight="true" outlineLevel="0" collapsed="false">
      <c r="A106" s="35" t="n">
        <v>38</v>
      </c>
      <c r="B106" s="33" t="n">
        <v>46358</v>
      </c>
      <c r="C106" s="34" t="s">
        <v>104</v>
      </c>
      <c r="D106" s="34" t="s">
        <v>101</v>
      </c>
      <c r="E106" s="36" t="n">
        <v>0.358165842035266</v>
      </c>
      <c r="F106" s="37" t="n">
        <f aca="false">IFERROR(1/E106,"")</f>
        <v>2.79200270555543</v>
      </c>
      <c r="G106" s="36" t="n">
        <v>0.26766886775378</v>
      </c>
      <c r="H106" s="37" t="n">
        <f aca="false">IFERROR(1/G106,"")</f>
        <v>3.73595931567158</v>
      </c>
      <c r="I106" s="36" t="n">
        <v>0.374165290210954</v>
      </c>
      <c r="J106" s="37" t="n">
        <f aca="false">IFERROR(1/I106,"")</f>
        <v>2.6726156224598</v>
      </c>
      <c r="K106" s="36" t="n">
        <v>0.625834709789046</v>
      </c>
      <c r="L106" s="37" t="n">
        <f aca="false">IFERROR(1/K106,"")</f>
        <v>1.59786599298252</v>
      </c>
      <c r="M106" s="36" t="n">
        <v>0.73233113224622</v>
      </c>
      <c r="N106" s="37" t="n">
        <f aca="false">IFERROR(1/M106,"")</f>
        <v>1.36550251104686</v>
      </c>
      <c r="O106" s="36" t="n">
        <v>0.641834157964734</v>
      </c>
      <c r="P106" s="37" t="n">
        <f aca="false">IFERROR(1/O106,"")</f>
        <v>1.55803487176659</v>
      </c>
    </row>
    <row r="107" customFormat="false" ht="18.75" hidden="false" customHeight="true" outlineLevel="0" collapsed="false">
      <c r="A107" s="42" t="n">
        <v>38</v>
      </c>
      <c r="B107" s="40" t="n">
        <v>46358</v>
      </c>
      <c r="C107" s="41" t="s">
        <v>88</v>
      </c>
      <c r="D107" s="41" t="s">
        <v>93</v>
      </c>
      <c r="E107" s="43" t="n">
        <v>0.399649821232921</v>
      </c>
      <c r="F107" s="44" t="n">
        <f aca="false">IFERROR(1/E107,"")</f>
        <v>2.50219053499135</v>
      </c>
      <c r="G107" s="43" t="n">
        <v>0.259920418305521</v>
      </c>
      <c r="H107" s="44" t="n">
        <f aca="false">IFERROR(1/G107,"")</f>
        <v>3.84733145060023</v>
      </c>
      <c r="I107" s="43" t="n">
        <v>0.340429760461558</v>
      </c>
      <c r="J107" s="44" t="n">
        <f aca="false">IFERROR(1/I107,"")</f>
        <v>2.93746351272048</v>
      </c>
      <c r="K107" s="43" t="n">
        <v>0.659570239538442</v>
      </c>
      <c r="L107" s="44" t="n">
        <f aca="false">IFERROR(1/K107,"")</f>
        <v>1.51613875225751</v>
      </c>
      <c r="M107" s="43" t="n">
        <v>0.740079581694479</v>
      </c>
      <c r="N107" s="44" t="n">
        <f aca="false">IFERROR(1/M107,"")</f>
        <v>1.35120603882951</v>
      </c>
      <c r="O107" s="43" t="n">
        <v>0.600350178767079</v>
      </c>
      <c r="P107" s="44" t="n">
        <f aca="false">IFERROR(1/O107,"")</f>
        <v>1.6656945152472</v>
      </c>
    </row>
    <row r="108" customFormat="false" ht="18.75" hidden="false" customHeight="true" outlineLevel="0" collapsed="false">
      <c r="A108" s="35" t="n">
        <v>38</v>
      </c>
      <c r="B108" s="33" t="n">
        <v>46358</v>
      </c>
      <c r="C108" s="34" t="s">
        <v>84</v>
      </c>
      <c r="D108" s="34" t="s">
        <v>106</v>
      </c>
      <c r="E108" s="36" t="n">
        <v>0.513990690881838</v>
      </c>
      <c r="F108" s="37" t="n">
        <f aca="false">IFERROR(1/E108,"")</f>
        <v>1.94556052811838</v>
      </c>
      <c r="G108" s="36" t="n">
        <v>0.245637246967177</v>
      </c>
      <c r="H108" s="37" t="n">
        <f aca="false">IFERROR(1/G108,"")</f>
        <v>4.07104383535785</v>
      </c>
      <c r="I108" s="36" t="n">
        <v>0.240372062150985</v>
      </c>
      <c r="J108" s="37" t="n">
        <f aca="false">IFERROR(1/I108,"")</f>
        <v>4.16021725258517</v>
      </c>
      <c r="K108" s="36" t="n">
        <v>0.759627937849015</v>
      </c>
      <c r="L108" s="37" t="n">
        <f aca="false">IFERROR(1/K108,"")</f>
        <v>1.31643394111021</v>
      </c>
      <c r="M108" s="36" t="n">
        <v>0.754362753032823</v>
      </c>
      <c r="N108" s="37" t="n">
        <f aca="false">IFERROR(1/M108,"")</f>
        <v>1.32562218373007</v>
      </c>
      <c r="O108" s="36" t="n">
        <v>0.486009309118162</v>
      </c>
      <c r="P108" s="37" t="n">
        <f aca="false">IFERROR(1/O108,"")</f>
        <v>2.05757375679583</v>
      </c>
    </row>
  </sheetData>
  <autoFilter ref="A5:P108"/>
  <mergeCells count="8">
    <mergeCell ref="A2:P2"/>
    <mergeCell ref="A4:D4"/>
    <mergeCell ref="E4:F4"/>
    <mergeCell ref="G4:H4"/>
    <mergeCell ref="I4:J4"/>
    <mergeCell ref="K4:L4"/>
    <mergeCell ref="M4:N4"/>
    <mergeCell ref="O4:P4"/>
  </mergeCells>
  <conditionalFormatting sqref="E6:E108">
    <cfRule type="colorScale" priority="2">
      <colorScale>
        <cfvo type="num" val="0"/>
        <cfvo type="num" val="1"/>
        <color rgb="FFFFFFFF"/>
        <color rgb="FF9EC5F4"/>
      </colorScale>
    </cfRule>
  </conditionalFormatting>
  <conditionalFormatting sqref="G6:G108">
    <cfRule type="colorScale" priority="3">
      <colorScale>
        <cfvo type="num" val="0"/>
        <cfvo type="num" val="1"/>
        <color rgb="FFFFFFFF"/>
        <color rgb="FF9EC5F4"/>
      </colorScale>
    </cfRule>
  </conditionalFormatting>
  <conditionalFormatting sqref="I6:I108">
    <cfRule type="colorScale" priority="4">
      <colorScale>
        <cfvo type="num" val="0"/>
        <cfvo type="num" val="1"/>
        <color rgb="FFFFFFFF"/>
        <color rgb="FF9EC5F4"/>
      </colorScale>
    </cfRule>
  </conditionalFormatting>
  <conditionalFormatting sqref="K6:K108">
    <cfRule type="colorScale" priority="5">
      <colorScale>
        <cfvo type="num" val="0"/>
        <cfvo type="num" val="1"/>
        <color rgb="FFFFFFFF"/>
        <color rgb="FF9EC5F4"/>
      </colorScale>
    </cfRule>
  </conditionalFormatting>
  <conditionalFormatting sqref="M6:M108">
    <cfRule type="colorScale" priority="6">
      <colorScale>
        <cfvo type="num" val="0"/>
        <cfvo type="num" val="1"/>
        <color rgb="FFFFFFFF"/>
        <color rgb="FF9EC5F4"/>
      </colorScale>
    </cfRule>
  </conditionalFormatting>
  <conditionalFormatting sqref="O6:O108">
    <cfRule type="colorScale" priority="7">
      <colorScale>
        <cfvo type="num" val="0"/>
        <cfvo type="num" val="1"/>
        <color rgb="FFFFFFFF"/>
        <color rgb="FF9EC5F4"/>
      </colorScale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2805C"/>
    <pageSetUpPr fitToPage="true"/>
  </sheetPr>
  <dimension ref="A1:S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4" min="3" style="0" width="18"/>
    <col collapsed="false" customWidth="true" hidden="false" outlineLevel="0" max="7" min="5" style="0" width="11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9"/>
    <col collapsed="false" customWidth="true" hidden="false" outlineLevel="0" max="12" min="12" style="0" width="8"/>
    <col collapsed="false" customWidth="true" hidden="false" outlineLevel="0" max="13" min="13" style="0" width="9"/>
    <col collapsed="false" customWidth="true" hidden="false" outlineLevel="0" max="14" min="14" style="0" width="8"/>
    <col collapsed="false" customWidth="true" hidden="false" outlineLevel="0" max="15" min="15" style="0" width="9"/>
    <col collapsed="false" customWidth="true" hidden="false" outlineLevel="0" max="16" min="16" style="0" width="8"/>
    <col collapsed="false" customWidth="true" hidden="false" outlineLevel="0" max="17" min="17" style="0" width="9"/>
    <col collapsed="false" customWidth="true" hidden="false" outlineLevel="0" max="18" min="18" style="0" width="8"/>
    <col collapsed="false" customWidth="true" hidden="false" outlineLevel="0" max="19" min="19" style="0" width="9"/>
  </cols>
  <sheetData>
    <row r="1" customFormat="false" ht="30" hidden="false" customHeight="true" outlineLevel="0" collapsed="false">
      <c r="A1" s="23" t="s">
        <v>62</v>
      </c>
    </row>
    <row r="2" customFormat="false" ht="15.75" hidden="false" customHeight="true" outlineLevel="0" collapsed="false">
      <c r="A2" s="24" t="s">
        <v>303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</row>
    <row r="4" customFormat="false" ht="19.5" hidden="false" customHeight="true" outlineLevel="0" collapsed="false">
      <c r="A4" s="25" t="s">
        <v>60</v>
      </c>
      <c r="B4" s="25"/>
      <c r="C4" s="25"/>
      <c r="D4" s="25"/>
      <c r="E4" s="25" t="s">
        <v>304</v>
      </c>
      <c r="F4" s="25"/>
      <c r="G4" s="25"/>
      <c r="H4" s="27" t="s">
        <v>305</v>
      </c>
      <c r="I4" s="27"/>
      <c r="J4" s="64" t="s">
        <v>306</v>
      </c>
      <c r="K4" s="64"/>
      <c r="L4" s="27" t="s">
        <v>79</v>
      </c>
      <c r="M4" s="27"/>
      <c r="N4" s="64" t="s">
        <v>307</v>
      </c>
      <c r="O4" s="64"/>
      <c r="P4" s="27" t="s">
        <v>308</v>
      </c>
      <c r="Q4" s="27"/>
      <c r="R4" s="64" t="s">
        <v>309</v>
      </c>
      <c r="S4" s="64"/>
    </row>
    <row r="5" customFormat="false" ht="27.75" hidden="false" customHeight="true" outlineLevel="0" collapsed="false">
      <c r="A5" s="31" t="s">
        <v>67</v>
      </c>
      <c r="B5" s="31" t="s">
        <v>68</v>
      </c>
      <c r="C5" s="31" t="s">
        <v>69</v>
      </c>
      <c r="D5" s="31" t="s">
        <v>70</v>
      </c>
      <c r="E5" s="31" t="s">
        <v>310</v>
      </c>
      <c r="F5" s="31" t="s">
        <v>311</v>
      </c>
      <c r="G5" s="31" t="s">
        <v>312</v>
      </c>
      <c r="H5" s="31" t="s">
        <v>137</v>
      </c>
      <c r="I5" s="31" t="s">
        <v>138</v>
      </c>
      <c r="J5" s="31" t="s">
        <v>137</v>
      </c>
      <c r="K5" s="31" t="s">
        <v>138</v>
      </c>
      <c r="L5" s="31" t="s">
        <v>137</v>
      </c>
      <c r="M5" s="31" t="s">
        <v>138</v>
      </c>
      <c r="N5" s="31" t="s">
        <v>137</v>
      </c>
      <c r="O5" s="31" t="s">
        <v>138</v>
      </c>
      <c r="P5" s="31" t="s">
        <v>137</v>
      </c>
      <c r="Q5" s="31" t="s">
        <v>138</v>
      </c>
      <c r="R5" s="31" t="s">
        <v>137</v>
      </c>
      <c r="S5" s="31" t="s">
        <v>138</v>
      </c>
    </row>
    <row r="6" customFormat="false" ht="18.75" hidden="false" customHeight="true" outlineLevel="0" collapsed="false">
      <c r="A6" s="35" t="n">
        <v>21</v>
      </c>
      <c r="B6" s="33" t="n">
        <v>46233</v>
      </c>
      <c r="C6" s="34" t="s">
        <v>83</v>
      </c>
      <c r="D6" s="34" t="s">
        <v>84</v>
      </c>
      <c r="E6" s="38" t="n">
        <v>1.36302885872408</v>
      </c>
      <c r="F6" s="38" t="n">
        <v>1.45804923929935</v>
      </c>
      <c r="G6" s="38" t="n">
        <v>2.82107809802343</v>
      </c>
      <c r="H6" s="36" t="n">
        <v>0.941848444524692</v>
      </c>
      <c r="I6" s="37" t="n">
        <f aca="false">IFERROR(1/H6,"")</f>
        <v>1.06174194565311</v>
      </c>
      <c r="J6" s="36" t="n">
        <v>0.77109751587449</v>
      </c>
      <c r="K6" s="37" t="n">
        <f aca="false">IFERROR(1/J6,"")</f>
        <v>1.29685283561822</v>
      </c>
      <c r="L6" s="36" t="n">
        <v>0.535556794079534</v>
      </c>
      <c r="M6" s="37" t="n">
        <f aca="false">IFERROR(1/L6,"")</f>
        <v>1.86721559889593</v>
      </c>
      <c r="N6" s="36" t="n">
        <v>0.312756441608085</v>
      </c>
      <c r="O6" s="37" t="n">
        <f aca="false">IFERROR(1/N6,"")</f>
        <v>3.19737619106531</v>
      </c>
      <c r="P6" s="36" t="n">
        <v>0.155621798326815</v>
      </c>
      <c r="Q6" s="37" t="n">
        <f aca="false">IFERROR(1/P6,"")</f>
        <v>6.42583500995113</v>
      </c>
      <c r="R6" s="36" t="n">
        <v>0.464443205920467</v>
      </c>
      <c r="S6" s="37" t="n">
        <f aca="false">IFERROR(1/R6,"")</f>
        <v>2.1531157895143</v>
      </c>
    </row>
    <row r="7" customFormat="false" ht="18.75" hidden="false" customHeight="true" outlineLevel="0" collapsed="false">
      <c r="A7" s="42" t="n">
        <v>21</v>
      </c>
      <c r="B7" s="40" t="n">
        <v>46297</v>
      </c>
      <c r="C7" s="41" t="s">
        <v>87</v>
      </c>
      <c r="D7" s="41" t="s">
        <v>88</v>
      </c>
      <c r="E7" s="45" t="n">
        <v>1.49540193186046</v>
      </c>
      <c r="F7" s="45" t="n">
        <v>0.936855862791561</v>
      </c>
      <c r="G7" s="45" t="n">
        <v>2.43225779465202</v>
      </c>
      <c r="H7" s="43" t="n">
        <v>0.913607489048575</v>
      </c>
      <c r="I7" s="44" t="n">
        <f aca="false">IFERROR(1/H7,"")</f>
        <v>1.09456195574906</v>
      </c>
      <c r="J7" s="43" t="n">
        <v>0.697071938301797</v>
      </c>
      <c r="K7" s="44" t="n">
        <f aca="false">IFERROR(1/J7,"")</f>
        <v>1.43457216544421</v>
      </c>
      <c r="L7" s="43" t="n">
        <v>0.43869710859524</v>
      </c>
      <c r="M7" s="44" t="n">
        <f aca="false">IFERROR(1/L7,"")</f>
        <v>2.27947707064247</v>
      </c>
      <c r="N7" s="43" t="n">
        <v>0.228046757988991</v>
      </c>
      <c r="O7" s="44" t="n">
        <f aca="false">IFERROR(1/N7,"")</f>
        <v>4.38506562784933</v>
      </c>
      <c r="P7" s="43" t="n">
        <v>0.0999574938635097</v>
      </c>
      <c r="Q7" s="44" t="n">
        <f aca="false">IFERROR(1/P7,"")</f>
        <v>10.004252421189</v>
      </c>
      <c r="R7" s="43" t="n">
        <v>0.56130289140476</v>
      </c>
      <c r="S7" s="44" t="n">
        <f aca="false">IFERROR(1/R7,"")</f>
        <v>1.78156930119729</v>
      </c>
    </row>
    <row r="8" customFormat="false" ht="18.75" hidden="false" customHeight="true" outlineLevel="0" collapsed="false">
      <c r="A8" s="35" t="n">
        <v>21</v>
      </c>
      <c r="B8" s="33" t="n">
        <v>46298</v>
      </c>
      <c r="C8" s="34" t="s">
        <v>90</v>
      </c>
      <c r="D8" s="34" t="s">
        <v>91</v>
      </c>
      <c r="E8" s="38" t="n">
        <v>1.54846071543504</v>
      </c>
      <c r="F8" s="38" t="n">
        <v>0.954844653656099</v>
      </c>
      <c r="G8" s="38" t="n">
        <v>2.50330536909114</v>
      </c>
      <c r="H8" s="36" t="n">
        <v>0.919607177489373</v>
      </c>
      <c r="I8" s="37" t="n">
        <f aca="false">IFERROR(1/H8,"")</f>
        <v>1.08742082976136</v>
      </c>
      <c r="J8" s="36" t="n">
        <v>0.711960633147489</v>
      </c>
      <c r="K8" s="37" t="n">
        <f aca="false">IFERROR(1/J8,"")</f>
        <v>1.40457204154551</v>
      </c>
      <c r="L8" s="36" t="n">
        <v>0.457035931275731</v>
      </c>
      <c r="M8" s="37" t="n">
        <f aca="false">IFERROR(1/L8,"")</f>
        <v>2.1880117766861</v>
      </c>
      <c r="N8" s="36" t="n">
        <v>0.243131645141363</v>
      </c>
      <c r="O8" s="37" t="n">
        <f aca="false">IFERROR(1/N8,"")</f>
        <v>4.11299812255445</v>
      </c>
      <c r="P8" s="36" t="n">
        <v>0.109264320300428</v>
      </c>
      <c r="Q8" s="37" t="n">
        <f aca="false">IFERROR(1/P8,"")</f>
        <v>9.15211843399979</v>
      </c>
      <c r="R8" s="36" t="n">
        <v>0.542964068724269</v>
      </c>
      <c r="S8" s="37" t="n">
        <f aca="false">IFERROR(1/R8,"")</f>
        <v>1.84174249752763</v>
      </c>
    </row>
    <row r="9" customFormat="false" ht="18.75" hidden="false" customHeight="true" outlineLevel="0" collapsed="false">
      <c r="A9" s="42" t="n">
        <v>29</v>
      </c>
      <c r="B9" s="40" t="n">
        <v>46302</v>
      </c>
      <c r="C9" s="41" t="s">
        <v>92</v>
      </c>
      <c r="D9" s="41" t="s">
        <v>90</v>
      </c>
      <c r="E9" s="45" t="n">
        <v>1.3796872741722</v>
      </c>
      <c r="F9" s="45" t="n">
        <v>1.00668852848608</v>
      </c>
      <c r="G9" s="45" t="n">
        <v>2.38637580265828</v>
      </c>
      <c r="H9" s="43" t="n">
        <v>0.909538037029801</v>
      </c>
      <c r="I9" s="44" t="n">
        <f aca="false">IFERROR(1/H9,"")</f>
        <v>1.09945924116116</v>
      </c>
      <c r="J9" s="43" t="n">
        <v>0.687081121714975</v>
      </c>
      <c r="K9" s="44" t="n">
        <f aca="false">IFERROR(1/J9,"")</f>
        <v>1.45543221665583</v>
      </c>
      <c r="L9" s="43" t="n">
        <v>0.426728192318324</v>
      </c>
      <c r="M9" s="44" t="n">
        <f aca="false">IFERROR(1/L9,"")</f>
        <v>2.34341207822997</v>
      </c>
      <c r="N9" s="43" t="n">
        <v>0.218434649285566</v>
      </c>
      <c r="O9" s="44" t="n">
        <f aca="false">IFERROR(1/N9,"")</f>
        <v>4.57802827193717</v>
      </c>
      <c r="P9" s="43" t="n">
        <v>0.0941678513817856</v>
      </c>
      <c r="Q9" s="44" t="n">
        <f aca="false">IFERROR(1/P9,"")</f>
        <v>10.6193354242064</v>
      </c>
      <c r="R9" s="43" t="n">
        <v>0.573271807681676</v>
      </c>
      <c r="S9" s="44" t="n">
        <f aca="false">IFERROR(1/R9,"")</f>
        <v>1.74437323901209</v>
      </c>
    </row>
    <row r="10" customFormat="false" ht="18.75" hidden="false" customHeight="true" outlineLevel="0" collapsed="false">
      <c r="A10" s="35" t="n">
        <v>29</v>
      </c>
      <c r="B10" s="33" t="n">
        <v>46302</v>
      </c>
      <c r="C10" s="34" t="s">
        <v>93</v>
      </c>
      <c r="D10" s="34" t="s">
        <v>84</v>
      </c>
      <c r="E10" s="38" t="n">
        <v>1.91143437637636</v>
      </c>
      <c r="F10" s="38" t="n">
        <v>0.964114865209737</v>
      </c>
      <c r="G10" s="38" t="n">
        <v>2.87554924158609</v>
      </c>
      <c r="H10" s="36" t="n">
        <v>0.944837810975331</v>
      </c>
      <c r="I10" s="37" t="n">
        <f aca="false">IFERROR(1/H10,"")</f>
        <v>1.0583827069407</v>
      </c>
      <c r="J10" s="36" t="n">
        <v>0.780263148415046</v>
      </c>
      <c r="K10" s="37" t="n">
        <f aca="false">IFERROR(1/J10,"")</f>
        <v>1.28161890258601</v>
      </c>
      <c r="L10" s="36" t="n">
        <v>0.548367548110498</v>
      </c>
      <c r="M10" s="37" t="n">
        <f aca="false">IFERROR(1/L10,"")</f>
        <v>1.82359441846201</v>
      </c>
      <c r="N10" s="36" t="n">
        <v>0.324918071610036</v>
      </c>
      <c r="O10" s="37" t="n">
        <f aca="false">IFERROR(1/N10,"")</f>
        <v>3.0776989259009</v>
      </c>
      <c r="P10" s="36" t="n">
        <v>0.164280241220054</v>
      </c>
      <c r="Q10" s="37" t="n">
        <f aca="false">IFERROR(1/P10,"")</f>
        <v>6.08715931126796</v>
      </c>
      <c r="R10" s="36" t="n">
        <v>0.451632451889502</v>
      </c>
      <c r="S10" s="37" t="n">
        <f aca="false">IFERROR(1/R10,"")</f>
        <v>2.2141898701395</v>
      </c>
    </row>
    <row r="11" customFormat="false" ht="18.75" hidden="false" customHeight="true" outlineLevel="0" collapsed="false">
      <c r="A11" s="42" t="n">
        <v>29</v>
      </c>
      <c r="B11" s="40" t="n">
        <v>46302</v>
      </c>
      <c r="C11" s="41" t="s">
        <v>91</v>
      </c>
      <c r="D11" s="41" t="s">
        <v>95</v>
      </c>
      <c r="E11" s="45" t="n">
        <v>1.44161069867978</v>
      </c>
      <c r="F11" s="45" t="n">
        <v>1.19434790087353</v>
      </c>
      <c r="G11" s="45" t="n">
        <v>2.63595859955331</v>
      </c>
      <c r="H11" s="43" t="n">
        <v>0.929798991365186</v>
      </c>
      <c r="I11" s="44" t="n">
        <f aca="false">IFERROR(1/H11,"")</f>
        <v>1.07550127423965</v>
      </c>
      <c r="J11" s="43" t="n">
        <v>0.738034361975533</v>
      </c>
      <c r="K11" s="44" t="n">
        <f aca="false">IFERROR(1/J11,"")</f>
        <v>1.35495046236499</v>
      </c>
      <c r="L11" s="43" t="n">
        <v>0.49056055220963</v>
      </c>
      <c r="M11" s="44" t="n">
        <f aca="false">IFERROR(1/L11,"")</f>
        <v>2.0384843328631</v>
      </c>
      <c r="N11" s="43" t="n">
        <v>0.271843485400392</v>
      </c>
      <c r="O11" s="44" t="n">
        <f aca="false">IFERROR(1/N11,"")</f>
        <v>3.67858732581773</v>
      </c>
      <c r="P11" s="43" t="n">
        <v>0.1277109707115</v>
      </c>
      <c r="Q11" s="44" t="n">
        <f aca="false">IFERROR(1/P11,"")</f>
        <v>7.83018087192372</v>
      </c>
      <c r="R11" s="43" t="n">
        <v>0.509439447790371</v>
      </c>
      <c r="S11" s="44" t="n">
        <f aca="false">IFERROR(1/R11,"")</f>
        <v>1.96294182623151</v>
      </c>
    </row>
    <row r="12" customFormat="false" ht="18.75" hidden="false" customHeight="true" outlineLevel="0" collapsed="false">
      <c r="A12" s="35" t="n">
        <v>29</v>
      </c>
      <c r="B12" s="33" t="n">
        <v>46302</v>
      </c>
      <c r="C12" s="34" t="s">
        <v>96</v>
      </c>
      <c r="D12" s="34" t="s">
        <v>87</v>
      </c>
      <c r="E12" s="38" t="n">
        <v>1.32695964444685</v>
      </c>
      <c r="F12" s="38" t="n">
        <v>0.845635560844711</v>
      </c>
      <c r="G12" s="38" t="n">
        <v>2.17259520529156</v>
      </c>
      <c r="H12" s="36" t="n">
        <v>0.88761940631186</v>
      </c>
      <c r="I12" s="37" t="n">
        <f aca="false">IFERROR(1/H12,"")</f>
        <v>1.12660898678984</v>
      </c>
      <c r="J12" s="36" t="n">
        <v>0.637198933205728</v>
      </c>
      <c r="K12" s="37" t="n">
        <f aca="false">IFERROR(1/J12,"")</f>
        <v>1.56936860356786</v>
      </c>
      <c r="L12" s="36" t="n">
        <v>0.369929389925032</v>
      </c>
      <c r="M12" s="37" t="n">
        <f aca="false">IFERROR(1/L12,"")</f>
        <v>2.70321857963936</v>
      </c>
      <c r="N12" s="36" t="n">
        <v>0.175286098868619</v>
      </c>
      <c r="O12" s="37" t="n">
        <f aca="false">IFERROR(1/N12,"")</f>
        <v>5.70495895826585</v>
      </c>
      <c r="P12" s="36" t="n">
        <v>0.0695657478320931</v>
      </c>
      <c r="Q12" s="37" t="n">
        <f aca="false">IFERROR(1/P12,"")</f>
        <v>14.3748903902197</v>
      </c>
      <c r="R12" s="36" t="n">
        <v>0.630070610074968</v>
      </c>
      <c r="S12" s="37" t="n">
        <f aca="false">IFERROR(1/R12,"")</f>
        <v>1.58712370329576</v>
      </c>
    </row>
    <row r="13" customFormat="false" ht="18.75" hidden="false" customHeight="true" outlineLevel="0" collapsed="false">
      <c r="A13" s="42" t="n">
        <v>29</v>
      </c>
      <c r="B13" s="40" t="n">
        <v>46302</v>
      </c>
      <c r="C13" s="41" t="s">
        <v>98</v>
      </c>
      <c r="D13" s="41" t="s">
        <v>99</v>
      </c>
      <c r="E13" s="45" t="n">
        <v>1.94901024703525</v>
      </c>
      <c r="F13" s="45" t="n">
        <v>0.871632400486378</v>
      </c>
      <c r="G13" s="45" t="n">
        <v>2.82064264752163</v>
      </c>
      <c r="H13" s="43" t="n">
        <v>0.941624100827332</v>
      </c>
      <c r="I13" s="44" t="n">
        <f aca="false">IFERROR(1/H13,"")</f>
        <v>1.06199490765092</v>
      </c>
      <c r="J13" s="43" t="n">
        <v>0.771233444634423</v>
      </c>
      <c r="K13" s="44" t="n">
        <f aca="false">IFERROR(1/J13,"")</f>
        <v>1.29662426721395</v>
      </c>
      <c r="L13" s="43" t="n">
        <v>0.535463747849238</v>
      </c>
      <c r="M13" s="44" t="n">
        <f aca="false">IFERROR(1/L13,"")</f>
        <v>1.8675400603993</v>
      </c>
      <c r="N13" s="43" t="n">
        <v>0.312667468439079</v>
      </c>
      <c r="O13" s="44" t="n">
        <f aca="false">IFERROR(1/N13,"")</f>
        <v>3.19828604169238</v>
      </c>
      <c r="P13" s="43" t="n">
        <v>0.155556924464181</v>
      </c>
      <c r="Q13" s="44" t="n">
        <f aca="false">IFERROR(1/P13,"")</f>
        <v>6.42851485682504</v>
      </c>
      <c r="R13" s="43" t="n">
        <v>0.464536252150762</v>
      </c>
      <c r="S13" s="44" t="n">
        <f aca="false">IFERROR(1/R13,"")</f>
        <v>2.15268452218764</v>
      </c>
    </row>
    <row r="14" customFormat="false" ht="18.75" hidden="false" customHeight="true" outlineLevel="0" collapsed="false">
      <c r="A14" s="35" t="n">
        <v>29</v>
      </c>
      <c r="B14" s="33" t="n">
        <v>46302</v>
      </c>
      <c r="C14" s="34" t="s">
        <v>100</v>
      </c>
      <c r="D14" s="34" t="s">
        <v>101</v>
      </c>
      <c r="E14" s="38" t="n">
        <v>1.32728127975787</v>
      </c>
      <c r="F14" s="38" t="n">
        <v>0.92285755130247</v>
      </c>
      <c r="G14" s="38" t="n">
        <v>2.25013883106034</v>
      </c>
      <c r="H14" s="36" t="n">
        <v>0.896131703957303</v>
      </c>
      <c r="I14" s="37" t="n">
        <f aca="false">IFERROR(1/H14,"")</f>
        <v>1.11590740020023</v>
      </c>
      <c r="J14" s="36" t="n">
        <v>0.655969647591675</v>
      </c>
      <c r="K14" s="37" t="n">
        <f aca="false">IFERROR(1/J14,"")</f>
        <v>1.52446077904884</v>
      </c>
      <c r="L14" s="36" t="n">
        <v>0.390698117785273</v>
      </c>
      <c r="M14" s="37" t="n">
        <f aca="false">IFERROR(1/L14,"")</f>
        <v>2.55952090496018</v>
      </c>
      <c r="N14" s="36" t="n">
        <v>0.19059487129436</v>
      </c>
      <c r="O14" s="37" t="n">
        <f aca="false">IFERROR(1/N14,"")</f>
        <v>5.24673089684334</v>
      </c>
      <c r="P14" s="36" t="n">
        <v>0.0780297654038921</v>
      </c>
      <c r="Q14" s="37" t="n">
        <f aca="false">IFERROR(1/P14,"")</f>
        <v>12.8156222798296</v>
      </c>
      <c r="R14" s="36" t="n">
        <v>0.609301882214727</v>
      </c>
      <c r="S14" s="37" t="n">
        <f aca="false">IFERROR(1/R14,"")</f>
        <v>1.6412225683025</v>
      </c>
    </row>
    <row r="15" customFormat="false" ht="18.75" hidden="false" customHeight="true" outlineLevel="0" collapsed="false">
      <c r="A15" s="42" t="n">
        <v>29</v>
      </c>
      <c r="B15" s="40" t="n">
        <v>46302</v>
      </c>
      <c r="C15" s="41" t="s">
        <v>102</v>
      </c>
      <c r="D15" s="41" t="s">
        <v>103</v>
      </c>
      <c r="E15" s="45" t="n">
        <v>1.97595577812037</v>
      </c>
      <c r="F15" s="45" t="n">
        <v>0.775752812752425</v>
      </c>
      <c r="G15" s="45" t="n">
        <v>2.75170859087279</v>
      </c>
      <c r="H15" s="43" t="n">
        <v>0.937334119996593</v>
      </c>
      <c r="I15" s="44" t="n">
        <f aca="false">IFERROR(1/H15,"")</f>
        <v>1.06685543464868</v>
      </c>
      <c r="J15" s="43" t="n">
        <v>0.759432033169033</v>
      </c>
      <c r="K15" s="44" t="n">
        <f aca="false">IFERROR(1/J15,"")</f>
        <v>1.31677353117053</v>
      </c>
      <c r="L15" s="43" t="n">
        <v>0.518969190642772</v>
      </c>
      <c r="M15" s="44" t="n">
        <f aca="false">IFERROR(1/L15,"")</f>
        <v>1.92689665982184</v>
      </c>
      <c r="N15" s="43" t="n">
        <v>0.297348590727448</v>
      </c>
      <c r="O15" s="44" t="n">
        <f aca="false">IFERROR(1/N15,"")</f>
        <v>3.36305612733375</v>
      </c>
      <c r="P15" s="43" t="n">
        <v>0.144885967097675</v>
      </c>
      <c r="Q15" s="44" t="n">
        <f aca="false">IFERROR(1/P15,"")</f>
        <v>6.9019796743038</v>
      </c>
      <c r="R15" s="43" t="n">
        <v>0.481030809357228</v>
      </c>
      <c r="S15" s="44" t="n">
        <f aca="false">IFERROR(1/R15,"")</f>
        <v>2.07886892179783</v>
      </c>
    </row>
    <row r="16" customFormat="false" ht="18.75" hidden="false" customHeight="true" outlineLevel="0" collapsed="false">
      <c r="A16" s="35" t="n">
        <v>29</v>
      </c>
      <c r="B16" s="33" t="n">
        <v>46302</v>
      </c>
      <c r="C16" s="34" t="s">
        <v>104</v>
      </c>
      <c r="D16" s="34" t="s">
        <v>105</v>
      </c>
      <c r="E16" s="38" t="n">
        <v>1.39571996172269</v>
      </c>
      <c r="F16" s="38" t="n">
        <v>1.36640238128518</v>
      </c>
      <c r="G16" s="38" t="n">
        <v>2.76212234300787</v>
      </c>
      <c r="H16" s="36" t="n">
        <v>0.938257395582887</v>
      </c>
      <c r="I16" s="37" t="n">
        <f aca="false">IFERROR(1/H16,"")</f>
        <v>1.06580561443777</v>
      </c>
      <c r="J16" s="36" t="n">
        <v>0.760979465588912</v>
      </c>
      <c r="K16" s="37" t="n">
        <f aca="false">IFERROR(1/J16,"")</f>
        <v>1.31409590563145</v>
      </c>
      <c r="L16" s="36" t="n">
        <v>0.521469668631917</v>
      </c>
      <c r="M16" s="37" t="n">
        <f aca="false">IFERROR(1/L16,"")</f>
        <v>1.9176570760549</v>
      </c>
      <c r="N16" s="36" t="n">
        <v>0.299648296144979</v>
      </c>
      <c r="O16" s="37" t="n">
        <f aca="false">IFERROR(1/N16,"")</f>
        <v>3.33724574064045</v>
      </c>
      <c r="P16" s="36" t="n">
        <v>0.146473584862422</v>
      </c>
      <c r="Q16" s="37" t="n">
        <f aca="false">IFERROR(1/P16,"")</f>
        <v>6.82716956056801</v>
      </c>
      <c r="R16" s="36" t="n">
        <v>0.478530331368083</v>
      </c>
      <c r="S16" s="37" t="n">
        <f aca="false">IFERROR(1/R16,"")</f>
        <v>2.08973169399957</v>
      </c>
    </row>
    <row r="17" customFormat="false" ht="18.75" hidden="false" customHeight="true" outlineLevel="0" collapsed="false">
      <c r="A17" s="42" t="n">
        <v>29</v>
      </c>
      <c r="B17" s="40" t="n">
        <v>46302</v>
      </c>
      <c r="C17" s="41" t="s">
        <v>88</v>
      </c>
      <c r="D17" s="41" t="s">
        <v>8</v>
      </c>
      <c r="E17" s="45" t="n">
        <v>1.13209327048297</v>
      </c>
      <c r="F17" s="45" t="n">
        <v>1.57776566161581</v>
      </c>
      <c r="G17" s="45" t="n">
        <v>2.70985893209878</v>
      </c>
      <c r="H17" s="43" t="n">
        <v>0.934850419765168</v>
      </c>
      <c r="I17" s="44" t="n">
        <f aca="false">IFERROR(1/H17,"")</f>
        <v>1.06968984434023</v>
      </c>
      <c r="J17" s="43" t="n">
        <v>0.751728308203922</v>
      </c>
      <c r="K17" s="44" t="n">
        <f aca="false">IFERROR(1/J17,"")</f>
        <v>1.33026784954961</v>
      </c>
      <c r="L17" s="43" t="n">
        <v>0.508789222653078</v>
      </c>
      <c r="M17" s="44" t="n">
        <f aca="false">IFERROR(1/L17,"")</f>
        <v>1.96545043699139</v>
      </c>
      <c r="N17" s="43" t="n">
        <v>0.288083884143802</v>
      </c>
      <c r="O17" s="44" t="n">
        <f aca="false">IFERROR(1/N17,"")</f>
        <v>3.47121118202097</v>
      </c>
      <c r="P17" s="43" t="n">
        <v>0.138563308285225</v>
      </c>
      <c r="Q17" s="44" t="n">
        <f aca="false">IFERROR(1/P17,"")</f>
        <v>7.21691775676688</v>
      </c>
      <c r="R17" s="43" t="n">
        <v>0.491210777346922</v>
      </c>
      <c r="S17" s="44" t="n">
        <f aca="false">IFERROR(1/R17,"")</f>
        <v>2.03578595201249</v>
      </c>
    </row>
    <row r="18" customFormat="false" ht="18.75" hidden="false" customHeight="true" outlineLevel="0" collapsed="false">
      <c r="A18" s="35" t="n">
        <v>29</v>
      </c>
      <c r="B18" s="33" t="n">
        <v>46302</v>
      </c>
      <c r="C18" s="34" t="s">
        <v>106</v>
      </c>
      <c r="D18" s="34" t="s">
        <v>83</v>
      </c>
      <c r="E18" s="38" t="n">
        <v>1.71353244501503</v>
      </c>
      <c r="F18" s="38" t="n">
        <v>0.920759811082698</v>
      </c>
      <c r="G18" s="38" t="n">
        <v>2.63429225609773</v>
      </c>
      <c r="H18" s="36" t="n">
        <v>0.929561417220768</v>
      </c>
      <c r="I18" s="37" t="n">
        <f aca="false">IFERROR(1/H18,"")</f>
        <v>1.0757761471962</v>
      </c>
      <c r="J18" s="36" t="n">
        <v>0.737840805557789</v>
      </c>
      <c r="K18" s="37" t="n">
        <f aca="false">IFERROR(1/J18,"")</f>
        <v>1.35530590402089</v>
      </c>
      <c r="L18" s="36" t="n">
        <v>0.490148478058131</v>
      </c>
      <c r="M18" s="37" t="n">
        <f aca="false">IFERROR(1/L18,"")</f>
        <v>2.04019811295099</v>
      </c>
      <c r="N18" s="36" t="n">
        <v>0.271481097324349</v>
      </c>
      <c r="O18" s="37" t="n">
        <f aca="false">IFERROR(1/N18,"")</f>
        <v>3.68349770888564</v>
      </c>
      <c r="P18" s="36" t="n">
        <v>0.127471632558137</v>
      </c>
      <c r="Q18" s="37" t="n">
        <f aca="false">IFERROR(1/P18,"")</f>
        <v>7.84488266080628</v>
      </c>
      <c r="R18" s="36" t="n">
        <v>0.509851521941869</v>
      </c>
      <c r="S18" s="37" t="n">
        <f aca="false">IFERROR(1/R18,"")</f>
        <v>1.96135532986408</v>
      </c>
    </row>
    <row r="19" customFormat="false" ht="18.75" hidden="false" customHeight="true" outlineLevel="0" collapsed="false">
      <c r="A19" s="42" t="n">
        <v>30</v>
      </c>
      <c r="B19" s="40" t="n">
        <v>46306</v>
      </c>
      <c r="C19" s="41" t="s">
        <v>90</v>
      </c>
      <c r="D19" s="41" t="s">
        <v>88</v>
      </c>
      <c r="E19" s="45" t="n">
        <v>1.62792998302904</v>
      </c>
      <c r="F19" s="45" t="n">
        <v>0.969703245239316</v>
      </c>
      <c r="G19" s="45" t="n">
        <v>2.59763322826835</v>
      </c>
      <c r="H19" s="43" t="n">
        <v>0.926931578732396</v>
      </c>
      <c r="I19" s="44" t="n">
        <f aca="false">IFERROR(1/H19,"")</f>
        <v>1.07882827917841</v>
      </c>
      <c r="J19" s="43" t="n">
        <v>0.730779269156838</v>
      </c>
      <c r="K19" s="44" t="n">
        <f aca="false">IFERROR(1/J19,"")</f>
        <v>1.3684022552443</v>
      </c>
      <c r="L19" s="43" t="n">
        <v>0.480978376203953</v>
      </c>
      <c r="M19" s="44" t="n">
        <f aca="false">IFERROR(1/L19,"")</f>
        <v>2.07909554664878</v>
      </c>
      <c r="N19" s="43" t="n">
        <v>0.263485130937001</v>
      </c>
      <c r="O19" s="44" t="n">
        <f aca="false">IFERROR(1/N19,"")</f>
        <v>3.79528057785963</v>
      </c>
      <c r="P19" s="43" t="n">
        <v>0.122242580578691</v>
      </c>
      <c r="Q19" s="44" t="n">
        <f aca="false">IFERROR(1/P19,"")</f>
        <v>8.18045557665783</v>
      </c>
      <c r="R19" s="43" t="n">
        <v>0.519021623796047</v>
      </c>
      <c r="S19" s="44" t="n">
        <f aca="false">IFERROR(1/R19,"")</f>
        <v>1.92670199882261</v>
      </c>
    </row>
    <row r="20" customFormat="false" ht="18.75" hidden="false" customHeight="true" outlineLevel="0" collapsed="false">
      <c r="A20" s="35" t="n">
        <v>30</v>
      </c>
      <c r="B20" s="33" t="n">
        <v>46306</v>
      </c>
      <c r="C20" s="34" t="s">
        <v>103</v>
      </c>
      <c r="D20" s="34" t="s">
        <v>95</v>
      </c>
      <c r="E20" s="38" t="n">
        <v>1.54836864561695</v>
      </c>
      <c r="F20" s="38" t="n">
        <v>1.2196212685859</v>
      </c>
      <c r="G20" s="38" t="n">
        <v>2.76798991420285</v>
      </c>
      <c r="H20" s="36" t="n">
        <v>0.938604999641662</v>
      </c>
      <c r="I20" s="37" t="n">
        <f aca="false">IFERROR(1/H20,"")</f>
        <v>1.06541090275651</v>
      </c>
      <c r="J20" s="36" t="n">
        <v>0.7620236576289</v>
      </c>
      <c r="K20" s="37" t="n">
        <f aca="false">IFERROR(1/J20,"")</f>
        <v>1.31229521549447</v>
      </c>
      <c r="L20" s="36" t="n">
        <v>0.522882745164768</v>
      </c>
      <c r="M20" s="37" t="n">
        <f aca="false">IFERROR(1/L20,"")</f>
        <v>1.9124746594667</v>
      </c>
      <c r="N20" s="36" t="n">
        <v>0.300950626732355</v>
      </c>
      <c r="O20" s="37" t="n">
        <f aca="false">IFERROR(1/N20,"")</f>
        <v>3.32280417840543</v>
      </c>
      <c r="P20" s="36" t="n">
        <v>0.147373721617335</v>
      </c>
      <c r="Q20" s="37" t="n">
        <f aca="false">IFERROR(1/P20,"")</f>
        <v>6.78547022512306</v>
      </c>
      <c r="R20" s="36" t="n">
        <v>0.477117254835232</v>
      </c>
      <c r="S20" s="37" t="n">
        <f aca="false">IFERROR(1/R20,"")</f>
        <v>2.09592084517115</v>
      </c>
    </row>
    <row r="21" customFormat="false" ht="18.75" hidden="false" customHeight="true" outlineLevel="0" collapsed="false">
      <c r="A21" s="42" t="n">
        <v>30</v>
      </c>
      <c r="B21" s="40" t="n">
        <v>46306</v>
      </c>
      <c r="C21" s="41" t="s">
        <v>91</v>
      </c>
      <c r="D21" s="41" t="s">
        <v>96</v>
      </c>
      <c r="E21" s="45" t="n">
        <v>1.22467520787183</v>
      </c>
      <c r="F21" s="45" t="n">
        <v>1.07451896134782</v>
      </c>
      <c r="G21" s="45" t="n">
        <v>2.29919416921965</v>
      </c>
      <c r="H21" s="43" t="n">
        <v>0.901211274315209</v>
      </c>
      <c r="I21" s="44" t="n">
        <f aca="false">IFERROR(1/H21,"")</f>
        <v>1.10961772061702</v>
      </c>
      <c r="J21" s="43" t="n">
        <v>0.667409286379377</v>
      </c>
      <c r="K21" s="44" t="n">
        <f aca="false">IFERROR(1/J21,"")</f>
        <v>1.49833096483402</v>
      </c>
      <c r="L21" s="43" t="n">
        <v>0.403747665802002</v>
      </c>
      <c r="M21" s="44" t="n">
        <f aca="false">IFERROR(1/L21,"")</f>
        <v>2.47679450483907</v>
      </c>
      <c r="N21" s="43" t="n">
        <v>0.200489254616545</v>
      </c>
      <c r="O21" s="44" t="n">
        <f aca="false">IFERROR(1/N21,"")</f>
        <v>4.9877984828294</v>
      </c>
      <c r="P21" s="43" t="n">
        <v>0.0836565673676865</v>
      </c>
      <c r="Q21" s="44" t="n">
        <f aca="false">IFERROR(1/P21,"")</f>
        <v>11.953634143328</v>
      </c>
      <c r="R21" s="43" t="n">
        <v>0.596252334197999</v>
      </c>
      <c r="S21" s="44" t="n">
        <f aca="false">IFERROR(1/R21,"")</f>
        <v>1.67714228128779</v>
      </c>
    </row>
    <row r="22" customFormat="false" ht="18.75" hidden="false" customHeight="true" outlineLevel="0" collapsed="false">
      <c r="A22" s="35" t="n">
        <v>30</v>
      </c>
      <c r="B22" s="33" t="n">
        <v>46306</v>
      </c>
      <c r="C22" s="34" t="s">
        <v>83</v>
      </c>
      <c r="D22" s="34" t="s">
        <v>92</v>
      </c>
      <c r="E22" s="38" t="n">
        <v>1.07550938027785</v>
      </c>
      <c r="F22" s="38" t="n">
        <v>1.4956924795354</v>
      </c>
      <c r="G22" s="38" t="n">
        <v>2.57120185981326</v>
      </c>
      <c r="H22" s="36" t="n">
        <v>0.925001065102474</v>
      </c>
      <c r="I22" s="37" t="n">
        <f aca="false">IFERROR(1/H22,"")</f>
        <v>1.08107983625859</v>
      </c>
      <c r="J22" s="36" t="n">
        <v>0.725561011904373</v>
      </c>
      <c r="K22" s="37" t="n">
        <f aca="false">IFERROR(1/J22,"")</f>
        <v>1.37824384661368</v>
      </c>
      <c r="L22" s="36" t="n">
        <v>0.474318093757382</v>
      </c>
      <c r="M22" s="37" t="n">
        <f aca="false">IFERROR(1/L22,"")</f>
        <v>2.10828980205741</v>
      </c>
      <c r="N22" s="36" t="n">
        <v>0.257747681692181</v>
      </c>
      <c r="O22" s="37" t="n">
        <f aca="false">IFERROR(1/N22,"")</f>
        <v>3.87976331517218</v>
      </c>
      <c r="P22" s="36" t="n">
        <v>0.118535828575011</v>
      </c>
      <c r="Q22" s="37" t="n">
        <f aca="false">IFERROR(1/P22,"")</f>
        <v>8.43626785269561</v>
      </c>
      <c r="R22" s="36" t="n">
        <v>0.525681906242618</v>
      </c>
      <c r="S22" s="37" t="n">
        <f aca="false">IFERROR(1/R22,"")</f>
        <v>1.90229107778815</v>
      </c>
    </row>
    <row r="23" customFormat="false" ht="18.75" hidden="false" customHeight="true" outlineLevel="0" collapsed="false">
      <c r="A23" s="42" t="n">
        <v>30</v>
      </c>
      <c r="B23" s="40" t="n">
        <v>46306</v>
      </c>
      <c r="C23" s="41" t="s">
        <v>99</v>
      </c>
      <c r="D23" s="41" t="s">
        <v>93</v>
      </c>
      <c r="E23" s="45" t="n">
        <v>1.25745663795715</v>
      </c>
      <c r="F23" s="45" t="n">
        <v>1.49715684487734</v>
      </c>
      <c r="G23" s="45" t="n">
        <v>2.75461348283449</v>
      </c>
      <c r="H23" s="43" t="n">
        <v>0.937773794905072</v>
      </c>
      <c r="I23" s="44" t="n">
        <f aca="false">IFERROR(1/H23,"")</f>
        <v>1.06635523985955</v>
      </c>
      <c r="J23" s="43" t="n">
        <v>0.759674270089504</v>
      </c>
      <c r="K23" s="44" t="n">
        <f aca="false">IFERROR(1/J23,"")</f>
        <v>1.3163536523123</v>
      </c>
      <c r="L23" s="43" t="n">
        <v>0.519658985938223</v>
      </c>
      <c r="M23" s="44" t="n">
        <f aca="false">IFERROR(1/L23,"")</f>
        <v>1.92433889735312</v>
      </c>
      <c r="N23" s="43" t="n">
        <v>0.29798341339787</v>
      </c>
      <c r="O23" s="44" t="n">
        <f aca="false">IFERROR(1/N23,"")</f>
        <v>3.35589148602977</v>
      </c>
      <c r="P23" s="43" t="n">
        <v>0.14532543969028</v>
      </c>
      <c r="Q23" s="44" t="n">
        <f aca="false">IFERROR(1/P23,"")</f>
        <v>6.88110768583404</v>
      </c>
      <c r="R23" s="43" t="n">
        <v>0.480341014061777</v>
      </c>
      <c r="S23" s="44" t="n">
        <f aca="false">IFERROR(1/R23,"")</f>
        <v>2.08185428836062</v>
      </c>
    </row>
    <row r="24" customFormat="false" ht="18.75" hidden="false" customHeight="true" outlineLevel="0" collapsed="false">
      <c r="A24" s="35" t="n">
        <v>30</v>
      </c>
      <c r="B24" s="33" t="n">
        <v>46306</v>
      </c>
      <c r="C24" s="34" t="s">
        <v>8</v>
      </c>
      <c r="D24" s="34" t="s">
        <v>98</v>
      </c>
      <c r="E24" s="38" t="n">
        <v>1.87438407336968</v>
      </c>
      <c r="F24" s="38" t="n">
        <v>0.831129255999284</v>
      </c>
      <c r="G24" s="38" t="n">
        <v>2.70551332936896</v>
      </c>
      <c r="H24" s="36" t="n">
        <v>0.934389436949661</v>
      </c>
      <c r="I24" s="37" t="n">
        <f aca="false">IFERROR(1/H24,"")</f>
        <v>1.07021757787045</v>
      </c>
      <c r="J24" s="36" t="n">
        <v>0.751121924061847</v>
      </c>
      <c r="K24" s="37" t="n">
        <f aca="false">IFERROR(1/J24,"")</f>
        <v>1.33134178082873</v>
      </c>
      <c r="L24" s="36" t="n">
        <v>0.507733248501614</v>
      </c>
      <c r="M24" s="37" t="n">
        <f aca="false">IFERROR(1/L24,"")</f>
        <v>1.96953814419506</v>
      </c>
      <c r="N24" s="36" t="n">
        <v>0.287129817993427</v>
      </c>
      <c r="O24" s="37" t="n">
        <f aca="false">IFERROR(1/N24,"")</f>
        <v>3.48274521604333</v>
      </c>
      <c r="P24" s="36" t="n">
        <v>0.137916096288559</v>
      </c>
      <c r="Q24" s="37" t="n">
        <f aca="false">IFERROR(1/P24,"")</f>
        <v>7.25078527387928</v>
      </c>
      <c r="R24" s="36" t="n">
        <v>0.492266751498386</v>
      </c>
      <c r="S24" s="37" t="n">
        <f aca="false">IFERROR(1/R24,"")</f>
        <v>2.03141893486844</v>
      </c>
    </row>
    <row r="25" customFormat="false" ht="18.75" hidden="false" customHeight="true" outlineLevel="0" collapsed="false">
      <c r="A25" s="42" t="n">
        <v>30</v>
      </c>
      <c r="B25" s="40" t="n">
        <v>46306</v>
      </c>
      <c r="C25" s="41" t="s">
        <v>105</v>
      </c>
      <c r="D25" s="41" t="s">
        <v>100</v>
      </c>
      <c r="E25" s="45" t="n">
        <v>1.40191565724054</v>
      </c>
      <c r="F25" s="45" t="n">
        <v>1.07589958016419</v>
      </c>
      <c r="G25" s="45" t="n">
        <v>2.47781523740472</v>
      </c>
      <c r="H25" s="43" t="n">
        <v>0.917560651761926</v>
      </c>
      <c r="I25" s="44" t="n">
        <f aca="false">IFERROR(1/H25,"")</f>
        <v>1.08984621134284</v>
      </c>
      <c r="J25" s="43" t="n">
        <v>0.706633263743484</v>
      </c>
      <c r="K25" s="44" t="n">
        <f aca="false">IFERROR(1/J25,"")</f>
        <v>1.41516123187064</v>
      </c>
      <c r="L25" s="43" t="n">
        <v>0.450484256514805</v>
      </c>
      <c r="M25" s="44" t="n">
        <f aca="false">IFERROR(1/L25,"")</f>
        <v>2.21983340269547</v>
      </c>
      <c r="N25" s="43" t="n">
        <v>0.237692680643583</v>
      </c>
      <c r="O25" s="44" t="n">
        <f aca="false">IFERROR(1/N25,"")</f>
        <v>4.20711313992661</v>
      </c>
      <c r="P25" s="43" t="n">
        <v>0.105877968861807</v>
      </c>
      <c r="Q25" s="44" t="n">
        <f aca="false">IFERROR(1/P25,"")</f>
        <v>9.44483550969141</v>
      </c>
      <c r="R25" s="43" t="n">
        <v>0.549515743485195</v>
      </c>
      <c r="S25" s="44" t="n">
        <f aca="false">IFERROR(1/R25,"")</f>
        <v>1.81978407689959</v>
      </c>
    </row>
    <row r="26" customFormat="false" ht="18.75" hidden="false" customHeight="true" outlineLevel="0" collapsed="false">
      <c r="A26" s="35" t="n">
        <v>30</v>
      </c>
      <c r="B26" s="33" t="n">
        <v>46306</v>
      </c>
      <c r="C26" s="34" t="s">
        <v>102</v>
      </c>
      <c r="D26" s="34" t="s">
        <v>101</v>
      </c>
      <c r="E26" s="38" t="n">
        <v>1.74639482927168</v>
      </c>
      <c r="F26" s="38" t="n">
        <v>0.680344713907066</v>
      </c>
      <c r="G26" s="38" t="n">
        <v>2.42673954317875</v>
      </c>
      <c r="H26" s="36" t="n">
        <v>0.912909980196951</v>
      </c>
      <c r="I26" s="37" t="n">
        <f aca="false">IFERROR(1/H26,"")</f>
        <v>1.09539825578888</v>
      </c>
      <c r="J26" s="36" t="n">
        <v>0.696106950933686</v>
      </c>
      <c r="K26" s="37" t="n">
        <f aca="false">IFERROR(1/J26,"")</f>
        <v>1.4365608598775</v>
      </c>
      <c r="L26" s="36" t="n">
        <v>0.437266039805861</v>
      </c>
      <c r="M26" s="37" t="n">
        <f aca="false">IFERROR(1/L26,"")</f>
        <v>2.28693726236775</v>
      </c>
      <c r="N26" s="36" t="n">
        <v>0.226887250273797</v>
      </c>
      <c r="O26" s="37" t="n">
        <f aca="false">IFERROR(1/N26,"")</f>
        <v>4.40747551390943</v>
      </c>
      <c r="P26" s="36" t="n">
        <v>0.0992524532073464</v>
      </c>
      <c r="Q26" s="37" t="n">
        <f aca="false">IFERROR(1/P26,"")</f>
        <v>10.0753177144238</v>
      </c>
      <c r="R26" s="36" t="n">
        <v>0.56273396019414</v>
      </c>
      <c r="S26" s="37" t="n">
        <f aca="false">IFERROR(1/R26,"")</f>
        <v>1.77703865545098</v>
      </c>
    </row>
    <row r="27" customFormat="false" ht="18.75" hidden="false" customHeight="true" outlineLevel="0" collapsed="false">
      <c r="A27" s="42" t="n">
        <v>30</v>
      </c>
      <c r="B27" s="40" t="n">
        <v>46306</v>
      </c>
      <c r="C27" s="41" t="s">
        <v>87</v>
      </c>
      <c r="D27" s="41" t="s">
        <v>106</v>
      </c>
      <c r="E27" s="45" t="n">
        <v>1.55681830858975</v>
      </c>
      <c r="F27" s="45" t="n">
        <v>0.776562497699955</v>
      </c>
      <c r="G27" s="45" t="n">
        <v>2.3333808062897</v>
      </c>
      <c r="H27" s="43" t="n">
        <v>0.90441019460565</v>
      </c>
      <c r="I27" s="44" t="n">
        <f aca="false">IFERROR(1/H27,"")</f>
        <v>1.1056929764442</v>
      </c>
      <c r="J27" s="43" t="n">
        <v>0.675395405216618</v>
      </c>
      <c r="K27" s="44" t="n">
        <f aca="false">IFERROR(1/J27,"")</f>
        <v>1.48061415916691</v>
      </c>
      <c r="L27" s="43" t="n">
        <v>0.412794928246641</v>
      </c>
      <c r="M27" s="44" t="n">
        <f aca="false">IFERROR(1/L27,"")</f>
        <v>2.42251038366079</v>
      </c>
      <c r="N27" s="43" t="n">
        <v>0.207474345999895</v>
      </c>
      <c r="O27" s="44" t="n">
        <f aca="false">IFERROR(1/N27,"")</f>
        <v>4.819873007338</v>
      </c>
      <c r="P27" s="43" t="n">
        <v>0.0877011808932076</v>
      </c>
      <c r="Q27" s="44" t="n">
        <f aca="false">IFERROR(1/P27,"")</f>
        <v>11.4023550175189</v>
      </c>
      <c r="R27" s="43" t="n">
        <v>0.587205071753359</v>
      </c>
      <c r="S27" s="44" t="n">
        <f aca="false">IFERROR(1/R27,"")</f>
        <v>1.70298256623374</v>
      </c>
    </row>
    <row r="28" customFormat="false" ht="18.75" hidden="false" customHeight="true" outlineLevel="0" collapsed="false">
      <c r="A28" s="35" t="n">
        <v>30</v>
      </c>
      <c r="B28" s="33" t="n">
        <v>46306</v>
      </c>
      <c r="C28" s="34" t="s">
        <v>84</v>
      </c>
      <c r="D28" s="34" t="s">
        <v>104</v>
      </c>
      <c r="E28" s="38" t="n">
        <v>1.8861328419747</v>
      </c>
      <c r="F28" s="38" t="n">
        <v>1.12093173625636</v>
      </c>
      <c r="G28" s="38" t="n">
        <v>3.00706457823106</v>
      </c>
      <c r="H28" s="36" t="n">
        <v>0.951793011853751</v>
      </c>
      <c r="I28" s="37" t="n">
        <f aca="false">IFERROR(1/H28,"")</f>
        <v>1.05064860483936</v>
      </c>
      <c r="J28" s="36" t="n">
        <v>0.800682581123056</v>
      </c>
      <c r="K28" s="37" t="n">
        <f aca="false">IFERROR(1/J28,"")</f>
        <v>1.24893437621358</v>
      </c>
      <c r="L28" s="36" t="n">
        <v>0.57839887539768</v>
      </c>
      <c r="M28" s="37" t="n">
        <f aca="false">IFERROR(1/L28,"")</f>
        <v>1.72891069214553</v>
      </c>
      <c r="N28" s="36" t="n">
        <v>0.354357862305691</v>
      </c>
      <c r="O28" s="37" t="n">
        <f aca="false">IFERROR(1/N28,"")</f>
        <v>2.82200596169456</v>
      </c>
      <c r="P28" s="36" t="n">
        <v>0.185928879728523</v>
      </c>
      <c r="Q28" s="37" t="n">
        <f aca="false">IFERROR(1/P28,"")</f>
        <v>5.37840060920128</v>
      </c>
      <c r="R28" s="36" t="n">
        <v>0.42160112460232</v>
      </c>
      <c r="S28" s="37" t="n">
        <f aca="false">IFERROR(1/R28,"")</f>
        <v>2.37191018155671</v>
      </c>
    </row>
    <row r="29" customFormat="false" ht="18.75" hidden="false" customHeight="true" outlineLevel="0" collapsed="false">
      <c r="A29" s="42" t="n">
        <v>31</v>
      </c>
      <c r="B29" s="40" t="n">
        <v>46313</v>
      </c>
      <c r="C29" s="41" t="s">
        <v>92</v>
      </c>
      <c r="D29" s="41" t="s">
        <v>102</v>
      </c>
      <c r="E29" s="45" t="n">
        <v>1.04362547287889</v>
      </c>
      <c r="F29" s="45" t="n">
        <v>1.25802918947775</v>
      </c>
      <c r="G29" s="45" t="n">
        <v>2.30165466235664</v>
      </c>
      <c r="H29" s="43" t="n">
        <v>0.901450503264865</v>
      </c>
      <c r="I29" s="44" t="n">
        <f aca="false">IFERROR(1/H29,"")</f>
        <v>1.10932324778588</v>
      </c>
      <c r="J29" s="43" t="n">
        <v>0.667983930340205</v>
      </c>
      <c r="K29" s="44" t="n">
        <f aca="false">IFERROR(1/J29,"")</f>
        <v>1.49704200143063</v>
      </c>
      <c r="L29" s="43" t="n">
        <v>0.404400149911206</v>
      </c>
      <c r="M29" s="44" t="n">
        <f aca="false">IFERROR(1/L29,"")</f>
        <v>2.47279829203716</v>
      </c>
      <c r="N29" s="43" t="n">
        <v>0.200989578837582</v>
      </c>
      <c r="O29" s="44" t="n">
        <f aca="false">IFERROR(1/N29,"")</f>
        <v>4.97538233466369</v>
      </c>
      <c r="P29" s="43" t="n">
        <v>0.0839442988720377</v>
      </c>
      <c r="Q29" s="44" t="n">
        <f aca="false">IFERROR(1/P29,"")</f>
        <v>11.9126612937035</v>
      </c>
      <c r="R29" s="43" t="n">
        <v>0.595599850088794</v>
      </c>
      <c r="S29" s="44" t="n">
        <f aca="false">IFERROR(1/R29,"")</f>
        <v>1.67897960325362</v>
      </c>
    </row>
    <row r="30" customFormat="false" ht="18.75" hidden="false" customHeight="true" outlineLevel="0" collapsed="false">
      <c r="A30" s="35" t="n">
        <v>31</v>
      </c>
      <c r="B30" s="33" t="n">
        <v>46313</v>
      </c>
      <c r="C30" s="34" t="s">
        <v>90</v>
      </c>
      <c r="D30" s="34" t="s">
        <v>99</v>
      </c>
      <c r="E30" s="38" t="n">
        <v>1.96499861426912</v>
      </c>
      <c r="F30" s="38" t="n">
        <v>0.892038060788029</v>
      </c>
      <c r="G30" s="38" t="n">
        <v>2.85703667505715</v>
      </c>
      <c r="H30" s="36" t="n">
        <v>0.943747126297701</v>
      </c>
      <c r="I30" s="37" t="n">
        <f aca="false">IFERROR(1/H30,"")</f>
        <v>1.05960587548804</v>
      </c>
      <c r="J30" s="36" t="n">
        <v>0.777283384890795</v>
      </c>
      <c r="K30" s="37" t="n">
        <f aca="false">IFERROR(1/J30,"")</f>
        <v>1.28653206724661</v>
      </c>
      <c r="L30" s="36" t="n">
        <v>0.54404249712721</v>
      </c>
      <c r="M30" s="37" t="n">
        <f aca="false">IFERROR(1/L30,"")</f>
        <v>1.83809170291007</v>
      </c>
      <c r="N30" s="36" t="n">
        <v>0.320785325490116</v>
      </c>
      <c r="O30" s="37" t="n">
        <f aca="false">IFERROR(1/N30,"")</f>
        <v>3.11734958097643</v>
      </c>
      <c r="P30" s="36" t="n">
        <v>0.161318205122098</v>
      </c>
      <c r="Q30" s="37" t="n">
        <f aca="false">IFERROR(1/P30,"")</f>
        <v>6.19892838035931</v>
      </c>
      <c r="R30" s="36" t="n">
        <v>0.45595750287279</v>
      </c>
      <c r="S30" s="37" t="n">
        <f aca="false">IFERROR(1/R30,"")</f>
        <v>2.19318685118555</v>
      </c>
    </row>
    <row r="31" customFormat="false" ht="18.75" hidden="false" customHeight="true" outlineLevel="0" collapsed="false">
      <c r="A31" s="42" t="n">
        <v>31</v>
      </c>
      <c r="B31" s="40" t="n">
        <v>46313</v>
      </c>
      <c r="C31" s="41" t="s">
        <v>103</v>
      </c>
      <c r="D31" s="41" t="s">
        <v>8</v>
      </c>
      <c r="E31" s="45" t="n">
        <v>1.1973008204518</v>
      </c>
      <c r="F31" s="45" t="n">
        <v>1.53250045006032</v>
      </c>
      <c r="G31" s="45" t="n">
        <v>2.72980127051212</v>
      </c>
      <c r="H31" s="43" t="n">
        <v>0.936173982960214</v>
      </c>
      <c r="I31" s="44" t="n">
        <f aca="false">IFERROR(1/H31,"")</f>
        <v>1.06817751636076</v>
      </c>
      <c r="J31" s="43" t="n">
        <v>0.755291933432767</v>
      </c>
      <c r="K31" s="44" t="n">
        <f aca="false">IFERROR(1/J31,"")</f>
        <v>1.32399136775504</v>
      </c>
      <c r="L31" s="43" t="n">
        <v>0.513648699095637</v>
      </c>
      <c r="M31" s="44" t="n">
        <f aca="false">IFERROR(1/L31,"")</f>
        <v>1.94685589929589</v>
      </c>
      <c r="N31" s="43" t="n">
        <v>0.29248958433537</v>
      </c>
      <c r="O31" s="44" t="n">
        <f aca="false">IFERROR(1/N31,"")</f>
        <v>3.41892516368513</v>
      </c>
      <c r="P31" s="43" t="n">
        <v>0.141559082496587</v>
      </c>
      <c r="Q31" s="44" t="n">
        <f aca="false">IFERROR(1/P31,"")</f>
        <v>7.06418819876222</v>
      </c>
      <c r="R31" s="43" t="n">
        <v>0.486351300904363</v>
      </c>
      <c r="S31" s="44" t="n">
        <f aca="false">IFERROR(1/R31,"")</f>
        <v>2.05612691513421</v>
      </c>
    </row>
    <row r="32" customFormat="false" ht="18.75" hidden="false" customHeight="true" outlineLevel="0" collapsed="false">
      <c r="A32" s="35" t="n">
        <v>31</v>
      </c>
      <c r="B32" s="33" t="n">
        <v>46313</v>
      </c>
      <c r="C32" s="34" t="s">
        <v>93</v>
      </c>
      <c r="D32" s="34" t="s">
        <v>83</v>
      </c>
      <c r="E32" s="38" t="n">
        <v>2.29226345848993</v>
      </c>
      <c r="F32" s="38" t="n">
        <v>0.770827428431006</v>
      </c>
      <c r="G32" s="38" t="n">
        <v>3.06309088692094</v>
      </c>
      <c r="H32" s="36" t="n">
        <v>0.954237582576023</v>
      </c>
      <c r="I32" s="37" t="n">
        <f aca="false">IFERROR(1/H32,"")</f>
        <v>1.04795704786688</v>
      </c>
      <c r="J32" s="36" t="n">
        <v>0.809140207811456</v>
      </c>
      <c r="K32" s="37" t="n">
        <f aca="false">IFERROR(1/J32,"")</f>
        <v>1.23587975278695</v>
      </c>
      <c r="L32" s="36" t="n">
        <v>0.590839684053257</v>
      </c>
      <c r="M32" s="37" t="n">
        <f aca="false">IFERROR(1/L32,"")</f>
        <v>1.69250649032211</v>
      </c>
      <c r="N32" s="36" t="n">
        <v>0.366939177927444</v>
      </c>
      <c r="O32" s="37" t="n">
        <f aca="false">IFERROR(1/N32,"")</f>
        <v>2.72524728934159</v>
      </c>
      <c r="P32" s="36" t="n">
        <v>0.195467953719078</v>
      </c>
      <c r="Q32" s="37" t="n">
        <f aca="false">IFERROR(1/P32,"")</f>
        <v>5.11592811493374</v>
      </c>
      <c r="R32" s="36" t="n">
        <v>0.409160315946743</v>
      </c>
      <c r="S32" s="37" t="n">
        <f aca="false">IFERROR(1/R32,"")</f>
        <v>2.44402978741018</v>
      </c>
    </row>
    <row r="33" customFormat="false" ht="18.75" hidden="false" customHeight="true" outlineLevel="0" collapsed="false">
      <c r="A33" s="42" t="n">
        <v>31</v>
      </c>
      <c r="B33" s="40" t="n">
        <v>46313</v>
      </c>
      <c r="C33" s="41" t="s">
        <v>101</v>
      </c>
      <c r="D33" s="41" t="s">
        <v>106</v>
      </c>
      <c r="E33" s="45" t="n">
        <v>1.51447875958975</v>
      </c>
      <c r="F33" s="45" t="n">
        <v>0.795844549013093</v>
      </c>
      <c r="G33" s="45" t="n">
        <v>2.31032330860285</v>
      </c>
      <c r="H33" s="43" t="n">
        <v>0.902176087661053</v>
      </c>
      <c r="I33" s="44" t="n">
        <f aca="false">IFERROR(1/H33,"")</f>
        <v>1.10843106315593</v>
      </c>
      <c r="J33" s="43" t="n">
        <v>0.670115788657996</v>
      </c>
      <c r="K33" s="44" t="n">
        <f aca="false">IFERROR(1/J33,"")</f>
        <v>1.49227941935624</v>
      </c>
      <c r="L33" s="43" t="n">
        <v>0.406698082366596</v>
      </c>
      <c r="M33" s="44" t="n">
        <f aca="false">IFERROR(1/L33,"")</f>
        <v>2.45882644486778</v>
      </c>
      <c r="N33" s="43" t="n">
        <v>0.202755748798767</v>
      </c>
      <c r="O33" s="44" t="n">
        <f aca="false">IFERROR(1/N33,"")</f>
        <v>4.93204264700032</v>
      </c>
      <c r="P33" s="43" t="n">
        <v>0.0849622694966131</v>
      </c>
      <c r="Q33" s="44" t="n">
        <f aca="false">IFERROR(1/P33,"")</f>
        <v>11.769930416464</v>
      </c>
      <c r="R33" s="43" t="n">
        <v>0.593301917633404</v>
      </c>
      <c r="S33" s="44" t="n">
        <f aca="false">IFERROR(1/R33,"")</f>
        <v>1.68548250103228</v>
      </c>
    </row>
    <row r="34" customFormat="false" ht="18.75" hidden="false" customHeight="true" outlineLevel="0" collapsed="false">
      <c r="A34" s="35" t="n">
        <v>31</v>
      </c>
      <c r="B34" s="33" t="n">
        <v>46313</v>
      </c>
      <c r="C34" s="34" t="s">
        <v>98</v>
      </c>
      <c r="D34" s="34" t="s">
        <v>88</v>
      </c>
      <c r="E34" s="38" t="n">
        <v>1.61468155133294</v>
      </c>
      <c r="F34" s="38" t="n">
        <v>0.947520975871954</v>
      </c>
      <c r="G34" s="38" t="n">
        <v>2.56220252720489</v>
      </c>
      <c r="H34" s="36" t="n">
        <v>0.924252156743924</v>
      </c>
      <c r="I34" s="37" t="n">
        <f aca="false">IFERROR(1/H34,"")</f>
        <v>1.08195581985216</v>
      </c>
      <c r="J34" s="36" t="n">
        <v>0.723846444372647</v>
      </c>
      <c r="K34" s="37" t="n">
        <f aca="false">IFERROR(1/J34,"")</f>
        <v>1.38150847845456</v>
      </c>
      <c r="L34" s="36" t="n">
        <v>0.472042864755615</v>
      </c>
      <c r="M34" s="37" t="n">
        <f aca="false">IFERROR(1/L34,"")</f>
        <v>2.11845168026789</v>
      </c>
      <c r="N34" s="36" t="n">
        <v>0.255800899233407</v>
      </c>
      <c r="O34" s="37" t="n">
        <f aca="false">IFERROR(1/N34,"")</f>
        <v>3.90929040123329</v>
      </c>
      <c r="P34" s="36" t="n">
        <v>0.117286391833013</v>
      </c>
      <c r="Q34" s="37" t="n">
        <f aca="false">IFERROR(1/P34,"")</f>
        <v>8.52613832151778</v>
      </c>
      <c r="R34" s="36" t="n">
        <v>0.527957135244385</v>
      </c>
      <c r="S34" s="37" t="n">
        <f aca="false">IFERROR(1/R34,"")</f>
        <v>1.89409316257675</v>
      </c>
    </row>
    <row r="35" customFormat="false" ht="18.75" hidden="false" customHeight="true" outlineLevel="0" collapsed="false">
      <c r="A35" s="42" t="n">
        <v>31</v>
      </c>
      <c r="B35" s="40" t="n">
        <v>46313</v>
      </c>
      <c r="C35" s="41" t="s">
        <v>105</v>
      </c>
      <c r="D35" s="41" t="s">
        <v>96</v>
      </c>
      <c r="E35" s="45" t="n">
        <v>1.24967132424447</v>
      </c>
      <c r="F35" s="45" t="n">
        <v>1.10234692837416</v>
      </c>
      <c r="G35" s="45" t="n">
        <v>2.35201825261864</v>
      </c>
      <c r="H35" s="43" t="n">
        <v>0.906363183345092</v>
      </c>
      <c r="I35" s="44" t="n">
        <f aca="false">IFERROR(1/H35,"")</f>
        <v>1.10331048124586</v>
      </c>
      <c r="J35" s="43" t="n">
        <v>0.679425637788126</v>
      </c>
      <c r="K35" s="44" t="n">
        <f aca="false">IFERROR(1/J35,"")</f>
        <v>1.47183141816006</v>
      </c>
      <c r="L35" s="43" t="n">
        <v>0.417706852250393</v>
      </c>
      <c r="M35" s="44" t="n">
        <f aca="false">IFERROR(1/L35,"")</f>
        <v>2.39402345116559</v>
      </c>
      <c r="N35" s="43" t="n">
        <v>0.211310290672288</v>
      </c>
      <c r="O35" s="44" t="n">
        <f aca="false">IFERROR(1/N35,"")</f>
        <v>4.73237719194119</v>
      </c>
      <c r="P35" s="43" t="n">
        <v>0.0899481095471343</v>
      </c>
      <c r="Q35" s="44" t="n">
        <f aca="false">IFERROR(1/P35,"")</f>
        <v>11.1175210355698</v>
      </c>
      <c r="R35" s="43" t="n">
        <v>0.582293147749607</v>
      </c>
      <c r="S35" s="44" t="n">
        <f aca="false">IFERROR(1/R35,"")</f>
        <v>1.71734804688104</v>
      </c>
    </row>
    <row r="36" customFormat="false" ht="18.75" hidden="false" customHeight="true" outlineLevel="0" collapsed="false">
      <c r="A36" s="35" t="n">
        <v>31</v>
      </c>
      <c r="B36" s="33" t="n">
        <v>46313</v>
      </c>
      <c r="C36" s="34" t="s">
        <v>95</v>
      </c>
      <c r="D36" s="34" t="s">
        <v>100</v>
      </c>
      <c r="E36" s="38" t="n">
        <v>1.56641923032394</v>
      </c>
      <c r="F36" s="38" t="n">
        <v>1.02920502780353</v>
      </c>
      <c r="G36" s="38" t="n">
        <v>2.59562425812747</v>
      </c>
      <c r="H36" s="36" t="n">
        <v>0.926813814100854</v>
      </c>
      <c r="I36" s="37" t="n">
        <f aca="false">IFERROR(1/H36,"")</f>
        <v>1.07896535936956</v>
      </c>
      <c r="J36" s="36" t="n">
        <v>0.730357763392843</v>
      </c>
      <c r="K36" s="37" t="n">
        <f aca="false">IFERROR(1/J36,"")</f>
        <v>1.36919199072321</v>
      </c>
      <c r="L36" s="36" t="n">
        <v>0.480472970183316</v>
      </c>
      <c r="M36" s="37" t="n">
        <f aca="false">IFERROR(1/L36,"")</f>
        <v>2.08128253212344</v>
      </c>
      <c r="N36" s="36" t="n">
        <v>0.263047783860416</v>
      </c>
      <c r="O36" s="37" t="n">
        <f aca="false">IFERROR(1/N36,"")</f>
        <v>3.80159066662444</v>
      </c>
      <c r="P36" s="36" t="n">
        <v>0.12195881880636</v>
      </c>
      <c r="Q36" s="37" t="n">
        <f aca="false">IFERROR(1/P36,"")</f>
        <v>8.19948905529949</v>
      </c>
      <c r="R36" s="36" t="n">
        <v>0.519527029816684</v>
      </c>
      <c r="S36" s="37" t="n">
        <f aca="false">IFERROR(1/R36,"")</f>
        <v>1.92482766556507</v>
      </c>
    </row>
    <row r="37" customFormat="false" ht="18.75" hidden="false" customHeight="true" outlineLevel="0" collapsed="false">
      <c r="A37" s="42" t="n">
        <v>31</v>
      </c>
      <c r="B37" s="40" t="n">
        <v>46313</v>
      </c>
      <c r="C37" s="41" t="s">
        <v>104</v>
      </c>
      <c r="D37" s="41" t="s">
        <v>91</v>
      </c>
      <c r="E37" s="45" t="n">
        <v>1.36048644848302</v>
      </c>
      <c r="F37" s="45" t="n">
        <v>1.33907157537295</v>
      </c>
      <c r="G37" s="45" t="n">
        <v>2.69955802385597</v>
      </c>
      <c r="H37" s="43" t="n">
        <v>0.934203672283015</v>
      </c>
      <c r="I37" s="44" t="n">
        <f aca="false">IFERROR(1/H37,"")</f>
        <v>1.07043038864982</v>
      </c>
      <c r="J37" s="43" t="n">
        <v>0.749821338309787</v>
      </c>
      <c r="K37" s="44" t="n">
        <f aca="false">IFERROR(1/J37,"")</f>
        <v>1.33365102979618</v>
      </c>
      <c r="L37" s="43" t="n">
        <v>0.50626798943668</v>
      </c>
      <c r="M37" s="44" t="n">
        <f aca="false">IFERROR(1/L37,"")</f>
        <v>1.97523845248974</v>
      </c>
      <c r="N37" s="43" t="n">
        <v>0.285810957498142</v>
      </c>
      <c r="O37" s="44" t="n">
        <f aca="false">IFERROR(1/N37,"")</f>
        <v>3.49881617119771</v>
      </c>
      <c r="P37" s="43" t="n">
        <v>0.137026606160283</v>
      </c>
      <c r="Q37" s="44" t="n">
        <f aca="false">IFERROR(1/P37,"")</f>
        <v>7.29785278948145</v>
      </c>
      <c r="R37" s="43" t="n">
        <v>0.49373201056332</v>
      </c>
      <c r="S37" s="44" t="n">
        <f aca="false">IFERROR(1/R37,"")</f>
        <v>2.02539024937649</v>
      </c>
    </row>
    <row r="38" customFormat="false" ht="18.75" hidden="false" customHeight="true" outlineLevel="0" collapsed="false">
      <c r="A38" s="35" t="n">
        <v>31</v>
      </c>
      <c r="B38" s="33" t="n">
        <v>46313</v>
      </c>
      <c r="C38" s="34" t="s">
        <v>87</v>
      </c>
      <c r="D38" s="34" t="s">
        <v>84</v>
      </c>
      <c r="E38" s="38" t="n">
        <v>1.64342540941191</v>
      </c>
      <c r="F38" s="38" t="n">
        <v>0.926613933952743</v>
      </c>
      <c r="G38" s="38" t="n">
        <v>2.57003934336465</v>
      </c>
      <c r="H38" s="36" t="n">
        <v>0.92483718456084</v>
      </c>
      <c r="I38" s="37" t="n">
        <f aca="false">IFERROR(1/H38,"")</f>
        <v>1.08127140289547</v>
      </c>
      <c r="J38" s="36" t="n">
        <v>0.725409109098347</v>
      </c>
      <c r="K38" s="37" t="n">
        <f aca="false">IFERROR(1/J38,"")</f>
        <v>1.37853245493837</v>
      </c>
      <c r="L38" s="36" t="n">
        <v>0.474025729061622</v>
      </c>
      <c r="M38" s="37" t="n">
        <f aca="false">IFERROR(1/L38,"")</f>
        <v>2.10959013127746</v>
      </c>
      <c r="N38" s="36" t="n">
        <v>0.257496936535539</v>
      </c>
      <c r="O38" s="37" t="n">
        <f aca="false">IFERROR(1/N38,"")</f>
        <v>3.88354134792583</v>
      </c>
      <c r="P38" s="36" t="n">
        <v>0.118374373889622</v>
      </c>
      <c r="Q38" s="37" t="n">
        <f aca="false">IFERROR(1/P38,"")</f>
        <v>8.44777435471334</v>
      </c>
      <c r="R38" s="36" t="n">
        <v>0.525974270938378</v>
      </c>
      <c r="S38" s="37" t="n">
        <f aca="false">IFERROR(1/R38,"")</f>
        <v>1.90123368243075</v>
      </c>
    </row>
    <row r="39" customFormat="false" ht="18.75" hidden="false" customHeight="true" outlineLevel="0" collapsed="false">
      <c r="A39" s="42" t="n">
        <v>32</v>
      </c>
      <c r="B39" s="40" t="n">
        <v>46320</v>
      </c>
      <c r="C39" s="41" t="s">
        <v>83</v>
      </c>
      <c r="D39" s="41" t="s">
        <v>98</v>
      </c>
      <c r="E39" s="45" t="n">
        <v>1.05072547184064</v>
      </c>
      <c r="F39" s="45" t="n">
        <v>1.51767213392546</v>
      </c>
      <c r="G39" s="45" t="n">
        <v>2.5683976057661</v>
      </c>
      <c r="H39" s="43" t="n">
        <v>0.924777921003437</v>
      </c>
      <c r="I39" s="44" t="n">
        <f aca="false">IFERROR(1/H39,"")</f>
        <v>1.08134069519625</v>
      </c>
      <c r="J39" s="43" t="n">
        <v>0.725018007932475</v>
      </c>
      <c r="K39" s="44" t="n">
        <f aca="false">IFERROR(1/J39,"")</f>
        <v>1.37927608564053</v>
      </c>
      <c r="L39" s="43" t="n">
        <v>0.473609417185516</v>
      </c>
      <c r="M39" s="44" t="n">
        <f aca="false">IFERROR(1/L39,"")</f>
        <v>2.11144450197512</v>
      </c>
      <c r="N39" s="43" t="n">
        <v>0.257140605709049</v>
      </c>
      <c r="O39" s="44" t="n">
        <f aca="false">IFERROR(1/N39,"")</f>
        <v>3.88892293864892</v>
      </c>
      <c r="P39" s="43" t="n">
        <v>0.118145780757795</v>
      </c>
      <c r="Q39" s="44" t="n">
        <f aca="false">IFERROR(1/P39,"")</f>
        <v>8.46411944282675</v>
      </c>
      <c r="R39" s="43" t="n">
        <v>0.526390582814484</v>
      </c>
      <c r="S39" s="44" t="n">
        <f aca="false">IFERROR(1/R39,"")</f>
        <v>1.89973003440381</v>
      </c>
    </row>
    <row r="40" customFormat="false" ht="18.75" hidden="false" customHeight="true" outlineLevel="0" collapsed="false">
      <c r="A40" s="35" t="n">
        <v>32</v>
      </c>
      <c r="B40" s="33" t="n">
        <v>46320</v>
      </c>
      <c r="C40" s="34" t="s">
        <v>99</v>
      </c>
      <c r="D40" s="34" t="s">
        <v>105</v>
      </c>
      <c r="E40" s="38" t="n">
        <v>1.40788997273411</v>
      </c>
      <c r="F40" s="38" t="n">
        <v>1.35649243727434</v>
      </c>
      <c r="G40" s="38" t="n">
        <v>2.76438241000845</v>
      </c>
      <c r="H40" s="36" t="n">
        <v>0.938398766514522</v>
      </c>
      <c r="I40" s="37" t="n">
        <f aca="false">IFERROR(1/H40,"")</f>
        <v>1.06564504950735</v>
      </c>
      <c r="J40" s="36" t="n">
        <v>0.761374671836539</v>
      </c>
      <c r="K40" s="37" t="n">
        <f aca="false">IFERROR(1/J40,"")</f>
        <v>1.31341379873836</v>
      </c>
      <c r="L40" s="36" t="n">
        <v>0.52201402041122</v>
      </c>
      <c r="M40" s="37" t="n">
        <f aca="false">IFERROR(1/L40,"")</f>
        <v>1.915657359571</v>
      </c>
      <c r="N40" s="36" t="n">
        <v>0.300149688489272</v>
      </c>
      <c r="O40" s="37" t="n">
        <f aca="false">IFERROR(1/N40,"")</f>
        <v>3.33167095735881</v>
      </c>
      <c r="P40" s="36" t="n">
        <v>0.146819950594394</v>
      </c>
      <c r="Q40" s="37" t="n">
        <f aca="false">IFERROR(1/P40,"")</f>
        <v>6.81106345528348</v>
      </c>
      <c r="R40" s="36" t="n">
        <v>0.47798597958878</v>
      </c>
      <c r="S40" s="37" t="n">
        <f aca="false">IFERROR(1/R40,"")</f>
        <v>2.09211157377528</v>
      </c>
    </row>
    <row r="41" customFormat="false" ht="18.75" hidden="false" customHeight="true" outlineLevel="0" collapsed="false">
      <c r="A41" s="42" t="n">
        <v>32</v>
      </c>
      <c r="B41" s="40" t="n">
        <v>46320</v>
      </c>
      <c r="C41" s="41" t="s">
        <v>96</v>
      </c>
      <c r="D41" s="41" t="s">
        <v>104</v>
      </c>
      <c r="E41" s="45" t="n">
        <v>1.92612157341549</v>
      </c>
      <c r="F41" s="45" t="n">
        <v>0.8088263222681</v>
      </c>
      <c r="G41" s="45" t="n">
        <v>2.73494789568359</v>
      </c>
      <c r="H41" s="43" t="n">
        <v>0.936293225435012</v>
      </c>
      <c r="I41" s="44" t="n">
        <f aca="false">IFERROR(1/H41,"")</f>
        <v>1.06804147764221</v>
      </c>
      <c r="J41" s="43" t="n">
        <v>0.756432398457621</v>
      </c>
      <c r="K41" s="44" t="n">
        <f aca="false">IFERROR(1/J41,"")</f>
        <v>1.32199520015142</v>
      </c>
      <c r="L41" s="43" t="n">
        <v>0.514907700207952</v>
      </c>
      <c r="M41" s="44" t="n">
        <f aca="false">IFERROR(1/L41,"")</f>
        <v>1.94209564082289</v>
      </c>
      <c r="N41" s="43" t="n">
        <v>0.293634926280417</v>
      </c>
      <c r="O41" s="44" t="n">
        <f aca="false">IFERROR(1/N41,"")</f>
        <v>3.40558942584717</v>
      </c>
      <c r="P41" s="43" t="n">
        <v>0.142339541059798</v>
      </c>
      <c r="Q41" s="44" t="n">
        <f aca="false">IFERROR(1/P41,"")</f>
        <v>7.02545471591686</v>
      </c>
      <c r="R41" s="43" t="n">
        <v>0.485092299792048</v>
      </c>
      <c r="S41" s="44" t="n">
        <f aca="false">IFERROR(1/R41,"")</f>
        <v>2.06146335538347</v>
      </c>
    </row>
    <row r="42" customFormat="false" ht="18.75" hidden="false" customHeight="true" outlineLevel="0" collapsed="false">
      <c r="A42" s="35" t="n">
        <v>32</v>
      </c>
      <c r="B42" s="33" t="n">
        <v>46320</v>
      </c>
      <c r="C42" s="34" t="s">
        <v>8</v>
      </c>
      <c r="D42" s="34" t="s">
        <v>90</v>
      </c>
      <c r="E42" s="38" t="n">
        <v>1.91825606338327</v>
      </c>
      <c r="F42" s="38" t="n">
        <v>0.837949046897262</v>
      </c>
      <c r="G42" s="38" t="n">
        <v>2.75620511028053</v>
      </c>
      <c r="H42" s="36" t="n">
        <v>0.937669989829449</v>
      </c>
      <c r="I42" s="37" t="n">
        <f aca="false">IFERROR(1/H42,"")</f>
        <v>1.06647329107961</v>
      </c>
      <c r="J42" s="36" t="n">
        <v>0.760167634125815</v>
      </c>
      <c r="K42" s="37" t="n">
        <f aca="false">IFERROR(1/J42,"")</f>
        <v>1.31549931239836</v>
      </c>
      <c r="L42" s="36" t="n">
        <v>0.520051900177917</v>
      </c>
      <c r="M42" s="37" t="n">
        <f aca="false">IFERROR(1/L42,"")</f>
        <v>1.92288500370422</v>
      </c>
      <c r="N42" s="36" t="n">
        <v>0.298342989016414</v>
      </c>
      <c r="O42" s="37" t="n">
        <f aca="false">IFERROR(1/N42,"")</f>
        <v>3.35184682333857</v>
      </c>
      <c r="P42" s="36" t="n">
        <v>0.145571275867481</v>
      </c>
      <c r="Q42" s="37" t="n">
        <f aca="false">IFERROR(1/P42,"")</f>
        <v>6.86948708830677</v>
      </c>
      <c r="R42" s="36" t="n">
        <v>0.479948099822083</v>
      </c>
      <c r="S42" s="37" t="n">
        <f aca="false">IFERROR(1/R42,"")</f>
        <v>2.08355861888129</v>
      </c>
    </row>
    <row r="43" customFormat="false" ht="18.75" hidden="false" customHeight="true" outlineLevel="0" collapsed="false">
      <c r="A43" s="42" t="n">
        <v>32</v>
      </c>
      <c r="B43" s="40" t="n">
        <v>46320</v>
      </c>
      <c r="C43" s="41" t="s">
        <v>100</v>
      </c>
      <c r="D43" s="41" t="s">
        <v>93</v>
      </c>
      <c r="E43" s="45" t="n">
        <v>1.34753800300321</v>
      </c>
      <c r="F43" s="45" t="n">
        <v>1.10338572636477</v>
      </c>
      <c r="G43" s="45" t="n">
        <v>2.45092372936798</v>
      </c>
      <c r="H43" s="43" t="n">
        <v>0.915291856063116</v>
      </c>
      <c r="I43" s="44" t="n">
        <f aca="false">IFERROR(1/H43,"")</f>
        <v>1.09254768670316</v>
      </c>
      <c r="J43" s="43" t="n">
        <v>0.700977161947578</v>
      </c>
      <c r="K43" s="44" t="n">
        <f aca="false">IFERROR(1/J43,"")</f>
        <v>1.42658000044056</v>
      </c>
      <c r="L43" s="43" t="n">
        <v>0.443538154956882</v>
      </c>
      <c r="M43" s="44" t="n">
        <f aca="false">IFERROR(1/L43,"")</f>
        <v>2.25459746545867</v>
      </c>
      <c r="N43" s="43" t="n">
        <v>0.231986807365407</v>
      </c>
      <c r="O43" s="44" t="n">
        <f aca="false">IFERROR(1/N43,"")</f>
        <v>4.31058994843996</v>
      </c>
      <c r="P43" s="43" t="n">
        <v>0.102362637880466</v>
      </c>
      <c r="Q43" s="44" t="n">
        <f aca="false">IFERROR(1/P43,"")</f>
        <v>9.76918942991439</v>
      </c>
      <c r="R43" s="43" t="n">
        <v>0.556461845043118</v>
      </c>
      <c r="S43" s="44" t="n">
        <f aca="false">IFERROR(1/R43,"")</f>
        <v>1.79706840443394</v>
      </c>
    </row>
    <row r="44" customFormat="false" ht="18.75" hidden="false" customHeight="true" outlineLevel="0" collapsed="false">
      <c r="A44" s="35" t="n">
        <v>32</v>
      </c>
      <c r="B44" s="33" t="n">
        <v>46320</v>
      </c>
      <c r="C44" s="34" t="s">
        <v>95</v>
      </c>
      <c r="D44" s="34" t="s">
        <v>87</v>
      </c>
      <c r="E44" s="38" t="n">
        <v>1.47493817294873</v>
      </c>
      <c r="F44" s="38" t="n">
        <v>0.99543087333996</v>
      </c>
      <c r="G44" s="38" t="n">
        <v>2.47036904628869</v>
      </c>
      <c r="H44" s="36" t="n">
        <v>0.916904779216458</v>
      </c>
      <c r="I44" s="37" t="n">
        <f aca="false">IFERROR(1/H44,"")</f>
        <v>1.09062579088589</v>
      </c>
      <c r="J44" s="36" t="n">
        <v>0.705110382497029</v>
      </c>
      <c r="K44" s="37" t="n">
        <f aca="false">IFERROR(1/J44,"")</f>
        <v>1.4182176646707</v>
      </c>
      <c r="L44" s="36" t="n">
        <v>0.448564804931194</v>
      </c>
      <c r="M44" s="37" t="n">
        <f aca="false">IFERROR(1/L44,"")</f>
        <v>2.22933228154935</v>
      </c>
      <c r="N44" s="36" t="n">
        <v>0.236109659233399</v>
      </c>
      <c r="O44" s="37" t="n">
        <f aca="false">IFERROR(1/N44,"")</f>
        <v>4.23532016117766</v>
      </c>
      <c r="P44" s="36" t="n">
        <v>0.104898759511513</v>
      </c>
      <c r="Q44" s="37" t="n">
        <f aca="false">IFERROR(1/P44,"")</f>
        <v>9.53300119712332</v>
      </c>
      <c r="R44" s="36" t="n">
        <v>0.551435195068806</v>
      </c>
      <c r="S44" s="37" t="n">
        <f aca="false">IFERROR(1/R44,"")</f>
        <v>1.8134497198265</v>
      </c>
    </row>
    <row r="45" customFormat="false" ht="18.75" hidden="false" customHeight="true" outlineLevel="0" collapsed="false">
      <c r="A45" s="42" t="n">
        <v>32</v>
      </c>
      <c r="B45" s="40" t="n">
        <v>46320</v>
      </c>
      <c r="C45" s="41" t="s">
        <v>102</v>
      </c>
      <c r="D45" s="41" t="s">
        <v>91</v>
      </c>
      <c r="E45" s="45" t="n">
        <v>1.93501962243176</v>
      </c>
      <c r="F45" s="45" t="n">
        <v>0.722264171257578</v>
      </c>
      <c r="G45" s="45" t="n">
        <v>2.65728379368933</v>
      </c>
      <c r="H45" s="43" t="n">
        <v>0.931016382764407</v>
      </c>
      <c r="I45" s="44" t="n">
        <f aca="false">IFERROR(1/H45,"")</f>
        <v>1.07409495526896</v>
      </c>
      <c r="J45" s="43" t="n">
        <v>0.742341381195933</v>
      </c>
      <c r="K45" s="44" t="n">
        <f aca="false">IFERROR(1/J45,"")</f>
        <v>1.34708912278199</v>
      </c>
      <c r="L45" s="43" t="n">
        <v>0.495865253059697</v>
      </c>
      <c r="M45" s="44" t="n">
        <f aca="false">IFERROR(1/L45,"")</f>
        <v>2.01667689726106</v>
      </c>
      <c r="N45" s="43" t="n">
        <v>0.276521780529985</v>
      </c>
      <c r="O45" s="44" t="n">
        <f aca="false">IFERROR(1/N45,"")</f>
        <v>3.61635165983449</v>
      </c>
      <c r="P45" s="43" t="n">
        <v>0.130804207840678</v>
      </c>
      <c r="Q45" s="44" t="n">
        <f aca="false">IFERROR(1/P45,"")</f>
        <v>7.64501399846415</v>
      </c>
      <c r="R45" s="43" t="n">
        <v>0.504134746940303</v>
      </c>
      <c r="S45" s="44" t="n">
        <f aca="false">IFERROR(1/R45,"")</f>
        <v>1.98359665956216</v>
      </c>
    </row>
    <row r="46" customFormat="false" ht="18.75" hidden="false" customHeight="true" outlineLevel="0" collapsed="false">
      <c r="A46" s="35" t="n">
        <v>32</v>
      </c>
      <c r="B46" s="33" t="n">
        <v>46320</v>
      </c>
      <c r="C46" s="34" t="s">
        <v>88</v>
      </c>
      <c r="D46" s="34" t="s">
        <v>103</v>
      </c>
      <c r="E46" s="38" t="n">
        <v>1.52339766379008</v>
      </c>
      <c r="F46" s="38" t="n">
        <v>1.18285724621407</v>
      </c>
      <c r="G46" s="38" t="n">
        <v>2.70625491000414</v>
      </c>
      <c r="H46" s="36" t="n">
        <v>0.934627444824243</v>
      </c>
      <c r="I46" s="37" t="n">
        <f aca="false">IFERROR(1/H46,"")</f>
        <v>1.06994504124373</v>
      </c>
      <c r="J46" s="36" t="n">
        <v>0.751059887868693</v>
      </c>
      <c r="K46" s="37" t="n">
        <f aca="false">IFERROR(1/J46,"")</f>
        <v>1.33145174726044</v>
      </c>
      <c r="L46" s="36" t="n">
        <v>0.507907788698148</v>
      </c>
      <c r="M46" s="37" t="n">
        <f aca="false">IFERROR(1/L46,"")</f>
        <v>1.968861321389</v>
      </c>
      <c r="N46" s="36" t="n">
        <v>0.28728828781618</v>
      </c>
      <c r="O46" s="37" t="n">
        <f aca="false">IFERROR(1/N46,"")</f>
        <v>3.48082411434693</v>
      </c>
      <c r="P46" s="36" t="n">
        <v>0.138024766636165</v>
      </c>
      <c r="Q46" s="37" t="n">
        <f aca="false">IFERROR(1/P46,"")</f>
        <v>7.24507654945736</v>
      </c>
      <c r="R46" s="36" t="n">
        <v>0.492092211301852</v>
      </c>
      <c r="S46" s="37" t="n">
        <f aca="false">IFERROR(1/R46,"")</f>
        <v>2.03213945889218</v>
      </c>
    </row>
    <row r="47" customFormat="false" ht="18.75" hidden="false" customHeight="true" outlineLevel="0" collapsed="false">
      <c r="A47" s="42" t="n">
        <v>32</v>
      </c>
      <c r="B47" s="40" t="n">
        <v>46320</v>
      </c>
      <c r="C47" s="41" t="s">
        <v>84</v>
      </c>
      <c r="D47" s="41" t="s">
        <v>101</v>
      </c>
      <c r="E47" s="45" t="n">
        <v>1.33166872088023</v>
      </c>
      <c r="F47" s="45" t="n">
        <v>1.14007107484136</v>
      </c>
      <c r="G47" s="45" t="n">
        <v>2.47173979572159</v>
      </c>
      <c r="H47" s="43" t="n">
        <v>0.917067997075215</v>
      </c>
      <c r="I47" s="44" t="n">
        <f aca="false">IFERROR(1/H47,"")</f>
        <v>1.09043168357121</v>
      </c>
      <c r="J47" s="43" t="n">
        <v>0.705348541338864</v>
      </c>
      <c r="K47" s="44" t="n">
        <f aca="false">IFERROR(1/J47,"")</f>
        <v>1.41773880768484</v>
      </c>
      <c r="L47" s="43" t="n">
        <v>0.448917905296588</v>
      </c>
      <c r="M47" s="44" t="n">
        <f aca="false">IFERROR(1/L47,"")</f>
        <v>2.22757878044389</v>
      </c>
      <c r="N47" s="43" t="n">
        <v>0.236400585897143</v>
      </c>
      <c r="O47" s="44" t="n">
        <f aca="false">IFERROR(1/N47,"")</f>
        <v>4.23010795935632</v>
      </c>
      <c r="P47" s="43" t="n">
        <v>0.105078596904301</v>
      </c>
      <c r="Q47" s="44" t="n">
        <f aca="false">IFERROR(1/P47,"")</f>
        <v>9.51668588524016</v>
      </c>
      <c r="R47" s="43" t="n">
        <v>0.551082094703412</v>
      </c>
      <c r="S47" s="44" t="n">
        <f aca="false">IFERROR(1/R47,"")</f>
        <v>1.81461166967907</v>
      </c>
    </row>
    <row r="48" customFormat="false" ht="18.75" hidden="false" customHeight="true" outlineLevel="0" collapsed="false">
      <c r="A48" s="35" t="n">
        <v>32</v>
      </c>
      <c r="B48" s="33" t="n">
        <v>46320</v>
      </c>
      <c r="C48" s="34" t="s">
        <v>106</v>
      </c>
      <c r="D48" s="34" t="s">
        <v>92</v>
      </c>
      <c r="E48" s="38" t="n">
        <v>1.12736195467417</v>
      </c>
      <c r="F48" s="38" t="n">
        <v>1.18137626498384</v>
      </c>
      <c r="G48" s="38" t="n">
        <v>2.30873821965801</v>
      </c>
      <c r="H48" s="36" t="n">
        <v>0.902168187947051</v>
      </c>
      <c r="I48" s="37" t="n">
        <f aca="false">IFERROR(1/H48,"")</f>
        <v>1.10844076898297</v>
      </c>
      <c r="J48" s="36" t="n">
        <v>0.66960131787858</v>
      </c>
      <c r="K48" s="37" t="n">
        <f aca="false">IFERROR(1/J48,"")</f>
        <v>1.49342597348551</v>
      </c>
      <c r="L48" s="36" t="n">
        <v>0.406277261539216</v>
      </c>
      <c r="M48" s="37" t="n">
        <f aca="false">IFERROR(1/L48,"")</f>
        <v>2.46137329027821</v>
      </c>
      <c r="N48" s="36" t="n">
        <v>0.202431959005575</v>
      </c>
      <c r="O48" s="37" t="n">
        <f aca="false">IFERROR(1/N48,"")</f>
        <v>4.9399314461629</v>
      </c>
      <c r="P48" s="36" t="n">
        <v>0.0847755548287438</v>
      </c>
      <c r="Q48" s="37" t="n">
        <f aca="false">IFERROR(1/P48,"")</f>
        <v>11.7958532034395</v>
      </c>
      <c r="R48" s="36" t="n">
        <v>0.593722738460784</v>
      </c>
      <c r="S48" s="37" t="n">
        <f aca="false">IFERROR(1/R48,"")</f>
        <v>1.68428785899708</v>
      </c>
    </row>
    <row r="49" customFormat="false" ht="18.75" hidden="false" customHeight="true" outlineLevel="0" collapsed="false">
      <c r="A49" s="42" t="n">
        <v>33</v>
      </c>
      <c r="B49" s="40" t="n">
        <v>46323</v>
      </c>
      <c r="C49" s="41" t="s">
        <v>90</v>
      </c>
      <c r="D49" s="41" t="s">
        <v>96</v>
      </c>
      <c r="E49" s="45" t="n">
        <v>1.29094652010178</v>
      </c>
      <c r="F49" s="45" t="n">
        <v>0.979440875227922</v>
      </c>
      <c r="G49" s="45" t="n">
        <v>2.2703873953297</v>
      </c>
      <c r="H49" s="43" t="n">
        <v>0.898261634453548</v>
      </c>
      <c r="I49" s="44" t="n">
        <f aca="false">IFERROR(1/H49,"")</f>
        <v>1.11326139472532</v>
      </c>
      <c r="J49" s="43" t="n">
        <v>0.660726605636234</v>
      </c>
      <c r="K49" s="44" t="n">
        <f aca="false">IFERROR(1/J49,"")</f>
        <v>1.51348529250925</v>
      </c>
      <c r="L49" s="43" t="n">
        <v>0.396093893217481</v>
      </c>
      <c r="M49" s="44" t="n">
        <f aca="false">IFERROR(1/L49,"")</f>
        <v>2.52465391949614</v>
      </c>
      <c r="N49" s="43" t="n">
        <v>0.194660170412682</v>
      </c>
      <c r="O49" s="44" t="n">
        <f aca="false">IFERROR(1/N49,"")</f>
        <v>5.13715773432227</v>
      </c>
      <c r="P49" s="43" t="n">
        <v>0.0803269566170139</v>
      </c>
      <c r="Q49" s="44" t="n">
        <f aca="false">IFERROR(1/P49,"")</f>
        <v>12.4491209690396</v>
      </c>
      <c r="R49" s="43" t="n">
        <v>0.603906106782519</v>
      </c>
      <c r="S49" s="44" t="n">
        <f aca="false">IFERROR(1/R49,"")</f>
        <v>1.6558865505232</v>
      </c>
    </row>
    <row r="50" customFormat="false" ht="18.75" hidden="false" customHeight="true" outlineLevel="0" collapsed="false">
      <c r="A50" s="35" t="n">
        <v>33</v>
      </c>
      <c r="B50" s="33" t="n">
        <v>46323</v>
      </c>
      <c r="C50" s="34" t="s">
        <v>103</v>
      </c>
      <c r="D50" s="34" t="s">
        <v>87</v>
      </c>
      <c r="E50" s="38" t="n">
        <v>1.38943818741616</v>
      </c>
      <c r="F50" s="38" t="n">
        <v>1.03578806544374</v>
      </c>
      <c r="G50" s="38" t="n">
        <v>2.4252262528599</v>
      </c>
      <c r="H50" s="36" t="n">
        <v>0.913037353022611</v>
      </c>
      <c r="I50" s="37" t="n">
        <f aca="false">IFERROR(1/H50,"")</f>
        <v>1.09524544279541</v>
      </c>
      <c r="J50" s="36" t="n">
        <v>0.695516238325388</v>
      </c>
      <c r="K50" s="37" t="n">
        <f aca="false">IFERROR(1/J50,"")</f>
        <v>1.43778095304824</v>
      </c>
      <c r="L50" s="36" t="n">
        <v>0.436868529260041</v>
      </c>
      <c r="M50" s="37" t="n">
        <f aca="false">IFERROR(1/L50,"")</f>
        <v>2.28901816684708</v>
      </c>
      <c r="N50" s="36" t="n">
        <v>0.226566457291418</v>
      </c>
      <c r="O50" s="37" t="n">
        <f aca="false">IFERROR(1/N50,"")</f>
        <v>4.4137160105468</v>
      </c>
      <c r="P50" s="36" t="n">
        <v>0.0990587886931797</v>
      </c>
      <c r="Q50" s="37" t="n">
        <f aca="false">IFERROR(1/P50,"")</f>
        <v>10.0950154266206</v>
      </c>
      <c r="R50" s="36" t="n">
        <v>0.563131470739959</v>
      </c>
      <c r="S50" s="37" t="n">
        <f aca="false">IFERROR(1/R50,"")</f>
        <v>1.77578425635845</v>
      </c>
    </row>
    <row r="51" customFormat="false" ht="18.75" hidden="false" customHeight="true" outlineLevel="0" collapsed="false">
      <c r="A51" s="42" t="n">
        <v>33</v>
      </c>
      <c r="B51" s="40" t="n">
        <v>46323</v>
      </c>
      <c r="C51" s="41" t="s">
        <v>91</v>
      </c>
      <c r="D51" s="41" t="s">
        <v>83</v>
      </c>
      <c r="E51" s="45" t="n">
        <v>2.03548637577257</v>
      </c>
      <c r="F51" s="45" t="n">
        <v>0.841257943711596</v>
      </c>
      <c r="G51" s="45" t="n">
        <v>2.87674431948416</v>
      </c>
      <c r="H51" s="43" t="n">
        <v>0.944819311560777</v>
      </c>
      <c r="I51" s="44" t="n">
        <f aca="false">IFERROR(1/H51,"")</f>
        <v>1.0584034299088</v>
      </c>
      <c r="J51" s="43" t="n">
        <v>0.780549949879681</v>
      </c>
      <c r="K51" s="44" t="n">
        <f aca="false">IFERROR(1/J51,"")</f>
        <v>1.28114799079053</v>
      </c>
      <c r="L51" s="43" t="n">
        <v>0.548653173872806</v>
      </c>
      <c r="M51" s="44" t="n">
        <f aca="false">IFERROR(1/L51,"")</f>
        <v>1.82264506544499</v>
      </c>
      <c r="N51" s="43" t="n">
        <v>0.325190873084984</v>
      </c>
      <c r="O51" s="44" t="n">
        <f aca="false">IFERROR(1/N51,"")</f>
        <v>3.07511705514153</v>
      </c>
      <c r="P51" s="43" t="n">
        <v>0.164474896723967</v>
      </c>
      <c r="Q51" s="44" t="n">
        <f aca="false">IFERROR(1/P51,"")</f>
        <v>6.07995517807358</v>
      </c>
      <c r="R51" s="43" t="n">
        <v>0.451346826127194</v>
      </c>
      <c r="S51" s="44" t="n">
        <f aca="false">IFERROR(1/R51,"")</f>
        <v>2.21559107567135</v>
      </c>
    </row>
    <row r="52" customFormat="false" ht="18.75" hidden="false" customHeight="true" outlineLevel="0" collapsed="false">
      <c r="A52" s="35" t="n">
        <v>33</v>
      </c>
      <c r="B52" s="33" t="n">
        <v>46323</v>
      </c>
      <c r="C52" s="34" t="s">
        <v>101</v>
      </c>
      <c r="D52" s="34" t="s">
        <v>95</v>
      </c>
      <c r="E52" s="38" t="n">
        <v>1.35794249773813</v>
      </c>
      <c r="F52" s="38" t="n">
        <v>1.07790584445474</v>
      </c>
      <c r="G52" s="38" t="n">
        <v>2.43584834219288</v>
      </c>
      <c r="H52" s="36" t="n">
        <v>0.913981413697068</v>
      </c>
      <c r="I52" s="37" t="n">
        <f aca="false">IFERROR(1/H52,"")</f>
        <v>1.09411415266639</v>
      </c>
      <c r="J52" s="36" t="n">
        <v>0.697778357687328</v>
      </c>
      <c r="K52" s="37" t="n">
        <f aca="false">IFERROR(1/J52,"")</f>
        <v>1.43311982807024</v>
      </c>
      <c r="L52" s="36" t="n">
        <v>0.439629113862875</v>
      </c>
      <c r="M52" s="37" t="n">
        <f aca="false">IFERROR(1/L52,"")</f>
        <v>2.27464462308543</v>
      </c>
      <c r="N52" s="36" t="n">
        <v>0.22880304045847</v>
      </c>
      <c r="O52" s="37" t="n">
        <f aca="false">IFERROR(1/N52,"")</f>
        <v>4.37057129134396</v>
      </c>
      <c r="P52" s="36" t="n">
        <v>0.100417835671458</v>
      </c>
      <c r="Q52" s="37" t="n">
        <f aca="false">IFERROR(1/P52,"")</f>
        <v>9.95839029305258</v>
      </c>
      <c r="R52" s="36" t="n">
        <v>0.560370886137125</v>
      </c>
      <c r="S52" s="37" t="n">
        <f aca="false">IFERROR(1/R52,"")</f>
        <v>1.78453239584488</v>
      </c>
    </row>
    <row r="53" customFormat="false" ht="18.75" hidden="false" customHeight="true" outlineLevel="0" collapsed="false">
      <c r="A53" s="42" t="n">
        <v>33</v>
      </c>
      <c r="B53" s="40" t="n">
        <v>46323</v>
      </c>
      <c r="C53" s="41" t="s">
        <v>99</v>
      </c>
      <c r="D53" s="41" t="s">
        <v>106</v>
      </c>
      <c r="E53" s="45" t="n">
        <v>1.50203830602098</v>
      </c>
      <c r="F53" s="45" t="n">
        <v>1.11905832891282</v>
      </c>
      <c r="G53" s="45" t="n">
        <v>2.62109663493381</v>
      </c>
      <c r="H53" s="43" t="n">
        <v>0.928713020939087</v>
      </c>
      <c r="I53" s="44" t="n">
        <f aca="false">IFERROR(1/H53,"")</f>
        <v>1.07675888832573</v>
      </c>
      <c r="J53" s="43" t="n">
        <v>0.73522795446765</v>
      </c>
      <c r="K53" s="44" t="n">
        <f aca="false">IFERROR(1/J53,"")</f>
        <v>1.3601223864292</v>
      </c>
      <c r="L53" s="43" t="n">
        <v>0.486854756348318</v>
      </c>
      <c r="M53" s="44" t="n">
        <f aca="false">IFERROR(1/L53,"")</f>
        <v>2.05400067876621</v>
      </c>
      <c r="N53" s="43" t="n">
        <v>0.268596512154967</v>
      </c>
      <c r="O53" s="44" t="n">
        <f aca="false">IFERROR(1/N53,"")</f>
        <v>3.7230565355333</v>
      </c>
      <c r="P53" s="43" t="n">
        <v>0.125577213893444</v>
      </c>
      <c r="Q53" s="44" t="n">
        <f aca="false">IFERROR(1/P53,"")</f>
        <v>7.96322811277314</v>
      </c>
      <c r="R53" s="43" t="n">
        <v>0.513145243651682</v>
      </c>
      <c r="S53" s="44" t="n">
        <f aca="false">IFERROR(1/R53,"")</f>
        <v>1.94876599241908</v>
      </c>
    </row>
    <row r="54" customFormat="false" ht="18.75" hidden="false" customHeight="true" outlineLevel="0" collapsed="false">
      <c r="A54" s="35" t="n">
        <v>33</v>
      </c>
      <c r="B54" s="33" t="n">
        <v>46323</v>
      </c>
      <c r="C54" s="34" t="s">
        <v>98</v>
      </c>
      <c r="D54" s="34" t="s">
        <v>100</v>
      </c>
      <c r="E54" s="38" t="n">
        <v>1.43643240821652</v>
      </c>
      <c r="F54" s="38" t="n">
        <v>0.934074758330905</v>
      </c>
      <c r="G54" s="38" t="n">
        <v>2.37050716654742</v>
      </c>
      <c r="H54" s="36" t="n">
        <v>0.908039392521478</v>
      </c>
      <c r="I54" s="37" t="n">
        <f aca="false">IFERROR(1/H54,"")</f>
        <v>1.10127380842274</v>
      </c>
      <c r="J54" s="36" t="n">
        <v>0.683610552188671</v>
      </c>
      <c r="K54" s="37" t="n">
        <f aca="false">IFERROR(1/J54,"")</f>
        <v>1.4628211878801</v>
      </c>
      <c r="L54" s="36" t="n">
        <v>0.422567875865997</v>
      </c>
      <c r="M54" s="37" t="n">
        <f aca="false">IFERROR(1/L54,"")</f>
        <v>2.36648372276438</v>
      </c>
      <c r="N54" s="36" t="n">
        <v>0.215136256665596</v>
      </c>
      <c r="O54" s="37" t="n">
        <f aca="false">IFERROR(1/N54,"")</f>
        <v>4.64821697420525</v>
      </c>
      <c r="P54" s="36" t="n">
        <v>0.0922065364999283</v>
      </c>
      <c r="Q54" s="37" t="n">
        <f aca="false">IFERROR(1/P54,"")</f>
        <v>10.8452181153207</v>
      </c>
      <c r="R54" s="36" t="n">
        <v>0.577432124134003</v>
      </c>
      <c r="S54" s="37" t="n">
        <f aca="false">IFERROR(1/R54,"")</f>
        <v>1.73180527754624</v>
      </c>
    </row>
    <row r="55" customFormat="false" ht="18.75" hidden="false" customHeight="true" outlineLevel="0" collapsed="false">
      <c r="A55" s="42" t="n">
        <v>33</v>
      </c>
      <c r="B55" s="40" t="n">
        <v>46323</v>
      </c>
      <c r="C55" s="41" t="s">
        <v>105</v>
      </c>
      <c r="D55" s="41" t="s">
        <v>92</v>
      </c>
      <c r="E55" s="45" t="n">
        <v>1.36655776006313</v>
      </c>
      <c r="F55" s="45" t="n">
        <v>1.10732567931792</v>
      </c>
      <c r="G55" s="45" t="n">
        <v>2.47388343938105</v>
      </c>
      <c r="H55" s="43" t="n">
        <v>0.917240691612103</v>
      </c>
      <c r="I55" s="44" t="n">
        <f aca="false">IFERROR(1/H55,"")</f>
        <v>1.09022638130287</v>
      </c>
      <c r="J55" s="43" t="n">
        <v>0.705803866062109</v>
      </c>
      <c r="K55" s="44" t="n">
        <f aca="false">IFERROR(1/J55,"")</f>
        <v>1.416824202989</v>
      </c>
      <c r="L55" s="43" t="n">
        <v>0.449470793477639</v>
      </c>
      <c r="M55" s="44" t="n">
        <f aca="false">IFERROR(1/L55,"")</f>
        <v>2.22483866473907</v>
      </c>
      <c r="N55" s="43" t="n">
        <v>0.23685630321662</v>
      </c>
      <c r="O55" s="44" t="n">
        <f aca="false">IFERROR(1/N55,"")</f>
        <v>4.22196912819937</v>
      </c>
      <c r="P55" s="43" t="n">
        <v>0.105360305823523</v>
      </c>
      <c r="Q55" s="44" t="n">
        <f aca="false">IFERROR(1/P55,"")</f>
        <v>9.49124048363136</v>
      </c>
      <c r="R55" s="43" t="n">
        <v>0.550529206522361</v>
      </c>
      <c r="S55" s="44" t="n">
        <f aca="false">IFERROR(1/R55,"")</f>
        <v>1.81643405681762</v>
      </c>
    </row>
    <row r="56" customFormat="false" ht="18.75" hidden="false" customHeight="true" outlineLevel="0" collapsed="false">
      <c r="A56" s="35" t="n">
        <v>33</v>
      </c>
      <c r="B56" s="33" t="n">
        <v>46323</v>
      </c>
      <c r="C56" s="34" t="s">
        <v>104</v>
      </c>
      <c r="D56" s="34" t="s">
        <v>93</v>
      </c>
      <c r="E56" s="38" t="n">
        <v>1.24658688077644</v>
      </c>
      <c r="F56" s="38" t="n">
        <v>1.50809423269689</v>
      </c>
      <c r="G56" s="38" t="n">
        <v>2.75468111347333</v>
      </c>
      <c r="H56" s="36" t="n">
        <v>0.937776047312259</v>
      </c>
      <c r="I56" s="37" t="n">
        <f aca="false">IFERROR(1/H56,"")</f>
        <v>1.06635267862309</v>
      </c>
      <c r="J56" s="36" t="n">
        <v>0.759688236493</v>
      </c>
      <c r="K56" s="37" t="n">
        <f aca="false">IFERROR(1/J56,"")</f>
        <v>1.31632945195567</v>
      </c>
      <c r="L56" s="36" t="n">
        <v>0.519675369504936</v>
      </c>
      <c r="M56" s="37" t="n">
        <f aca="false">IFERROR(1/L56,"")</f>
        <v>1.92427822960446</v>
      </c>
      <c r="N56" s="36" t="n">
        <v>0.297998448923772</v>
      </c>
      <c r="O56" s="37" t="n">
        <f aca="false">IFERROR(1/N56,"")</f>
        <v>3.35572216436535</v>
      </c>
      <c r="P56" s="36" t="n">
        <v>0.145335782501833</v>
      </c>
      <c r="Q56" s="37" t="n">
        <f aca="false">IFERROR(1/P56,"")</f>
        <v>6.88061799225108</v>
      </c>
      <c r="R56" s="36" t="n">
        <v>0.480324630495064</v>
      </c>
      <c r="S56" s="37" t="n">
        <f aca="false">IFERROR(1/R56,"")</f>
        <v>2.08192529908223</v>
      </c>
    </row>
    <row r="57" customFormat="false" ht="18.75" hidden="false" customHeight="true" outlineLevel="0" collapsed="false">
      <c r="A57" s="42" t="n">
        <v>33</v>
      </c>
      <c r="B57" s="40" t="n">
        <v>46323</v>
      </c>
      <c r="C57" s="41" t="s">
        <v>88</v>
      </c>
      <c r="D57" s="41" t="s">
        <v>102</v>
      </c>
      <c r="E57" s="45" t="n">
        <v>1.02860402766201</v>
      </c>
      <c r="F57" s="45" t="n">
        <v>1.45073287959729</v>
      </c>
      <c r="G57" s="45" t="n">
        <v>2.4793369072593</v>
      </c>
      <c r="H57" s="43" t="n">
        <v>0.917670239651031</v>
      </c>
      <c r="I57" s="44" t="n">
        <f aca="false">IFERROR(1/H57,"")</f>
        <v>1.08971606225378</v>
      </c>
      <c r="J57" s="43" t="n">
        <v>0.706967833684001</v>
      </c>
      <c r="K57" s="44" t="n">
        <f aca="false">IFERROR(1/J57,"")</f>
        <v>1.41449151199569</v>
      </c>
      <c r="L57" s="43" t="n">
        <v>0.450876436744286</v>
      </c>
      <c r="M57" s="44" t="n">
        <f aca="false">IFERROR(1/L57,"")</f>
        <v>2.21790255268352</v>
      </c>
      <c r="N57" s="43" t="n">
        <v>0.238016664797945</v>
      </c>
      <c r="O57" s="44" t="n">
        <f aca="false">IFERROR(1/N57,"")</f>
        <v>4.20138649051701</v>
      </c>
      <c r="P57" s="43" t="n">
        <v>0.106078679563966</v>
      </c>
      <c r="Q57" s="44" t="n">
        <f aca="false">IFERROR(1/P57,"")</f>
        <v>9.42696500475382</v>
      </c>
      <c r="R57" s="43" t="n">
        <v>0.549123563255714</v>
      </c>
      <c r="S57" s="44" t="n">
        <f aca="false">IFERROR(1/R57,"")</f>
        <v>1.82108375402992</v>
      </c>
    </row>
    <row r="58" customFormat="false" ht="18.75" hidden="false" customHeight="true" outlineLevel="0" collapsed="false">
      <c r="A58" s="35" t="n">
        <v>33</v>
      </c>
      <c r="B58" s="33" t="n">
        <v>46323</v>
      </c>
      <c r="C58" s="34" t="s">
        <v>84</v>
      </c>
      <c r="D58" s="34" t="s">
        <v>8</v>
      </c>
      <c r="E58" s="38" t="n">
        <v>1.11971698633486</v>
      </c>
      <c r="F58" s="38" t="n">
        <v>1.73393795982926</v>
      </c>
      <c r="G58" s="38" t="n">
        <v>2.85365494616413</v>
      </c>
      <c r="H58" s="36" t="n">
        <v>0.943682039649061</v>
      </c>
      <c r="I58" s="37" t="n">
        <f aca="false">IFERROR(1/H58,"")</f>
        <v>1.059678957514</v>
      </c>
      <c r="J58" s="36" t="n">
        <v>0.776589912540498</v>
      </c>
      <c r="K58" s="37" t="n">
        <f aca="false">IFERROR(1/J58,"")</f>
        <v>1.28768090320495</v>
      </c>
      <c r="L58" s="36" t="n">
        <v>0.543241188635287</v>
      </c>
      <c r="M58" s="37" t="n">
        <f aca="false">IFERROR(1/L58,"")</f>
        <v>1.8408029820275</v>
      </c>
      <c r="N58" s="36" t="n">
        <v>0.320023829367696</v>
      </c>
      <c r="O58" s="37" t="n">
        <f aca="false">IFERROR(1/N58,"")</f>
        <v>3.12476730865887</v>
      </c>
      <c r="P58" s="36" t="n">
        <v>0.16077632475436</v>
      </c>
      <c r="Q58" s="37" t="n">
        <f aca="false">IFERROR(1/P58,"")</f>
        <v>6.21982124251092</v>
      </c>
      <c r="R58" s="36" t="n">
        <v>0.456758811364714</v>
      </c>
      <c r="S58" s="37" t="n">
        <f aca="false">IFERROR(1/R58,"")</f>
        <v>2.1893392642217</v>
      </c>
    </row>
    <row r="59" customFormat="false" ht="18.75" hidden="false" customHeight="true" outlineLevel="0" collapsed="false">
      <c r="A59" s="42" t="n">
        <v>34</v>
      </c>
      <c r="B59" s="40" t="n">
        <v>46330</v>
      </c>
      <c r="C59" s="41" t="s">
        <v>92</v>
      </c>
      <c r="D59" s="41" t="s">
        <v>84</v>
      </c>
      <c r="E59" s="45" t="n">
        <v>1.74880834391635</v>
      </c>
      <c r="F59" s="45" t="n">
        <v>0.959267725700195</v>
      </c>
      <c r="G59" s="45" t="n">
        <v>2.70807606961655</v>
      </c>
      <c r="H59" s="43" t="n">
        <v>0.934649929245704</v>
      </c>
      <c r="I59" s="44" t="n">
        <f aca="false">IFERROR(1/H59,"")</f>
        <v>1.06991930209318</v>
      </c>
      <c r="J59" s="43" t="n">
        <v>0.751491264967966</v>
      </c>
      <c r="K59" s="44" t="n">
        <f aca="false">IFERROR(1/J59,"")</f>
        <v>1.33068745655031</v>
      </c>
      <c r="L59" s="43" t="n">
        <v>0.508356106741066</v>
      </c>
      <c r="M59" s="44" t="n">
        <f aca="false">IFERROR(1/L59,"")</f>
        <v>1.96712498726676</v>
      </c>
      <c r="N59" s="43" t="n">
        <v>0.287692391732261</v>
      </c>
      <c r="O59" s="44" t="n">
        <f aca="false">IFERROR(1/N59,"")</f>
        <v>3.47593481349567</v>
      </c>
      <c r="P59" s="43" t="n">
        <v>0.138297618800286</v>
      </c>
      <c r="Q59" s="44" t="n">
        <f aca="false">IFERROR(1/P59,"")</f>
        <v>7.23078248689217</v>
      </c>
      <c r="R59" s="43" t="n">
        <v>0.491643893258934</v>
      </c>
      <c r="S59" s="44" t="n">
        <f aca="false">IFERROR(1/R59,"")</f>
        <v>2.03399251716797</v>
      </c>
    </row>
    <row r="60" customFormat="false" ht="18.75" hidden="false" customHeight="true" outlineLevel="0" collapsed="false">
      <c r="A60" s="35" t="n">
        <v>34</v>
      </c>
      <c r="B60" s="33" t="n">
        <v>46330</v>
      </c>
      <c r="C60" s="34" t="s">
        <v>93</v>
      </c>
      <c r="D60" s="34" t="s">
        <v>90</v>
      </c>
      <c r="E60" s="38" t="n">
        <v>1.50800550721459</v>
      </c>
      <c r="F60" s="38" t="n">
        <v>1.01177528155591</v>
      </c>
      <c r="G60" s="38" t="n">
        <v>2.51978078877051</v>
      </c>
      <c r="H60" s="36" t="n">
        <v>0.920965358034294</v>
      </c>
      <c r="I60" s="37" t="n">
        <f aca="false">IFERROR(1/H60,"")</f>
        <v>1.08581717138025</v>
      </c>
      <c r="J60" s="36" t="n">
        <v>0.715296531690508</v>
      </c>
      <c r="K60" s="37" t="n">
        <f aca="false">IFERROR(1/J60,"")</f>
        <v>1.3980215976116</v>
      </c>
      <c r="L60" s="36" t="n">
        <v>0.461251976009507</v>
      </c>
      <c r="M60" s="37" t="n">
        <f aca="false">IFERROR(1/L60,"")</f>
        <v>2.16801239238352</v>
      </c>
      <c r="N60" s="36" t="n">
        <v>0.24666128981293</v>
      </c>
      <c r="O60" s="37" t="n">
        <f aca="false">IFERROR(1/N60,"")</f>
        <v>4.05414242647644</v>
      </c>
      <c r="P60" s="36" t="n">
        <v>0.111480611432087</v>
      </c>
      <c r="Q60" s="37" t="n">
        <f aca="false">IFERROR(1/P60,"")</f>
        <v>8.97016967483346</v>
      </c>
      <c r="R60" s="36" t="n">
        <v>0.538748023990493</v>
      </c>
      <c r="S60" s="37" t="n">
        <f aca="false">IFERROR(1/R60,"")</f>
        <v>1.85615529982463</v>
      </c>
    </row>
    <row r="61" customFormat="false" ht="18.75" hidden="false" customHeight="true" outlineLevel="0" collapsed="false">
      <c r="A61" s="42" t="n">
        <v>34</v>
      </c>
      <c r="B61" s="40" t="n">
        <v>46330</v>
      </c>
      <c r="C61" s="41" t="s">
        <v>91</v>
      </c>
      <c r="D61" s="41" t="s">
        <v>88</v>
      </c>
      <c r="E61" s="45" t="n">
        <v>1.54436283234533</v>
      </c>
      <c r="F61" s="45" t="n">
        <v>1.0638360720526</v>
      </c>
      <c r="G61" s="45" t="n">
        <v>2.60819890439792</v>
      </c>
      <c r="H61" s="43" t="n">
        <v>0.92775491437929</v>
      </c>
      <c r="I61" s="44" t="n">
        <f aca="false">IFERROR(1/H61,"")</f>
        <v>1.07787087354751</v>
      </c>
      <c r="J61" s="43" t="n">
        <v>0.732774068404867</v>
      </c>
      <c r="K61" s="44" t="n">
        <f aca="false">IFERROR(1/J61,"")</f>
        <v>1.36467711279254</v>
      </c>
      <c r="L61" s="43" t="n">
        <v>0.483628179778975</v>
      </c>
      <c r="M61" s="44" t="n">
        <f aca="false">IFERROR(1/L61,"")</f>
        <v>2.06770416160823</v>
      </c>
      <c r="N61" s="43" t="n">
        <v>0.265784343141167</v>
      </c>
      <c r="O61" s="44" t="n">
        <f aca="false">IFERROR(1/N61,"")</f>
        <v>3.76244886429922</v>
      </c>
      <c r="P61" s="43" t="n">
        <v>0.123738937062844</v>
      </c>
      <c r="Q61" s="44" t="n">
        <f aca="false">IFERROR(1/P61,"")</f>
        <v>8.08153054920878</v>
      </c>
      <c r="R61" s="43" t="n">
        <v>0.516371820221025</v>
      </c>
      <c r="S61" s="44" t="n">
        <f aca="false">IFERROR(1/R61,"")</f>
        <v>1.93658902527246</v>
      </c>
    </row>
    <row r="62" customFormat="false" ht="18.75" hidden="false" customHeight="true" outlineLevel="0" collapsed="false">
      <c r="A62" s="35" t="n">
        <v>34</v>
      </c>
      <c r="B62" s="33" t="n">
        <v>46330</v>
      </c>
      <c r="C62" s="34" t="s">
        <v>83</v>
      </c>
      <c r="D62" s="34" t="s">
        <v>95</v>
      </c>
      <c r="E62" s="38" t="n">
        <v>1.15773579946985</v>
      </c>
      <c r="F62" s="38" t="n">
        <v>1.65500802661734</v>
      </c>
      <c r="G62" s="38" t="n">
        <v>2.81274382608719</v>
      </c>
      <c r="H62" s="36" t="n">
        <v>0.941311896190625</v>
      </c>
      <c r="I62" s="37" t="n">
        <f aca="false">IFERROR(1/H62,"")</f>
        <v>1.06234713918615</v>
      </c>
      <c r="J62" s="36" t="n">
        <v>0.769733589577623</v>
      </c>
      <c r="K62" s="37" t="n">
        <f aca="false">IFERROR(1/J62,"")</f>
        <v>1.29915078871474</v>
      </c>
      <c r="L62" s="36" t="n">
        <v>0.533581201490536</v>
      </c>
      <c r="M62" s="37" t="n">
        <f aca="false">IFERROR(1/L62,"")</f>
        <v>1.87412899331263</v>
      </c>
      <c r="N62" s="36" t="n">
        <v>0.31090120724107</v>
      </c>
      <c r="O62" s="37" t="n">
        <f aca="false">IFERROR(1/N62,"")</f>
        <v>3.21645582811974</v>
      </c>
      <c r="P62" s="36" t="n">
        <v>0.154314990292485</v>
      </c>
      <c r="Q62" s="37" t="n">
        <f aca="false">IFERROR(1/P62,"")</f>
        <v>6.48025184140974</v>
      </c>
      <c r="R62" s="36" t="n">
        <v>0.466418798509464</v>
      </c>
      <c r="S62" s="37" t="n">
        <f aca="false">IFERROR(1/R62,"")</f>
        <v>2.14399591782257</v>
      </c>
    </row>
    <row r="63" customFormat="false" ht="18.75" hidden="false" customHeight="true" outlineLevel="0" collapsed="false">
      <c r="A63" s="42" t="n">
        <v>34</v>
      </c>
      <c r="B63" s="40" t="n">
        <v>46330</v>
      </c>
      <c r="C63" s="41" t="s">
        <v>96</v>
      </c>
      <c r="D63" s="41" t="s">
        <v>103</v>
      </c>
      <c r="E63" s="45" t="n">
        <v>1.53869488062325</v>
      </c>
      <c r="F63" s="45" t="n">
        <v>0.937999025126795</v>
      </c>
      <c r="G63" s="45" t="n">
        <v>2.47669390575004</v>
      </c>
      <c r="H63" s="43" t="n">
        <v>0.917404273330489</v>
      </c>
      <c r="I63" s="44" t="n">
        <f aca="false">IFERROR(1/H63,"")</f>
        <v>1.09003198379452</v>
      </c>
      <c r="J63" s="43" t="n">
        <v>0.706463183502398</v>
      </c>
      <c r="K63" s="44" t="n">
        <f aca="false">IFERROR(1/J63,"")</f>
        <v>1.41550193039409</v>
      </c>
      <c r="L63" s="43" t="n">
        <v>0.45019609475357</v>
      </c>
      <c r="M63" s="44" t="n">
        <f aca="false">IFERROR(1/L63,"")</f>
        <v>2.22125427486745</v>
      </c>
      <c r="N63" s="43" t="n">
        <v>0.237454605922234</v>
      </c>
      <c r="O63" s="44" t="n">
        <f aca="false">IFERROR(1/N63,"")</f>
        <v>4.21133123999077</v>
      </c>
      <c r="P63" s="43" t="n">
        <v>0.105730355716969</v>
      </c>
      <c r="Q63" s="44" t="n">
        <f aca="false">IFERROR(1/P63,"")</f>
        <v>9.45802171210806</v>
      </c>
      <c r="R63" s="43" t="n">
        <v>0.54980390524643</v>
      </c>
      <c r="S63" s="44" t="n">
        <f aca="false">IFERROR(1/R63,"")</f>
        <v>1.81883029650687</v>
      </c>
    </row>
    <row r="64" customFormat="false" ht="18.75" hidden="false" customHeight="true" outlineLevel="0" collapsed="false">
      <c r="A64" s="35" t="n">
        <v>34</v>
      </c>
      <c r="B64" s="33" t="n">
        <v>46330</v>
      </c>
      <c r="C64" s="34" t="s">
        <v>8</v>
      </c>
      <c r="D64" s="34" t="s">
        <v>105</v>
      </c>
      <c r="E64" s="38" t="n">
        <v>2.15887836230895</v>
      </c>
      <c r="F64" s="38" t="n">
        <v>0.811157265070579</v>
      </c>
      <c r="G64" s="38" t="n">
        <v>2.97003562737953</v>
      </c>
      <c r="H64" s="36" t="n">
        <v>0.949760528371327</v>
      </c>
      <c r="I64" s="37" t="n">
        <f aca="false">IFERROR(1/H64,"")</f>
        <v>1.0528969883754</v>
      </c>
      <c r="J64" s="36" t="n">
        <v>0.795295805238504</v>
      </c>
      <c r="K64" s="37" t="n">
        <f aca="false">IFERROR(1/J64,"")</f>
        <v>1.25739378155038</v>
      </c>
      <c r="L64" s="36" t="n">
        <v>0.57009025941437</v>
      </c>
      <c r="M64" s="37" t="n">
        <f aca="false">IFERROR(1/L64,"")</f>
        <v>1.75410820214199</v>
      </c>
      <c r="N64" s="36" t="n">
        <v>0.346078118978823</v>
      </c>
      <c r="O64" s="37" t="n">
        <f aca="false">IFERROR(1/N64,"")</f>
        <v>2.88952102187423</v>
      </c>
      <c r="P64" s="36" t="n">
        <v>0.179738643415476</v>
      </c>
      <c r="Q64" s="37" t="n">
        <f aca="false">IFERROR(1/P64,"")</f>
        <v>5.56363384633123</v>
      </c>
      <c r="R64" s="36" t="n">
        <v>0.42990974058563</v>
      </c>
      <c r="S64" s="37" t="n">
        <f aca="false">IFERROR(1/R64,"")</f>
        <v>2.32606965042891</v>
      </c>
    </row>
    <row r="65" customFormat="false" ht="18.75" hidden="false" customHeight="true" outlineLevel="0" collapsed="false">
      <c r="A65" s="42" t="n">
        <v>34</v>
      </c>
      <c r="B65" s="40" t="n">
        <v>46330</v>
      </c>
      <c r="C65" s="41" t="s">
        <v>100</v>
      </c>
      <c r="D65" s="41" t="s">
        <v>99</v>
      </c>
      <c r="E65" s="45" t="n">
        <v>1.86628776141164</v>
      </c>
      <c r="F65" s="45" t="n">
        <v>0.915276644472003</v>
      </c>
      <c r="G65" s="45" t="n">
        <v>2.78156440588364</v>
      </c>
      <c r="H65" s="43" t="n">
        <v>0.939303439333494</v>
      </c>
      <c r="I65" s="44" t="n">
        <f aca="false">IFERROR(1/H65,"")</f>
        <v>1.06461869309195</v>
      </c>
      <c r="J65" s="43" t="n">
        <v>0.764527412229029</v>
      </c>
      <c r="K65" s="44" t="n">
        <f aca="false">IFERROR(1/J65,"")</f>
        <v>1.3079975734087</v>
      </c>
      <c r="L65" s="43" t="n">
        <v>0.526147900307121</v>
      </c>
      <c r="M65" s="44" t="n">
        <f aca="false">IFERROR(1/L65,"")</f>
        <v>1.90060627328606</v>
      </c>
      <c r="N65" s="43" t="n">
        <v>0.303969756244684</v>
      </c>
      <c r="O65" s="44" t="n">
        <f aca="false">IFERROR(1/N65,"")</f>
        <v>3.28980097347263</v>
      </c>
      <c r="P65" s="43" t="n">
        <v>0.149466783851925</v>
      </c>
      <c r="Q65" s="44" t="n">
        <f aca="false">IFERROR(1/P65,"")</f>
        <v>6.69044970547228</v>
      </c>
      <c r="R65" s="43" t="n">
        <v>0.473852099692879</v>
      </c>
      <c r="S65" s="44" t="n">
        <f aca="false">IFERROR(1/R65,"")</f>
        <v>2.11036312944089</v>
      </c>
    </row>
    <row r="66" customFormat="false" ht="18.75" hidden="false" customHeight="true" outlineLevel="0" collapsed="false">
      <c r="A66" s="35" t="n">
        <v>34</v>
      </c>
      <c r="B66" s="33" t="n">
        <v>46330</v>
      </c>
      <c r="C66" s="34" t="s">
        <v>102</v>
      </c>
      <c r="D66" s="34" t="s">
        <v>104</v>
      </c>
      <c r="E66" s="38" t="n">
        <v>2.47313195027988</v>
      </c>
      <c r="F66" s="38" t="n">
        <v>0.668923160853708</v>
      </c>
      <c r="G66" s="38" t="n">
        <v>3.14205511113359</v>
      </c>
      <c r="H66" s="36" t="n">
        <v>0.957664003917621</v>
      </c>
      <c r="I66" s="37" t="n">
        <f aca="false">IFERROR(1/H66,"")</f>
        <v>1.04420756748629</v>
      </c>
      <c r="J66" s="36" t="n">
        <v>0.820306063965283</v>
      </c>
      <c r="K66" s="37" t="n">
        <f aca="false">IFERROR(1/J66,"")</f>
        <v>1.21905718356645</v>
      </c>
      <c r="L66" s="36" t="n">
        <v>0.607955069493217</v>
      </c>
      <c r="M66" s="37" t="n">
        <f aca="false">IFERROR(1/L66,"")</f>
        <v>1.64485839526527</v>
      </c>
      <c r="N66" s="36" t="n">
        <v>0.384635055903891</v>
      </c>
      <c r="O66" s="37" t="n">
        <f aca="false">IFERROR(1/N66,"")</f>
        <v>2.59986702889055</v>
      </c>
      <c r="P66" s="36" t="n">
        <v>0.209186596455552</v>
      </c>
      <c r="Q66" s="37" t="n">
        <f aca="false">IFERROR(1/P66,"")</f>
        <v>4.78042100662258</v>
      </c>
      <c r="R66" s="36" t="n">
        <v>0.392044930506783</v>
      </c>
      <c r="S66" s="37" t="n">
        <f aca="false">IFERROR(1/R66,"")</f>
        <v>2.55072804718412</v>
      </c>
    </row>
    <row r="67" customFormat="false" ht="18.75" hidden="false" customHeight="true" outlineLevel="0" collapsed="false">
      <c r="A67" s="42" t="n">
        <v>34</v>
      </c>
      <c r="B67" s="40" t="n">
        <v>46330</v>
      </c>
      <c r="C67" s="41" t="s">
        <v>87</v>
      </c>
      <c r="D67" s="41" t="s">
        <v>101</v>
      </c>
      <c r="E67" s="45" t="n">
        <v>1.28372588105198</v>
      </c>
      <c r="F67" s="45" t="n">
        <v>0.8689596299613</v>
      </c>
      <c r="G67" s="45" t="n">
        <v>2.15268551101328</v>
      </c>
      <c r="H67" s="43" t="n">
        <v>0.885350444191249</v>
      </c>
      <c r="I67" s="44" t="n">
        <f aca="false">IFERROR(1/H67,"")</f>
        <v>1.12949624248902</v>
      </c>
      <c r="J67" s="43" t="n">
        <v>0.632225165434741</v>
      </c>
      <c r="K67" s="44" t="n">
        <f aca="false">IFERROR(1/J67,"")</f>
        <v>1.58171495643069</v>
      </c>
      <c r="L67" s="43" t="n">
        <v>0.364574078032196</v>
      </c>
      <c r="M67" s="44" t="n">
        <f aca="false">IFERROR(1/L67,"")</f>
        <v>2.74292677471076</v>
      </c>
      <c r="N67" s="43" t="n">
        <v>0.171425579880949</v>
      </c>
      <c r="O67" s="44" t="n">
        <f aca="false">IFERROR(1/N67,"")</f>
        <v>5.83343513082747</v>
      </c>
      <c r="P67" s="43" t="n">
        <v>0.0674785278183379</v>
      </c>
      <c r="Q67" s="44" t="n">
        <f aca="false">IFERROR(1/P67,"")</f>
        <v>14.8195290017611</v>
      </c>
      <c r="R67" s="43" t="n">
        <v>0.635425921967804</v>
      </c>
      <c r="S67" s="44" t="n">
        <f aca="false">IFERROR(1/R67,"")</f>
        <v>1.57374756903712</v>
      </c>
    </row>
    <row r="68" customFormat="false" ht="18.75" hidden="false" customHeight="true" outlineLevel="0" collapsed="false">
      <c r="A68" s="35" t="n">
        <v>34</v>
      </c>
      <c r="B68" s="33" t="n">
        <v>46330</v>
      </c>
      <c r="C68" s="34" t="s">
        <v>106</v>
      </c>
      <c r="D68" s="34" t="s">
        <v>98</v>
      </c>
      <c r="E68" s="38" t="n">
        <v>1.10138318243732</v>
      </c>
      <c r="F68" s="38" t="n">
        <v>1.19873742085733</v>
      </c>
      <c r="G68" s="38" t="n">
        <v>2.30012060329465</v>
      </c>
      <c r="H68" s="36" t="n">
        <v>0.901307846789917</v>
      </c>
      <c r="I68" s="37" t="n">
        <f aca="false">IFERROR(1/H68,"")</f>
        <v>1.10949882835436</v>
      </c>
      <c r="J68" s="36" t="n">
        <v>0.667619277250293</v>
      </c>
      <c r="K68" s="37" t="n">
        <f aca="false">IFERROR(1/J68,"")</f>
        <v>1.49785968451761</v>
      </c>
      <c r="L68" s="36" t="n">
        <v>0.403993335583998</v>
      </c>
      <c r="M68" s="37" t="n">
        <f aca="false">IFERROR(1/L68,"")</f>
        <v>2.47528835730529</v>
      </c>
      <c r="N68" s="36" t="n">
        <v>0.200677576457495</v>
      </c>
      <c r="O68" s="37" t="n">
        <f aca="false">IFERROR(1/N68,"")</f>
        <v>4.98311778352479</v>
      </c>
      <c r="P68" s="36" t="n">
        <v>0.0837648403279233</v>
      </c>
      <c r="Q68" s="37" t="n">
        <f aca="false">IFERROR(1/P68,"")</f>
        <v>11.9381830859486</v>
      </c>
      <c r="R68" s="36" t="n">
        <v>0.596006664416002</v>
      </c>
      <c r="S68" s="37" t="n">
        <f aca="false">IFERROR(1/R68,"")</f>
        <v>1.67783358761576</v>
      </c>
    </row>
    <row r="69" customFormat="false" ht="18.75" hidden="false" customHeight="true" outlineLevel="0" collapsed="false">
      <c r="A69" s="42" t="n">
        <v>35</v>
      </c>
      <c r="B69" s="40" t="n">
        <v>46344</v>
      </c>
      <c r="C69" s="41" t="s">
        <v>101</v>
      </c>
      <c r="D69" s="41" t="s">
        <v>93</v>
      </c>
      <c r="E69" s="45" t="n">
        <v>1.2678716295447</v>
      </c>
      <c r="F69" s="45" t="n">
        <v>1.06474141103114</v>
      </c>
      <c r="G69" s="45" t="n">
        <v>2.33261304057584</v>
      </c>
      <c r="H69" s="43" t="n">
        <v>0.904496925482748</v>
      </c>
      <c r="I69" s="44" t="n">
        <f aca="false">IFERROR(1/H69,"")</f>
        <v>1.10558695317431</v>
      </c>
      <c r="J69" s="43" t="n">
        <v>0.675058677319068</v>
      </c>
      <c r="K69" s="44" t="n">
        <f aca="false">IFERROR(1/J69,"")</f>
        <v>1.48135270843626</v>
      </c>
      <c r="L69" s="43" t="n">
        <v>0.412590963764319</v>
      </c>
      <c r="M69" s="44" t="n">
        <f aca="false">IFERROR(1/L69,"")</f>
        <v>2.42370795248735</v>
      </c>
      <c r="N69" s="43" t="n">
        <v>0.207315952406272</v>
      </c>
      <c r="O69" s="44" t="n">
        <f aca="false">IFERROR(1/N69,"")</f>
        <v>4.82355548810023</v>
      </c>
      <c r="P69" s="43" t="n">
        <v>0.0876090964194666</v>
      </c>
      <c r="Q69" s="44" t="n">
        <f aca="false">IFERROR(1/P69,"")</f>
        <v>11.4143398444845</v>
      </c>
      <c r="R69" s="43" t="n">
        <v>0.587409036235681</v>
      </c>
      <c r="S69" s="44" t="n">
        <f aca="false">IFERROR(1/R69,"")</f>
        <v>1.70239124411218</v>
      </c>
    </row>
    <row r="70" customFormat="false" ht="18.75" hidden="false" customHeight="true" outlineLevel="0" collapsed="false">
      <c r="A70" s="35" t="n">
        <v>35</v>
      </c>
      <c r="B70" s="33" t="n">
        <v>46344</v>
      </c>
      <c r="C70" s="34" t="s">
        <v>99</v>
      </c>
      <c r="D70" s="34" t="s">
        <v>88</v>
      </c>
      <c r="E70" s="38" t="n">
        <v>1.44278247438272</v>
      </c>
      <c r="F70" s="38" t="n">
        <v>1.35004612240661</v>
      </c>
      <c r="G70" s="38" t="n">
        <v>2.79282859678933</v>
      </c>
      <c r="H70" s="36" t="n">
        <v>0.940153793033443</v>
      </c>
      <c r="I70" s="37" t="n">
        <f aca="false">IFERROR(1/H70,"")</f>
        <v>1.06365576292945</v>
      </c>
      <c r="J70" s="36" t="n">
        <v>0.766297500130433</v>
      </c>
      <c r="K70" s="37" t="n">
        <f aca="false">IFERROR(1/J70,"")</f>
        <v>1.30497620027442</v>
      </c>
      <c r="L70" s="36" t="n">
        <v>0.528836149655343</v>
      </c>
      <c r="M70" s="37" t="n">
        <f aca="false">IFERROR(1/L70,"")</f>
        <v>1.89094486194207</v>
      </c>
      <c r="N70" s="36" t="n">
        <v>0.306468307956884</v>
      </c>
      <c r="O70" s="37" t="n">
        <f aca="false">IFERROR(1/N70,"")</f>
        <v>3.26298013215999</v>
      </c>
      <c r="P70" s="36" t="n">
        <v>0.151209179177543</v>
      </c>
      <c r="Q70" s="37" t="n">
        <f aca="false">IFERROR(1/P70,"")</f>
        <v>6.61335512459761</v>
      </c>
      <c r="R70" s="36" t="n">
        <v>0.471163850344657</v>
      </c>
      <c r="S70" s="37" t="n">
        <f aca="false">IFERROR(1/R70,"")</f>
        <v>2.12240391377331</v>
      </c>
    </row>
    <row r="71" customFormat="false" ht="18.75" hidden="false" customHeight="true" outlineLevel="0" collapsed="false">
      <c r="A71" s="42" t="n">
        <v>35</v>
      </c>
      <c r="B71" s="40" t="n">
        <v>46344</v>
      </c>
      <c r="C71" s="41" t="s">
        <v>96</v>
      </c>
      <c r="D71" s="41" t="s">
        <v>102</v>
      </c>
      <c r="E71" s="45" t="n">
        <v>1.03893312622478</v>
      </c>
      <c r="F71" s="45" t="n">
        <v>1.15042507468384</v>
      </c>
      <c r="G71" s="45" t="n">
        <v>2.18935820090862</v>
      </c>
      <c r="H71" s="43" t="n">
        <v>0.88958356824251</v>
      </c>
      <c r="I71" s="44" t="n">
        <f aca="false">IFERROR(1/H71,"")</f>
        <v>1.12412148301664</v>
      </c>
      <c r="J71" s="43" t="n">
        <v>0.641256245437152</v>
      </c>
      <c r="K71" s="44" t="n">
        <f aca="false">IFERROR(1/J71,"")</f>
        <v>1.55943900291885</v>
      </c>
      <c r="L71" s="43" t="n">
        <v>0.374431475150112</v>
      </c>
      <c r="M71" s="44" t="n">
        <f aca="false">IFERROR(1/L71,"")</f>
        <v>2.67071564856852</v>
      </c>
      <c r="N71" s="43" t="n">
        <v>0.178559120331179</v>
      </c>
      <c r="O71" s="44" t="n">
        <f aca="false">IFERROR(1/N71,"")</f>
        <v>5.60038601302061</v>
      </c>
      <c r="P71" s="43" t="n">
        <v>0.0713504065234595</v>
      </c>
      <c r="Q71" s="44" t="n">
        <f aca="false">IFERROR(1/P71,"")</f>
        <v>14.0153371049289</v>
      </c>
      <c r="R71" s="43" t="n">
        <v>0.625568524849888</v>
      </c>
      <c r="S71" s="44" t="n">
        <f aca="false">IFERROR(1/R71,"")</f>
        <v>1.59854589909229</v>
      </c>
    </row>
    <row r="72" customFormat="false" ht="18.75" hidden="false" customHeight="true" outlineLevel="0" collapsed="false">
      <c r="A72" s="35" t="n">
        <v>35</v>
      </c>
      <c r="B72" s="33" t="n">
        <v>46344</v>
      </c>
      <c r="C72" s="34" t="s">
        <v>8</v>
      </c>
      <c r="D72" s="34" t="s">
        <v>92</v>
      </c>
      <c r="E72" s="38" t="n">
        <v>1.91858700492114</v>
      </c>
      <c r="F72" s="38" t="n">
        <v>0.819092072300083</v>
      </c>
      <c r="G72" s="38" t="n">
        <v>2.73767907722122</v>
      </c>
      <c r="H72" s="36" t="n">
        <v>0.936477213568855</v>
      </c>
      <c r="I72" s="37" t="n">
        <f aca="false">IFERROR(1/H72,"")</f>
        <v>1.06783164129436</v>
      </c>
      <c r="J72" s="36" t="n">
        <v>0.756909337624747</v>
      </c>
      <c r="K72" s="37" t="n">
        <f aca="false">IFERROR(1/J72,"")</f>
        <v>1.32116219247353</v>
      </c>
      <c r="L72" s="36" t="n">
        <v>0.515569988483493</v>
      </c>
      <c r="M72" s="37" t="n">
        <f aca="false">IFERROR(1/L72,"")</f>
        <v>1.93960087347485</v>
      </c>
      <c r="N72" s="36" t="n">
        <v>0.294239069373061</v>
      </c>
      <c r="O72" s="37" t="n">
        <f aca="false">IFERROR(1/N72,"")</f>
        <v>3.39859693728204</v>
      </c>
      <c r="P72" s="36" t="n">
        <v>0.142752908712205</v>
      </c>
      <c r="Q72" s="37" t="n">
        <f aca="false">IFERROR(1/P72,"")</f>
        <v>7.00511120243467</v>
      </c>
      <c r="R72" s="36" t="n">
        <v>0.484430011516507</v>
      </c>
      <c r="S72" s="37" t="n">
        <f aca="false">IFERROR(1/R72,"")</f>
        <v>2.06428168409613</v>
      </c>
    </row>
    <row r="73" customFormat="false" ht="18.75" hidden="false" customHeight="true" outlineLevel="0" collapsed="false">
      <c r="A73" s="42" t="n">
        <v>35</v>
      </c>
      <c r="B73" s="40" t="n">
        <v>46344</v>
      </c>
      <c r="C73" s="41" t="s">
        <v>105</v>
      </c>
      <c r="D73" s="41" t="s">
        <v>103</v>
      </c>
      <c r="E73" s="45" t="n">
        <v>1.53067154986497</v>
      </c>
      <c r="F73" s="45" t="n">
        <v>1.15425036676866</v>
      </c>
      <c r="G73" s="45" t="n">
        <v>2.68492191663363</v>
      </c>
      <c r="H73" s="43" t="n">
        <v>0.933189686879786</v>
      </c>
      <c r="I73" s="44" t="n">
        <f aca="false">IFERROR(1/H73,"")</f>
        <v>1.07159349707732</v>
      </c>
      <c r="J73" s="43" t="n">
        <v>0.747175887144364</v>
      </c>
      <c r="K73" s="44" t="n">
        <f aca="false">IFERROR(1/J73,"")</f>
        <v>1.33837295502389</v>
      </c>
      <c r="L73" s="43" t="n">
        <v>0.502676063596337</v>
      </c>
      <c r="M73" s="44" t="n">
        <f aca="false">IFERROR(1/L73,"")</f>
        <v>1.98935273115178</v>
      </c>
      <c r="N73" s="43" t="n">
        <v>0.282587428900334</v>
      </c>
      <c r="O73" s="44" t="n">
        <f aca="false">IFERROR(1/N73,"")</f>
        <v>3.53872783333434</v>
      </c>
      <c r="P73" s="43" t="n">
        <v>0.134856851418587</v>
      </c>
      <c r="Q73" s="44" t="n">
        <f aca="false">IFERROR(1/P73,"")</f>
        <v>7.41527026236187</v>
      </c>
      <c r="R73" s="43" t="n">
        <v>0.497323936403664</v>
      </c>
      <c r="S73" s="44" t="n">
        <f aca="false">IFERROR(1/R73,"")</f>
        <v>2.01076185319246</v>
      </c>
    </row>
    <row r="74" customFormat="false" ht="18.75" hidden="false" customHeight="true" outlineLevel="0" collapsed="false">
      <c r="A74" s="35" t="n">
        <v>35</v>
      </c>
      <c r="B74" s="33" t="n">
        <v>46344</v>
      </c>
      <c r="C74" s="34" t="s">
        <v>95</v>
      </c>
      <c r="D74" s="34" t="s">
        <v>90</v>
      </c>
      <c r="E74" s="38" t="n">
        <v>1.52664985495557</v>
      </c>
      <c r="F74" s="38" t="n">
        <v>1.08365344103429</v>
      </c>
      <c r="G74" s="38" t="n">
        <v>2.61030329598986</v>
      </c>
      <c r="H74" s="36" t="n">
        <v>0.927916593662331</v>
      </c>
      <c r="I74" s="37" t="n">
        <f aca="false">IFERROR(1/H74,"")</f>
        <v>1.07768306637687</v>
      </c>
      <c r="J74" s="36" t="n">
        <v>0.733171162620756</v>
      </c>
      <c r="K74" s="37" t="n">
        <f aca="false">IFERROR(1/J74,"")</f>
        <v>1.36393798744818</v>
      </c>
      <c r="L74" s="36" t="n">
        <v>0.484155207711208</v>
      </c>
      <c r="M74" s="37" t="n">
        <f aca="false">IFERROR(1/L74,"")</f>
        <v>2.06545335890818</v>
      </c>
      <c r="N74" s="36" t="n">
        <v>0.266242747828279</v>
      </c>
      <c r="O74" s="37" t="n">
        <f aca="false">IFERROR(1/N74,"")</f>
        <v>3.75597085049986</v>
      </c>
      <c r="P74" s="36" t="n">
        <v>0.12403799002076</v>
      </c>
      <c r="Q74" s="37" t="n">
        <f aca="false">IFERROR(1/P74,"")</f>
        <v>8.06204615080131</v>
      </c>
      <c r="R74" s="36" t="n">
        <v>0.515844792288792</v>
      </c>
      <c r="S74" s="37" t="n">
        <f aca="false">IFERROR(1/R74,"")</f>
        <v>1.9385675981394</v>
      </c>
    </row>
    <row r="75" customFormat="false" ht="18.75" hidden="false" customHeight="true" outlineLevel="0" collapsed="false">
      <c r="A75" s="42" t="n">
        <v>35</v>
      </c>
      <c r="B75" s="40" t="n">
        <v>46344</v>
      </c>
      <c r="C75" s="41" t="s">
        <v>104</v>
      </c>
      <c r="D75" s="41" t="s">
        <v>83</v>
      </c>
      <c r="E75" s="45" t="n">
        <v>1.88519878100288</v>
      </c>
      <c r="F75" s="45" t="n">
        <v>1.07538709247611</v>
      </c>
      <c r="G75" s="45" t="n">
        <v>2.96058587347899</v>
      </c>
      <c r="H75" s="43" t="n">
        <v>0.949446650438996</v>
      </c>
      <c r="I75" s="44" t="n">
        <f aca="false">IFERROR(1/H75,"")</f>
        <v>1.05324506599463</v>
      </c>
      <c r="J75" s="43" t="n">
        <v>0.793659691646755</v>
      </c>
      <c r="K75" s="44" t="n">
        <f aca="false">IFERROR(1/J75,"")</f>
        <v>1.25998587369999</v>
      </c>
      <c r="L75" s="43" t="n">
        <v>0.567929871254082</v>
      </c>
      <c r="M75" s="44" t="n">
        <f aca="false">IFERROR(1/L75,"")</f>
        <v>1.76078077702065</v>
      </c>
      <c r="N75" s="43" t="n">
        <v>0.343945360008054</v>
      </c>
      <c r="O75" s="44" t="n">
        <f aca="false">IFERROR(1/N75,"")</f>
        <v>2.90743855354404</v>
      </c>
      <c r="P75" s="43" t="n">
        <v>0.178161499018757</v>
      </c>
      <c r="Q75" s="44" t="n">
        <f aca="false">IFERROR(1/P75,"")</f>
        <v>5.61288496957876</v>
      </c>
      <c r="R75" s="43" t="n">
        <v>0.432070128745918</v>
      </c>
      <c r="S75" s="44" t="n">
        <f aca="false">IFERROR(1/R75,"")</f>
        <v>2.31443910020463</v>
      </c>
    </row>
    <row r="76" customFormat="false" ht="18.75" hidden="false" customHeight="true" outlineLevel="0" collapsed="false">
      <c r="A76" s="35" t="n">
        <v>35</v>
      </c>
      <c r="B76" s="33" t="n">
        <v>46344</v>
      </c>
      <c r="C76" s="34" t="s">
        <v>87</v>
      </c>
      <c r="D76" s="34" t="s">
        <v>98</v>
      </c>
      <c r="E76" s="38" t="n">
        <v>1.26688316182276</v>
      </c>
      <c r="F76" s="38" t="n">
        <v>0.964506320766411</v>
      </c>
      <c r="G76" s="38" t="n">
        <v>2.23138948258918</v>
      </c>
      <c r="H76" s="36" t="n">
        <v>0.89416206288488</v>
      </c>
      <c r="I76" s="37" t="n">
        <f aca="false">IFERROR(1/H76,"")</f>
        <v>1.11836549716016</v>
      </c>
      <c r="J76" s="36" t="n">
        <v>0.651475373367409</v>
      </c>
      <c r="K76" s="37" t="n">
        <f aca="false">IFERROR(1/J76,"")</f>
        <v>1.53497743871899</v>
      </c>
      <c r="L76" s="36" t="n">
        <v>0.38569080586405</v>
      </c>
      <c r="M76" s="37" t="n">
        <f aca="false">IFERROR(1/L76,"")</f>
        <v>2.59275042286719</v>
      </c>
      <c r="N76" s="36" t="n">
        <v>0.18685482681029</v>
      </c>
      <c r="O76" s="37" t="n">
        <f aca="false">IFERROR(1/N76,"")</f>
        <v>5.35174829074808</v>
      </c>
      <c r="P76" s="36" t="n">
        <v>0.0759346431275823</v>
      </c>
      <c r="Q76" s="37" t="n">
        <f aca="false">IFERROR(1/P76,"")</f>
        <v>13.1692197238597</v>
      </c>
      <c r="R76" s="36" t="n">
        <v>0.61430919413595</v>
      </c>
      <c r="S76" s="37" t="n">
        <f aca="false">IFERROR(1/R76,"")</f>
        <v>1.62784475561454</v>
      </c>
    </row>
    <row r="77" customFormat="false" ht="18.75" hidden="false" customHeight="true" outlineLevel="0" collapsed="false">
      <c r="A77" s="42" t="n">
        <v>35</v>
      </c>
      <c r="B77" s="40" t="n">
        <v>46344</v>
      </c>
      <c r="C77" s="41" t="s">
        <v>84</v>
      </c>
      <c r="D77" s="41" t="s">
        <v>100</v>
      </c>
      <c r="E77" s="45" t="n">
        <v>1.3800005003211</v>
      </c>
      <c r="F77" s="45" t="n">
        <v>1.21170755720486</v>
      </c>
      <c r="G77" s="45" t="n">
        <v>2.59170805752595</v>
      </c>
      <c r="H77" s="43" t="n">
        <v>0.926579071877748</v>
      </c>
      <c r="I77" s="44" t="n">
        <f aca="false">IFERROR(1/H77,"")</f>
        <v>1.07923870757566</v>
      </c>
      <c r="J77" s="43" t="n">
        <v>0.729539397144922</v>
      </c>
      <c r="K77" s="44" t="n">
        <f aca="false">IFERROR(1/J77,"")</f>
        <v>1.37072789202822</v>
      </c>
      <c r="L77" s="43" t="n">
        <v>0.479487399801998</v>
      </c>
      <c r="M77" s="44" t="n">
        <f aca="false">IFERROR(1/L77,"")</f>
        <v>2.08556053905263</v>
      </c>
      <c r="N77" s="43" t="n">
        <v>0.262195856125749</v>
      </c>
      <c r="O77" s="44" t="n">
        <f aca="false">IFERROR(1/N77,"")</f>
        <v>3.8139428089222</v>
      </c>
      <c r="P77" s="43" t="n">
        <v>0.121406627949416</v>
      </c>
      <c r="Q77" s="44" t="n">
        <f aca="false">IFERROR(1/P77,"")</f>
        <v>8.23678259490618</v>
      </c>
      <c r="R77" s="43" t="n">
        <v>0.520512600198002</v>
      </c>
      <c r="S77" s="44" t="n">
        <f aca="false">IFERROR(1/R77,"")</f>
        <v>1.92118307917926</v>
      </c>
    </row>
    <row r="78" customFormat="false" ht="18.75" hidden="false" customHeight="true" outlineLevel="0" collapsed="false">
      <c r="A78" s="35" t="n">
        <v>35</v>
      </c>
      <c r="B78" s="33" t="n">
        <v>46344</v>
      </c>
      <c r="C78" s="34" t="s">
        <v>106</v>
      </c>
      <c r="D78" s="34" t="s">
        <v>91</v>
      </c>
      <c r="E78" s="38" t="n">
        <v>1.23658559586631</v>
      </c>
      <c r="F78" s="38" t="n">
        <v>1.14653071983901</v>
      </c>
      <c r="G78" s="38" t="n">
        <v>2.38311631570531</v>
      </c>
      <c r="H78" s="36" t="n">
        <v>0.909273874013639</v>
      </c>
      <c r="I78" s="37" t="n">
        <f aca="false">IFERROR(1/H78,"")</f>
        <v>1.0997786569913</v>
      </c>
      <c r="J78" s="36" t="n">
        <v>0.686328707758169</v>
      </c>
      <c r="K78" s="37" t="n">
        <f aca="false">IFERROR(1/J78,"")</f>
        <v>1.4570277895943</v>
      </c>
      <c r="L78" s="36" t="n">
        <v>0.425874202020864</v>
      </c>
      <c r="M78" s="37" t="n">
        <f aca="false">IFERROR(1/L78,"")</f>
        <v>2.34811123861175</v>
      </c>
      <c r="N78" s="36" t="n">
        <v>0.217755842051092</v>
      </c>
      <c r="O78" s="37" t="n">
        <f aca="false">IFERROR(1/N78,"")</f>
        <v>4.59229929530604</v>
      </c>
      <c r="P78" s="36" t="n">
        <v>0.0937632136943533</v>
      </c>
      <c r="Q78" s="37" t="n">
        <f aca="false">IFERROR(1/P78,"")</f>
        <v>10.6651634537589</v>
      </c>
      <c r="R78" s="36" t="n">
        <v>0.574125797979136</v>
      </c>
      <c r="S78" s="37" t="n">
        <f aca="false">IFERROR(1/R78,"")</f>
        <v>1.74177855013639</v>
      </c>
    </row>
    <row r="79" customFormat="false" ht="18.75" hidden="false" customHeight="true" outlineLevel="0" collapsed="false">
      <c r="A79" s="42" t="n">
        <v>36</v>
      </c>
      <c r="B79" s="40" t="n">
        <v>46348</v>
      </c>
      <c r="C79" s="41" t="s">
        <v>92</v>
      </c>
      <c r="D79" s="41" t="s">
        <v>104</v>
      </c>
      <c r="E79" s="45" t="n">
        <v>1.93481889987582</v>
      </c>
      <c r="F79" s="45" t="n">
        <v>0.884479621480086</v>
      </c>
      <c r="G79" s="45" t="n">
        <v>2.81929852135591</v>
      </c>
      <c r="H79" s="43" t="n">
        <v>0.94155412823252</v>
      </c>
      <c r="I79" s="44" t="n">
        <f aca="false">IFERROR(1/H79,"")</f>
        <v>1.06207383093014</v>
      </c>
      <c r="J79" s="43" t="n">
        <v>0.770996612456904</v>
      </c>
      <c r="K79" s="44" t="n">
        <f aca="false">IFERROR(1/J79,"")</f>
        <v>1.29702255994788</v>
      </c>
      <c r="L79" s="43" t="n">
        <v>0.535144464495277</v>
      </c>
      <c r="M79" s="44" t="n">
        <f aca="false">IFERROR(1/L79,"")</f>
        <v>1.86865429121677</v>
      </c>
      <c r="N79" s="43" t="n">
        <v>0.312367446176781</v>
      </c>
      <c r="O79" s="44" t="n">
        <f aca="false">IFERROR(1/N79,"")</f>
        <v>3.20135792714475</v>
      </c>
      <c r="P79" s="43" t="n">
        <v>0.155345560471076</v>
      </c>
      <c r="Q79" s="44" t="n">
        <f aca="false">IFERROR(1/P79,"")</f>
        <v>6.4372615282185</v>
      </c>
      <c r="R79" s="43" t="n">
        <v>0.464855535504723</v>
      </c>
      <c r="S79" s="44" t="n">
        <f aca="false">IFERROR(1/R79,"")</f>
        <v>2.15120596319077</v>
      </c>
    </row>
    <row r="80" customFormat="false" ht="18.75" hidden="false" customHeight="true" outlineLevel="0" collapsed="false">
      <c r="A80" s="35" t="n">
        <v>36</v>
      </c>
      <c r="B80" s="33" t="n">
        <v>46348</v>
      </c>
      <c r="C80" s="34" t="s">
        <v>90</v>
      </c>
      <c r="D80" s="34" t="s">
        <v>101</v>
      </c>
      <c r="E80" s="38" t="n">
        <v>1.39749806626306</v>
      </c>
      <c r="F80" s="38" t="n">
        <v>0.899426491456298</v>
      </c>
      <c r="G80" s="38" t="n">
        <v>2.29692455771935</v>
      </c>
      <c r="H80" s="36" t="n">
        <v>0.900917288754832</v>
      </c>
      <c r="I80" s="37" t="n">
        <f aca="false">IFERROR(1/H80,"")</f>
        <v>1.10997980889246</v>
      </c>
      <c r="J80" s="36" t="n">
        <v>0.666951856023304</v>
      </c>
      <c r="K80" s="37" t="n">
        <f aca="false">IFERROR(1/J80,"")</f>
        <v>1.49935859832896</v>
      </c>
      <c r="L80" s="36" t="n">
        <v>0.403146009840653</v>
      </c>
      <c r="M80" s="37" t="n">
        <f aca="false">IFERROR(1/L80,"")</f>
        <v>2.48049087821869</v>
      </c>
      <c r="N80" s="36" t="n">
        <v>0.200028310616942</v>
      </c>
      <c r="O80" s="37" t="n">
        <f aca="false">IFERROR(1/N80,"")</f>
        <v>4.99929233474866</v>
      </c>
      <c r="P80" s="36" t="n">
        <v>0.0833916636161669</v>
      </c>
      <c r="Q80" s="37" t="n">
        <f aca="false">IFERROR(1/P80,"")</f>
        <v>11.9916063145445</v>
      </c>
      <c r="R80" s="36" t="n">
        <v>0.596853990159348</v>
      </c>
      <c r="S80" s="37" t="n">
        <f aca="false">IFERROR(1/R80,"")</f>
        <v>1.6754516456077</v>
      </c>
    </row>
    <row r="81" customFormat="false" ht="18.75" hidden="false" customHeight="true" outlineLevel="0" collapsed="false">
      <c r="A81" s="42" t="n">
        <v>36</v>
      </c>
      <c r="B81" s="40" t="n">
        <v>46348</v>
      </c>
      <c r="C81" s="41" t="s">
        <v>103</v>
      </c>
      <c r="D81" s="41" t="s">
        <v>99</v>
      </c>
      <c r="E81" s="45" t="n">
        <v>2.00216433904301</v>
      </c>
      <c r="F81" s="45" t="n">
        <v>0.999340400688161</v>
      </c>
      <c r="G81" s="45" t="n">
        <v>3.00150473973117</v>
      </c>
      <c r="H81" s="43" t="n">
        <v>0.951459440364575</v>
      </c>
      <c r="I81" s="44" t="n">
        <f aca="false">IFERROR(1/H81,"")</f>
        <v>1.05101695098724</v>
      </c>
      <c r="J81" s="43" t="n">
        <v>0.79991799297507</v>
      </c>
      <c r="K81" s="44" t="n">
        <f aca="false">IFERROR(1/J81,"")</f>
        <v>1.25012814911286</v>
      </c>
      <c r="L81" s="43" t="n">
        <v>0.577160704707041</v>
      </c>
      <c r="M81" s="44" t="n">
        <f aca="false">IFERROR(1/L81,"")</f>
        <v>1.7326196878001</v>
      </c>
      <c r="N81" s="43" t="n">
        <v>0.353117107565124</v>
      </c>
      <c r="O81" s="44" t="n">
        <f aca="false">IFERROR(1/N81,"")</f>
        <v>2.83192170126046</v>
      </c>
      <c r="P81" s="43" t="n">
        <v>0.184995800769719</v>
      </c>
      <c r="Q81" s="44" t="n">
        <f aca="false">IFERROR(1/P81,"")</f>
        <v>5.40552810301242</v>
      </c>
      <c r="R81" s="43" t="n">
        <v>0.422839295292959</v>
      </c>
      <c r="S81" s="44" t="n">
        <f aca="false">IFERROR(1/R81,"")</f>
        <v>2.36496468311244</v>
      </c>
    </row>
    <row r="82" customFormat="false" ht="18.75" hidden="false" customHeight="true" outlineLevel="0" collapsed="false">
      <c r="A82" s="35" t="n">
        <v>36</v>
      </c>
      <c r="B82" s="33" t="n">
        <v>46348</v>
      </c>
      <c r="C82" s="34" t="s">
        <v>93</v>
      </c>
      <c r="D82" s="34" t="s">
        <v>87</v>
      </c>
      <c r="E82" s="38" t="n">
        <v>1.45692521052028</v>
      </c>
      <c r="F82" s="38" t="n">
        <v>0.929404423061419</v>
      </c>
      <c r="G82" s="38" t="n">
        <v>2.3863296335817</v>
      </c>
      <c r="H82" s="36" t="n">
        <v>0.909496353694222</v>
      </c>
      <c r="I82" s="37" t="n">
        <f aca="false">IFERROR(1/H82,"")</f>
        <v>1.09950963072932</v>
      </c>
      <c r="J82" s="36" t="n">
        <v>0.687108852065722</v>
      </c>
      <c r="K82" s="37" t="n">
        <f aca="false">IFERROR(1/J82,"")</f>
        <v>1.45537347829766</v>
      </c>
      <c r="L82" s="36" t="n">
        <v>0.426716421581789</v>
      </c>
      <c r="M82" s="37" t="n">
        <f aca="false">IFERROR(1/L82,"")</f>
        <v>2.34347671995635</v>
      </c>
      <c r="N82" s="36" t="n">
        <v>0.218425232469351</v>
      </c>
      <c r="O82" s="37" t="n">
        <f aca="false">IFERROR(1/N82,"")</f>
        <v>4.57822564130873</v>
      </c>
      <c r="P82" s="36" t="n">
        <v>0.0941621608266264</v>
      </c>
      <c r="Q82" s="37" t="n">
        <f aca="false">IFERROR(1/P82,"")</f>
        <v>10.6199771885144</v>
      </c>
      <c r="R82" s="36" t="n">
        <v>0.573283578418211</v>
      </c>
      <c r="S82" s="37" t="n">
        <f aca="false">IFERROR(1/R82,"")</f>
        <v>1.74433742330309</v>
      </c>
    </row>
    <row r="83" customFormat="false" ht="18.75" hidden="false" customHeight="true" outlineLevel="0" collapsed="false">
      <c r="A83" s="42" t="n">
        <v>36</v>
      </c>
      <c r="B83" s="40" t="n">
        <v>46348</v>
      </c>
      <c r="C83" s="41" t="s">
        <v>91</v>
      </c>
      <c r="D83" s="41" t="s">
        <v>84</v>
      </c>
      <c r="E83" s="45" t="n">
        <v>1.69723058305632</v>
      </c>
      <c r="F83" s="45" t="n">
        <v>1.05220597745362</v>
      </c>
      <c r="G83" s="45" t="n">
        <v>2.74943656050994</v>
      </c>
      <c r="H83" s="43" t="n">
        <v>0.937378737146411</v>
      </c>
      <c r="I83" s="44" t="n">
        <f aca="false">IFERROR(1/H83,"")</f>
        <v>1.06680465469509</v>
      </c>
      <c r="J83" s="43" t="n">
        <v>0.758832386795132</v>
      </c>
      <c r="K83" s="44" t="n">
        <f aca="false">IFERROR(1/J83,"")</f>
        <v>1.31781407515225</v>
      </c>
      <c r="L83" s="43" t="n">
        <v>0.518410362731073</v>
      </c>
      <c r="M83" s="44" t="n">
        <f aca="false">IFERROR(1/L83,"")</f>
        <v>1.92897378580905</v>
      </c>
      <c r="N83" s="43" t="n">
        <v>0.296837688306722</v>
      </c>
      <c r="O83" s="44" t="n">
        <f aca="false">IFERROR(1/N83,"")</f>
        <v>3.36884445403274</v>
      </c>
      <c r="P83" s="43" t="n">
        <v>0.144536734584339</v>
      </c>
      <c r="Q83" s="44" t="n">
        <f aca="false">IFERROR(1/P83,"")</f>
        <v>6.91865637393716</v>
      </c>
      <c r="R83" s="43" t="n">
        <v>0.481589637268927</v>
      </c>
      <c r="S83" s="44" t="n">
        <f aca="false">IFERROR(1/R83,"")</f>
        <v>2.07645663987073</v>
      </c>
    </row>
    <row r="84" customFormat="false" ht="18.75" hidden="false" customHeight="true" outlineLevel="0" collapsed="false">
      <c r="A84" s="35" t="n">
        <v>36</v>
      </c>
      <c r="B84" s="33" t="n">
        <v>46348</v>
      </c>
      <c r="C84" s="34" t="s">
        <v>83</v>
      </c>
      <c r="D84" s="34" t="s">
        <v>96</v>
      </c>
      <c r="E84" s="38" t="n">
        <v>0.983516581607484</v>
      </c>
      <c r="F84" s="38" t="n">
        <v>1.48896773518174</v>
      </c>
      <c r="G84" s="38" t="n">
        <v>2.47248431678923</v>
      </c>
      <c r="H84" s="36" t="n">
        <v>0.917076652969214</v>
      </c>
      <c r="I84" s="37" t="n">
        <f aca="false">IFERROR(1/H84,"")</f>
        <v>1.09042139145327</v>
      </c>
      <c r="J84" s="36" t="n">
        <v>0.705558834157316</v>
      </c>
      <c r="K84" s="37" t="n">
        <f aca="false">IFERROR(1/J84,"")</f>
        <v>1.41731624860789</v>
      </c>
      <c r="L84" s="36" t="n">
        <v>0.449110525660203</v>
      </c>
      <c r="M84" s="37" t="n">
        <f aca="false">IFERROR(1/L84,"")</f>
        <v>2.22662338748346</v>
      </c>
      <c r="N84" s="36" t="n">
        <v>0.236559216131961</v>
      </c>
      <c r="O84" s="37" t="n">
        <f aca="false">IFERROR(1/N84,"")</f>
        <v>4.22727136296464</v>
      </c>
      <c r="P84" s="36" t="n">
        <v>0.105176503263276</v>
      </c>
      <c r="Q84" s="37" t="n">
        <f aca="false">IFERROR(1/P84,"")</f>
        <v>9.50782702384408</v>
      </c>
      <c r="R84" s="36" t="n">
        <v>0.550889474339797</v>
      </c>
      <c r="S84" s="37" t="n">
        <f aca="false">IFERROR(1/R84,"")</f>
        <v>1.81524615477257</v>
      </c>
    </row>
    <row r="85" customFormat="false" ht="18.75" hidden="false" customHeight="true" outlineLevel="0" collapsed="false">
      <c r="A85" s="42" t="n">
        <v>36</v>
      </c>
      <c r="B85" s="40" t="n">
        <v>46348</v>
      </c>
      <c r="C85" s="41" t="s">
        <v>98</v>
      </c>
      <c r="D85" s="41" t="s">
        <v>95</v>
      </c>
      <c r="E85" s="45" t="n">
        <v>1.50725220899351</v>
      </c>
      <c r="F85" s="45" t="n">
        <v>1.06376343797171</v>
      </c>
      <c r="G85" s="45" t="n">
        <v>2.57101564696522</v>
      </c>
      <c r="H85" s="43" t="n">
        <v>0.924982389339206</v>
      </c>
      <c r="I85" s="44" t="n">
        <f aca="false">IFERROR(1/H85,"")</f>
        <v>1.08110166369155</v>
      </c>
      <c r="J85" s="43" t="n">
        <v>0.725528936761751</v>
      </c>
      <c r="K85" s="44" t="n">
        <f aca="false">IFERROR(1/J85,"")</f>
        <v>1.37830477784014</v>
      </c>
      <c r="L85" s="43" t="n">
        <v>0.474271112347176</v>
      </c>
      <c r="M85" s="44" t="n">
        <f aca="false">IFERROR(1/L85,"")</f>
        <v>2.10849864975116</v>
      </c>
      <c r="N85" s="43" t="n">
        <v>0.257707405408859</v>
      </c>
      <c r="O85" s="44" t="n">
        <f aca="false">IFERROR(1/N85,"")</f>
        <v>3.88036967123034</v>
      </c>
      <c r="P85" s="43" t="n">
        <v>0.118509924007251</v>
      </c>
      <c r="Q85" s="44" t="n">
        <f aca="false">IFERROR(1/P85,"")</f>
        <v>8.43811189971583</v>
      </c>
      <c r="R85" s="43" t="n">
        <v>0.525728887652824</v>
      </c>
      <c r="S85" s="44" t="n">
        <f aca="false">IFERROR(1/R85,"")</f>
        <v>1.90212108081908</v>
      </c>
    </row>
    <row r="86" customFormat="false" ht="18.75" hidden="false" customHeight="true" outlineLevel="0" collapsed="false">
      <c r="A86" s="35" t="n">
        <v>36</v>
      </c>
      <c r="B86" s="33" t="n">
        <v>46348</v>
      </c>
      <c r="C86" s="34" t="s">
        <v>100</v>
      </c>
      <c r="D86" s="34" t="s">
        <v>106</v>
      </c>
      <c r="E86" s="38" t="n">
        <v>1.60963739799737</v>
      </c>
      <c r="F86" s="38" t="n">
        <v>0.824729423354053</v>
      </c>
      <c r="G86" s="38" t="n">
        <v>2.43436682135142</v>
      </c>
      <c r="H86" s="36" t="n">
        <v>0.913714273984516</v>
      </c>
      <c r="I86" s="37" t="n">
        <f aca="false">IFERROR(1/H86,"")</f>
        <v>1.09443403531304</v>
      </c>
      <c r="J86" s="36" t="n">
        <v>0.697601852320267</v>
      </c>
      <c r="K86" s="37" t="n">
        <f aca="false">IFERROR(1/J86,"")</f>
        <v>1.43348243224117</v>
      </c>
      <c r="L86" s="36" t="n">
        <v>0.439246005560194</v>
      </c>
      <c r="M86" s="37" t="n">
        <f aca="false">IFERROR(1/L86,"")</f>
        <v>2.27662855744048</v>
      </c>
      <c r="N86" s="36" t="n">
        <v>0.228491799081158</v>
      </c>
      <c r="O86" s="37" t="n">
        <f aca="false">IFERROR(1/N86,"")</f>
        <v>4.37652468938201</v>
      </c>
      <c r="P86" s="36" t="n">
        <v>0.100227990716482</v>
      </c>
      <c r="Q86" s="37" t="n">
        <f aca="false">IFERROR(1/P86,"")</f>
        <v>9.97725278987915</v>
      </c>
      <c r="R86" s="36" t="n">
        <v>0.560753994439806</v>
      </c>
      <c r="S86" s="37" t="n">
        <f aca="false">IFERROR(1/R86,"")</f>
        <v>1.78331319957694</v>
      </c>
    </row>
    <row r="87" customFormat="false" ht="18.75" hidden="false" customHeight="true" outlineLevel="0" collapsed="false">
      <c r="A87" s="42" t="n">
        <v>36</v>
      </c>
      <c r="B87" s="40" t="n">
        <v>46348</v>
      </c>
      <c r="C87" s="41" t="s">
        <v>102</v>
      </c>
      <c r="D87" s="41" t="s">
        <v>8</v>
      </c>
      <c r="E87" s="45" t="n">
        <v>1.46844706349541</v>
      </c>
      <c r="F87" s="45" t="n">
        <v>1.03475047355684</v>
      </c>
      <c r="G87" s="45" t="n">
        <v>2.50319753705225</v>
      </c>
      <c r="H87" s="43" t="n">
        <v>0.919637648601053</v>
      </c>
      <c r="I87" s="44" t="n">
        <f aca="false">IFERROR(1/H87,"")</f>
        <v>1.08738479935135</v>
      </c>
      <c r="J87" s="43" t="n">
        <v>0.711898568986548</v>
      </c>
      <c r="K87" s="44" t="n">
        <f aca="false">IFERROR(1/J87,"")</f>
        <v>1.4046944938007</v>
      </c>
      <c r="L87" s="43" t="n">
        <v>0.457007738244829</v>
      </c>
      <c r="M87" s="44" t="n">
        <f aca="false">IFERROR(1/L87,"")</f>
        <v>2.1881467562028</v>
      </c>
      <c r="N87" s="43" t="n">
        <v>0.243108209018052</v>
      </c>
      <c r="O87" s="44" t="n">
        <f aca="false">IFERROR(1/N87,"")</f>
        <v>4.11339462389666</v>
      </c>
      <c r="P87" s="43" t="n">
        <v>0.109249775381341</v>
      </c>
      <c r="Q87" s="44" t="n">
        <f aca="false">IFERROR(1/P87,"")</f>
        <v>9.15333689711909</v>
      </c>
      <c r="R87" s="43" t="n">
        <v>0.542992261755171</v>
      </c>
      <c r="S87" s="44" t="n">
        <f aca="false">IFERROR(1/R87,"")</f>
        <v>1.8416468712972</v>
      </c>
    </row>
    <row r="88" customFormat="false" ht="18.75" hidden="false" customHeight="true" outlineLevel="0" collapsed="false">
      <c r="A88" s="35" t="n">
        <v>36</v>
      </c>
      <c r="B88" s="33" t="n">
        <v>46348</v>
      </c>
      <c r="C88" s="34" t="s">
        <v>88</v>
      </c>
      <c r="D88" s="34" t="s">
        <v>105</v>
      </c>
      <c r="E88" s="38" t="n">
        <v>1.5304645241065</v>
      </c>
      <c r="F88" s="38" t="n">
        <v>1.12377676110187</v>
      </c>
      <c r="G88" s="38" t="n">
        <v>2.65424128520837</v>
      </c>
      <c r="H88" s="36" t="n">
        <v>0.931069393912036</v>
      </c>
      <c r="I88" s="37" t="n">
        <f aca="false">IFERROR(1/H88,"")</f>
        <v>1.07403380085166</v>
      </c>
      <c r="J88" s="36" t="n">
        <v>0.741496020420697</v>
      </c>
      <c r="K88" s="37" t="n">
        <f aca="false">IFERROR(1/J88,"")</f>
        <v>1.34862490486818</v>
      </c>
      <c r="L88" s="36" t="n">
        <v>0.495101926078863</v>
      </c>
      <c r="M88" s="37" t="n">
        <f aca="false">IFERROR(1/L88,"")</f>
        <v>2.01978612347534</v>
      </c>
      <c r="N88" s="36" t="n">
        <v>0.2758475382803</v>
      </c>
      <c r="O88" s="37" t="n">
        <f aca="false">IFERROR(1/N88,"")</f>
        <v>3.62519095234361</v>
      </c>
      <c r="P88" s="36" t="n">
        <v>0.130358655743675</v>
      </c>
      <c r="Q88" s="37" t="n">
        <f aca="false">IFERROR(1/P88,"")</f>
        <v>7.67114384768055</v>
      </c>
      <c r="R88" s="36" t="n">
        <v>0.504898073921137</v>
      </c>
      <c r="S88" s="37" t="n">
        <f aca="false">IFERROR(1/R88,"")</f>
        <v>1.98059777141514</v>
      </c>
    </row>
    <row r="89" customFormat="false" ht="18.75" hidden="false" customHeight="true" outlineLevel="0" collapsed="false">
      <c r="A89" s="42" t="n">
        <v>37</v>
      </c>
      <c r="B89" s="40" t="n">
        <v>46355</v>
      </c>
      <c r="C89" s="41" t="s">
        <v>90</v>
      </c>
      <c r="D89" s="41" t="s">
        <v>84</v>
      </c>
      <c r="E89" s="45" t="n">
        <v>1.78906433886542</v>
      </c>
      <c r="F89" s="45" t="n">
        <v>0.959102222931315</v>
      </c>
      <c r="G89" s="45" t="n">
        <v>2.74816656179674</v>
      </c>
      <c r="H89" s="43" t="n">
        <v>0.93724714599429</v>
      </c>
      <c r="I89" s="44" t="n">
        <f aca="false">IFERROR(1/H89,"")</f>
        <v>1.06695443594991</v>
      </c>
      <c r="J89" s="43" t="n">
        <v>0.758661450328019</v>
      </c>
      <c r="K89" s="44" t="n">
        <f aca="false">IFERROR(1/J89,"")</f>
        <v>1.3181109961072</v>
      </c>
      <c r="L89" s="43" t="n">
        <v>0.518105278463434</v>
      </c>
      <c r="M89" s="44" t="n">
        <f aca="false">IFERROR(1/L89,"")</f>
        <v>1.93010965448131</v>
      </c>
      <c r="N89" s="43" t="n">
        <v>0.296557847521516</v>
      </c>
      <c r="O89" s="44" t="n">
        <f aca="false">IFERROR(1/N89,"")</f>
        <v>3.37202339562924</v>
      </c>
      <c r="P89" s="43" t="n">
        <v>0.144344000189454</v>
      </c>
      <c r="Q89" s="44" t="n">
        <f aca="false">IFERROR(1/P89,"")</f>
        <v>6.9278944652184</v>
      </c>
      <c r="R89" s="43" t="n">
        <v>0.481894721536566</v>
      </c>
      <c r="S89" s="44" t="n">
        <f aca="false">IFERROR(1/R89,"")</f>
        <v>2.0751420493078</v>
      </c>
    </row>
    <row r="90" customFormat="false" ht="18.75" hidden="false" customHeight="true" outlineLevel="0" collapsed="false">
      <c r="A90" s="35" t="n">
        <v>37</v>
      </c>
      <c r="B90" s="33" t="n">
        <v>46355</v>
      </c>
      <c r="C90" s="34" t="s">
        <v>93</v>
      </c>
      <c r="D90" s="34" t="s">
        <v>103</v>
      </c>
      <c r="E90" s="38" t="n">
        <v>1.68939203533396</v>
      </c>
      <c r="F90" s="38" t="n">
        <v>1.03091738671097</v>
      </c>
      <c r="G90" s="38" t="n">
        <v>2.72030942204493</v>
      </c>
      <c r="H90" s="36" t="n">
        <v>0.935493694631558</v>
      </c>
      <c r="I90" s="37" t="n">
        <f aca="false">IFERROR(1/H90,"")</f>
        <v>1.0689542919836</v>
      </c>
      <c r="J90" s="36" t="n">
        <v>0.753656764330793</v>
      </c>
      <c r="K90" s="37" t="n">
        <f aca="false">IFERROR(1/J90,"")</f>
        <v>1.32686396159125</v>
      </c>
      <c r="L90" s="36" t="n">
        <v>0.511340573361787</v>
      </c>
      <c r="M90" s="37" t="n">
        <f aca="false">IFERROR(1/L90,"")</f>
        <v>1.95564375700825</v>
      </c>
      <c r="N90" s="36" t="n">
        <v>0.290392722673895</v>
      </c>
      <c r="O90" s="37" t="n">
        <f aca="false">IFERROR(1/N90,"")</f>
        <v>3.44361246656645</v>
      </c>
      <c r="P90" s="36" t="n">
        <v>0.140130185900587</v>
      </c>
      <c r="Q90" s="37" t="n">
        <f aca="false">IFERROR(1/P90,"")</f>
        <v>7.13622117585309</v>
      </c>
      <c r="R90" s="36" t="n">
        <v>0.488659426638213</v>
      </c>
      <c r="S90" s="37" t="n">
        <f aca="false">IFERROR(1/R90,"")</f>
        <v>2.04641503977445</v>
      </c>
    </row>
    <row r="91" customFormat="false" ht="18.75" hidden="false" customHeight="true" outlineLevel="0" collapsed="false">
      <c r="A91" s="42" t="n">
        <v>37</v>
      </c>
      <c r="B91" s="40" t="n">
        <v>46355</v>
      </c>
      <c r="C91" s="41" t="s">
        <v>83</v>
      </c>
      <c r="D91" s="41" t="s">
        <v>102</v>
      </c>
      <c r="E91" s="45" t="n">
        <v>0.813397192487757</v>
      </c>
      <c r="F91" s="45" t="n">
        <v>1.91211071718474</v>
      </c>
      <c r="G91" s="45" t="n">
        <v>2.7255079096725</v>
      </c>
      <c r="H91" s="43" t="n">
        <v>0.935686790634043</v>
      </c>
      <c r="I91" s="44" t="n">
        <f aca="false">IFERROR(1/H91,"")</f>
        <v>1.06873369380621</v>
      </c>
      <c r="J91" s="43" t="n">
        <v>0.754742111857006</v>
      </c>
      <c r="K91" s="44" t="n">
        <f aca="false">IFERROR(1/J91,"")</f>
        <v>1.32495588134012</v>
      </c>
      <c r="L91" s="43" t="n">
        <v>0.512612939713594</v>
      </c>
      <c r="M91" s="44" t="n">
        <f aca="false">IFERROR(1/L91,"")</f>
        <v>1.95078961635014</v>
      </c>
      <c r="N91" s="43" t="n">
        <v>0.291546582899524</v>
      </c>
      <c r="O91" s="44" t="n">
        <f aca="false">IFERROR(1/N91,"")</f>
        <v>3.42998360692374</v>
      </c>
      <c r="P91" s="43" t="n">
        <v>0.140914244084967</v>
      </c>
      <c r="Q91" s="44" t="n">
        <f aca="false">IFERROR(1/P91,"")</f>
        <v>7.09651466743867</v>
      </c>
      <c r="R91" s="43" t="n">
        <v>0.487387060286406</v>
      </c>
      <c r="S91" s="44" t="n">
        <f aca="false">IFERROR(1/R91,"")</f>
        <v>2.05175738439253</v>
      </c>
    </row>
    <row r="92" customFormat="false" ht="18.75" hidden="false" customHeight="true" outlineLevel="0" collapsed="false">
      <c r="A92" s="35" t="n">
        <v>37</v>
      </c>
      <c r="B92" s="33" t="n">
        <v>46355</v>
      </c>
      <c r="C92" s="34" t="s">
        <v>101</v>
      </c>
      <c r="D92" s="34" t="s">
        <v>105</v>
      </c>
      <c r="E92" s="38" t="n">
        <v>1.419550808456</v>
      </c>
      <c r="F92" s="38" t="n">
        <v>0.964702496532234</v>
      </c>
      <c r="G92" s="38" t="n">
        <v>2.38425330498823</v>
      </c>
      <c r="H92" s="36" t="n">
        <v>0.909324810557463</v>
      </c>
      <c r="I92" s="37" t="n">
        <f aca="false">IFERROR(1/H92,"")</f>
        <v>1.09971705202561</v>
      </c>
      <c r="J92" s="36" t="n">
        <v>0.686633060933326</v>
      </c>
      <c r="K92" s="37" t="n">
        <f aca="false">IFERROR(1/J92,"")</f>
        <v>1.45638195551015</v>
      </c>
      <c r="L92" s="36" t="n">
        <v>0.426172458642485</v>
      </c>
      <c r="M92" s="37" t="n">
        <f aca="false">IFERROR(1/L92,"")</f>
        <v>2.34646791391768</v>
      </c>
      <c r="N92" s="36" t="n">
        <v>0.217992757928671</v>
      </c>
      <c r="O92" s="37" t="n">
        <f aca="false">IFERROR(1/N92,"")</f>
        <v>4.587308356029</v>
      </c>
      <c r="P92" s="36" t="n">
        <v>0.0939043057834701</v>
      </c>
      <c r="Q92" s="37" t="n">
        <f aca="false">IFERROR(1/P92,"")</f>
        <v>10.6491389468962</v>
      </c>
      <c r="R92" s="36" t="n">
        <v>0.573827541357515</v>
      </c>
      <c r="S92" s="37" t="n">
        <f aca="false">IFERROR(1/R92,"")</f>
        <v>1.74268386915393</v>
      </c>
    </row>
    <row r="93" customFormat="false" ht="18.75" hidden="false" customHeight="true" outlineLevel="0" collapsed="false">
      <c r="A93" s="42" t="n">
        <v>37</v>
      </c>
      <c r="B93" s="40" t="n">
        <v>46355</v>
      </c>
      <c r="C93" s="41" t="s">
        <v>99</v>
      </c>
      <c r="D93" s="41" t="s">
        <v>8</v>
      </c>
      <c r="E93" s="45" t="n">
        <v>1.04142211776106</v>
      </c>
      <c r="F93" s="45" t="n">
        <v>1.90445856941487</v>
      </c>
      <c r="G93" s="45" t="n">
        <v>2.94588068717593</v>
      </c>
      <c r="H93" s="43" t="n">
        <v>0.94867081579789</v>
      </c>
      <c r="I93" s="44" t="n">
        <f aca="false">IFERROR(1/H93,"")</f>
        <v>1.05410642274153</v>
      </c>
      <c r="J93" s="43" t="n">
        <v>0.791403521355261</v>
      </c>
      <c r="K93" s="44" t="n">
        <f aca="false">IFERROR(1/J93,"")</f>
        <v>1.26357790054753</v>
      </c>
      <c r="L93" s="43" t="n">
        <v>0.564585162467323</v>
      </c>
      <c r="M93" s="44" t="n">
        <f aca="false">IFERROR(1/L93,"")</f>
        <v>1.77121197381428</v>
      </c>
      <c r="N93" s="43" t="n">
        <v>0.340652636989482</v>
      </c>
      <c r="O93" s="44" t="n">
        <f aca="false">IFERROR(1/N93,"")</f>
        <v>2.93554163806715</v>
      </c>
      <c r="P93" s="43" t="n">
        <v>0.175730256410451</v>
      </c>
      <c r="Q93" s="44" t="n">
        <f aca="false">IFERROR(1/P93,"")</f>
        <v>5.69053969661498</v>
      </c>
      <c r="R93" s="43" t="n">
        <v>0.435414837532678</v>
      </c>
      <c r="S93" s="44" t="n">
        <f aca="false">IFERROR(1/R93,"")</f>
        <v>2.29666036570228</v>
      </c>
    </row>
    <row r="94" customFormat="false" ht="18.75" hidden="false" customHeight="true" outlineLevel="0" collapsed="false">
      <c r="A94" s="35" t="n">
        <v>37</v>
      </c>
      <c r="B94" s="33" t="n">
        <v>46355</v>
      </c>
      <c r="C94" s="34" t="s">
        <v>98</v>
      </c>
      <c r="D94" s="34" t="s">
        <v>96</v>
      </c>
      <c r="E94" s="38" t="n">
        <v>1.28044001605624</v>
      </c>
      <c r="F94" s="38" t="n">
        <v>0.957035855780722</v>
      </c>
      <c r="G94" s="38" t="n">
        <v>2.23747587183696</v>
      </c>
      <c r="H94" s="36" t="n">
        <v>0.894808687981662</v>
      </c>
      <c r="I94" s="37" t="n">
        <f aca="false">IFERROR(1/H94,"")</f>
        <v>1.11755732083425</v>
      </c>
      <c r="J94" s="36" t="n">
        <v>0.652936224767377</v>
      </c>
      <c r="K94" s="37" t="n">
        <f aca="false">IFERROR(1/J94,"")</f>
        <v>1.53154314627937</v>
      </c>
      <c r="L94" s="36" t="n">
        <v>0.387317358672917</v>
      </c>
      <c r="M94" s="37" t="n">
        <f aca="false">IFERROR(1/L94,"")</f>
        <v>2.58186207668653</v>
      </c>
      <c r="N94" s="36" t="n">
        <v>0.188066297529952</v>
      </c>
      <c r="O94" s="37" t="n">
        <f aca="false">IFERROR(1/N94,"")</f>
        <v>5.31727381850935</v>
      </c>
      <c r="P94" s="36" t="n">
        <v>0.0766113759727288</v>
      </c>
      <c r="Q94" s="37" t="n">
        <f aca="false">IFERROR(1/P94,"")</f>
        <v>13.0528917840605</v>
      </c>
      <c r="R94" s="36" t="n">
        <v>0.612682641327083</v>
      </c>
      <c r="S94" s="37" t="n">
        <f aca="false">IFERROR(1/R94,"")</f>
        <v>1.6321663656636</v>
      </c>
    </row>
    <row r="95" customFormat="false" ht="18.75" hidden="false" customHeight="true" outlineLevel="0" collapsed="false">
      <c r="A95" s="42" t="n">
        <v>37</v>
      </c>
      <c r="B95" s="40" t="n">
        <v>46355</v>
      </c>
      <c r="C95" s="41" t="s">
        <v>100</v>
      </c>
      <c r="D95" s="41" t="s">
        <v>91</v>
      </c>
      <c r="E95" s="45" t="n">
        <v>1.47066026242</v>
      </c>
      <c r="F95" s="45" t="n">
        <v>0.979719411128761</v>
      </c>
      <c r="G95" s="45" t="n">
        <v>2.45037967354876</v>
      </c>
      <c r="H95" s="43" t="n">
        <v>0.91519931007707</v>
      </c>
      <c r="I95" s="44" t="n">
        <f aca="false">IFERROR(1/H95,"")</f>
        <v>1.092658166357</v>
      </c>
      <c r="J95" s="43" t="n">
        <v>0.700908406654697</v>
      </c>
      <c r="K95" s="44" t="n">
        <f aca="false">IFERROR(1/J95,"")</f>
        <v>1.42671994015996</v>
      </c>
      <c r="L95" s="43" t="n">
        <v>0.443397732230266</v>
      </c>
      <c r="M95" s="44" t="n">
        <f aca="false">IFERROR(1/L95,"")</f>
        <v>2.25531148968682</v>
      </c>
      <c r="N95" s="43" t="n">
        <v>0.231872022205417</v>
      </c>
      <c r="O95" s="44" t="n">
        <f aca="false">IFERROR(1/N95,"")</f>
        <v>4.31272384864999</v>
      </c>
      <c r="P95" s="43" t="n">
        <v>0.10229220969763</v>
      </c>
      <c r="Q95" s="44" t="n">
        <f aca="false">IFERROR(1/P95,"")</f>
        <v>9.77591551649874</v>
      </c>
      <c r="R95" s="43" t="n">
        <v>0.556602267769734</v>
      </c>
      <c r="S95" s="44" t="n">
        <f aca="false">IFERROR(1/R95,"")</f>
        <v>1.79661502998708</v>
      </c>
    </row>
    <row r="96" customFormat="false" ht="18.75" hidden="false" customHeight="true" outlineLevel="0" collapsed="false">
      <c r="A96" s="35" t="n">
        <v>37</v>
      </c>
      <c r="B96" s="33" t="n">
        <v>46355</v>
      </c>
      <c r="C96" s="34" t="s">
        <v>95</v>
      </c>
      <c r="D96" s="34" t="s">
        <v>92</v>
      </c>
      <c r="E96" s="38" t="n">
        <v>1.52691328476399</v>
      </c>
      <c r="F96" s="38" t="n">
        <v>1.0592672389141</v>
      </c>
      <c r="G96" s="38" t="n">
        <v>2.58618052367809</v>
      </c>
      <c r="H96" s="36" t="n">
        <v>0.926123914535262</v>
      </c>
      <c r="I96" s="37" t="n">
        <f aca="false">IFERROR(1/H96,"")</f>
        <v>1.07976911545558</v>
      </c>
      <c r="J96" s="36" t="n">
        <v>0.728505530958109</v>
      </c>
      <c r="K96" s="37" t="n">
        <f aca="false">IFERROR(1/J96,"")</f>
        <v>1.37267317474561</v>
      </c>
      <c r="L96" s="36" t="n">
        <v>0.478096892671608</v>
      </c>
      <c r="M96" s="37" t="n">
        <f aca="false">IFERROR(1/L96,"")</f>
        <v>2.09162622750379</v>
      </c>
      <c r="N96" s="36" t="n">
        <v>0.260995768923087</v>
      </c>
      <c r="O96" s="37" t="n">
        <f aca="false">IFERROR(1/N96,"")</f>
        <v>3.83147973672589</v>
      </c>
      <c r="P96" s="36" t="n">
        <v>0.120629742945935</v>
      </c>
      <c r="Q96" s="37" t="n">
        <f aca="false">IFERROR(1/P96,"")</f>
        <v>8.28982948631654</v>
      </c>
      <c r="R96" s="36" t="n">
        <v>0.521903107328392</v>
      </c>
      <c r="S96" s="37" t="n">
        <f aca="false">IFERROR(1/R96,"")</f>
        <v>1.9160644685926</v>
      </c>
    </row>
    <row r="97" customFormat="false" ht="18.75" hidden="false" customHeight="true" outlineLevel="0" collapsed="false">
      <c r="A97" s="42" t="n">
        <v>37</v>
      </c>
      <c r="B97" s="40" t="n">
        <v>46355</v>
      </c>
      <c r="C97" s="41" t="s">
        <v>87</v>
      </c>
      <c r="D97" s="41" t="s">
        <v>104</v>
      </c>
      <c r="E97" s="45" t="n">
        <v>1.8182386937366</v>
      </c>
      <c r="F97" s="45" t="n">
        <v>0.854371633317895</v>
      </c>
      <c r="G97" s="45" t="n">
        <v>2.67261032705449</v>
      </c>
      <c r="H97" s="43" t="n">
        <v>0.932190542909496</v>
      </c>
      <c r="I97" s="44" t="n">
        <f aca="false">IFERROR(1/H97,"")</f>
        <v>1.07274205644574</v>
      </c>
      <c r="J97" s="43" t="n">
        <v>0.745071409787627</v>
      </c>
      <c r="K97" s="44" t="n">
        <f aca="false">IFERROR(1/J97,"")</f>
        <v>1.34215323103733</v>
      </c>
      <c r="L97" s="43" t="n">
        <v>0.499648586698491</v>
      </c>
      <c r="M97" s="44" t="n">
        <f aca="false">IFERROR(1/L97,"")</f>
        <v>2.00140664183134</v>
      </c>
      <c r="N97" s="43" t="n">
        <v>0.279883367270595</v>
      </c>
      <c r="O97" s="44" t="n">
        <f aca="false">IFERROR(1/N97,"")</f>
        <v>3.57291685373067</v>
      </c>
      <c r="P97" s="43" t="n">
        <v>0.133044902501054</v>
      </c>
      <c r="Q97" s="44" t="n">
        <f aca="false">IFERROR(1/P97,"")</f>
        <v>7.51625940717328</v>
      </c>
      <c r="R97" s="43" t="n">
        <v>0.50035141330151</v>
      </c>
      <c r="S97" s="44" t="n">
        <f aca="false">IFERROR(1/R97,"")</f>
        <v>1.99859533403057</v>
      </c>
    </row>
    <row r="98" customFormat="false" ht="18.75" hidden="false" customHeight="true" outlineLevel="0" collapsed="false">
      <c r="A98" s="35" t="n">
        <v>37</v>
      </c>
      <c r="B98" s="33" t="n">
        <v>46355</v>
      </c>
      <c r="C98" s="34" t="s">
        <v>106</v>
      </c>
      <c r="D98" s="34" t="s">
        <v>88</v>
      </c>
      <c r="E98" s="38" t="n">
        <v>1.30005165956686</v>
      </c>
      <c r="F98" s="38" t="n">
        <v>1.16437214236399</v>
      </c>
      <c r="G98" s="38" t="n">
        <v>2.46442380193085</v>
      </c>
      <c r="H98" s="36" t="n">
        <v>0.916454573255339</v>
      </c>
      <c r="I98" s="37" t="n">
        <f aca="false">IFERROR(1/H98,"")</f>
        <v>1.09116155801143</v>
      </c>
      <c r="J98" s="36" t="n">
        <v>0.703811650737992</v>
      </c>
      <c r="K98" s="37" t="n">
        <f aca="false">IFERROR(1/J98,"")</f>
        <v>1.42083467778835</v>
      </c>
      <c r="L98" s="36" t="n">
        <v>0.447029478795471</v>
      </c>
      <c r="M98" s="37" t="n">
        <f aca="false">IFERROR(1/L98,"")</f>
        <v>2.23698894018023</v>
      </c>
      <c r="N98" s="36" t="n">
        <v>0.23484699677563</v>
      </c>
      <c r="O98" s="37" t="n">
        <f aca="false">IFERROR(1/N98,"")</f>
        <v>4.25809149671771</v>
      </c>
      <c r="P98" s="36" t="n">
        <v>0.104120011255431</v>
      </c>
      <c r="Q98" s="37" t="n">
        <f aca="false">IFERROR(1/P98,"")</f>
        <v>9.60430168939151</v>
      </c>
      <c r="R98" s="36" t="n">
        <v>0.552970521204529</v>
      </c>
      <c r="S98" s="37" t="n">
        <f aca="false">IFERROR(1/R98,"")</f>
        <v>1.80841466525505</v>
      </c>
    </row>
    <row r="99" customFormat="false" ht="18.75" hidden="false" customHeight="true" outlineLevel="0" collapsed="false">
      <c r="A99" s="42" t="n">
        <v>38</v>
      </c>
      <c r="B99" s="40" t="n">
        <v>46358</v>
      </c>
      <c r="C99" s="41" t="s">
        <v>92</v>
      </c>
      <c r="D99" s="41" t="s">
        <v>87</v>
      </c>
      <c r="E99" s="45" t="n">
        <v>1.3329528064338</v>
      </c>
      <c r="F99" s="45" t="n">
        <v>0.92473179133265</v>
      </c>
      <c r="G99" s="45" t="n">
        <v>2.25768459776645</v>
      </c>
      <c r="H99" s="43" t="n">
        <v>0.896922025676009</v>
      </c>
      <c r="I99" s="44" t="n">
        <f aca="false">IFERROR(1/H99,"")</f>
        <v>1.11492411979325</v>
      </c>
      <c r="J99" s="43" t="n">
        <v>0.657757137442787</v>
      </c>
      <c r="K99" s="44" t="n">
        <f aca="false">IFERROR(1/J99,"")</f>
        <v>1.52031797615724</v>
      </c>
      <c r="L99" s="43" t="n">
        <v>0.392710397955451</v>
      </c>
      <c r="M99" s="44" t="n">
        <f aca="false">IFERROR(1/L99,"")</f>
        <v>2.54640571068719</v>
      </c>
      <c r="N99" s="43" t="n">
        <v>0.192106703491128</v>
      </c>
      <c r="O99" s="44" t="n">
        <f aca="false">IFERROR(1/N99,"")</f>
        <v>5.20544042361428</v>
      </c>
      <c r="P99" s="43" t="n">
        <v>0.0788816473434001</v>
      </c>
      <c r="Q99" s="44" t="n">
        <f aca="false">IFERROR(1/P99,"")</f>
        <v>12.6772200337886</v>
      </c>
      <c r="R99" s="43" t="n">
        <v>0.607289602044549</v>
      </c>
      <c r="S99" s="44" t="n">
        <f aca="false">IFERROR(1/R99,"")</f>
        <v>1.64666082974798</v>
      </c>
    </row>
    <row r="100" customFormat="false" ht="18.75" hidden="false" customHeight="true" outlineLevel="0" collapsed="false">
      <c r="A100" s="35" t="n">
        <v>38</v>
      </c>
      <c r="B100" s="33" t="n">
        <v>46358</v>
      </c>
      <c r="C100" s="34" t="s">
        <v>103</v>
      </c>
      <c r="D100" s="34" t="s">
        <v>90</v>
      </c>
      <c r="E100" s="38" t="n">
        <v>1.43815281116351</v>
      </c>
      <c r="F100" s="38" t="n">
        <v>1.12758733842885</v>
      </c>
      <c r="G100" s="38" t="n">
        <v>2.56574014959236</v>
      </c>
      <c r="H100" s="36" t="n">
        <v>0.924601966662524</v>
      </c>
      <c r="I100" s="37" t="n">
        <f aca="false">IFERROR(1/H100,"")</f>
        <v>1.0815464773557</v>
      </c>
      <c r="J100" s="36" t="n">
        <v>0.724465804370703</v>
      </c>
      <c r="K100" s="37" t="n">
        <f aca="false">IFERROR(1/J100,"")</f>
        <v>1.38032739981238</v>
      </c>
      <c r="L100" s="36" t="n">
        <v>0.472936859512761</v>
      </c>
      <c r="M100" s="37" t="n">
        <f aca="false">IFERROR(1/L100,"")</f>
        <v>2.1144471611501</v>
      </c>
      <c r="N100" s="36" t="n">
        <v>0.256565172253054</v>
      </c>
      <c r="O100" s="37" t="n">
        <f aca="false">IFERROR(1/N100,"")</f>
        <v>3.89764515276332</v>
      </c>
      <c r="P100" s="36" t="n">
        <v>0.117776580256162</v>
      </c>
      <c r="Q100" s="37" t="n">
        <f aca="false">IFERROR(1/P100,"")</f>
        <v>8.49065236760157</v>
      </c>
      <c r="R100" s="36" t="n">
        <v>0.527063140487239</v>
      </c>
      <c r="S100" s="37" t="n">
        <f aca="false">IFERROR(1/R100,"")</f>
        <v>1.89730588839045</v>
      </c>
    </row>
    <row r="101" customFormat="false" ht="18.75" hidden="false" customHeight="true" outlineLevel="0" collapsed="false">
      <c r="A101" s="42" t="n">
        <v>38</v>
      </c>
      <c r="B101" s="40" t="n">
        <v>46358</v>
      </c>
      <c r="C101" s="41" t="s">
        <v>91</v>
      </c>
      <c r="D101" s="41" t="s">
        <v>98</v>
      </c>
      <c r="E101" s="45" t="n">
        <v>1.30836320700087</v>
      </c>
      <c r="F101" s="45" t="n">
        <v>1.09523419792302</v>
      </c>
      <c r="G101" s="45" t="n">
        <v>2.40359740492389</v>
      </c>
      <c r="H101" s="43" t="n">
        <v>0.911129298871239</v>
      </c>
      <c r="I101" s="44" t="n">
        <f aca="false">IFERROR(1/H101,"")</f>
        <v>1.09753906634202</v>
      </c>
      <c r="J101" s="43" t="n">
        <v>0.690820335859151</v>
      </c>
      <c r="K101" s="44" t="n">
        <f aca="false">IFERROR(1/J101,"")</f>
        <v>1.44755437570657</v>
      </c>
      <c r="L101" s="43" t="n">
        <v>0.431231198832672</v>
      </c>
      <c r="M101" s="44" t="n">
        <f aca="false">IFERROR(1/L101,"")</f>
        <v>2.3189416784012</v>
      </c>
      <c r="N101" s="43" t="n">
        <v>0.222029553942528</v>
      </c>
      <c r="O101" s="44" t="n">
        <f aca="false">IFERROR(1/N101,"")</f>
        <v>4.50390491825628</v>
      </c>
      <c r="P101" s="43" t="n">
        <v>0.0963203332290652</v>
      </c>
      <c r="Q101" s="44" t="n">
        <f aca="false">IFERROR(1/P101,"")</f>
        <v>10.3820238829722</v>
      </c>
      <c r="R101" s="43" t="n">
        <v>0.568768801167328</v>
      </c>
      <c r="S101" s="44" t="n">
        <f aca="false">IFERROR(1/R101,"")</f>
        <v>1.75818363796963</v>
      </c>
    </row>
    <row r="102" customFormat="false" ht="18.75" hidden="false" customHeight="true" outlineLevel="0" collapsed="false">
      <c r="A102" s="35" t="n">
        <v>38</v>
      </c>
      <c r="B102" s="33" t="n">
        <v>46358</v>
      </c>
      <c r="C102" s="34" t="s">
        <v>96</v>
      </c>
      <c r="D102" s="34" t="s">
        <v>100</v>
      </c>
      <c r="E102" s="38" t="n">
        <v>1.40926422710507</v>
      </c>
      <c r="F102" s="38" t="n">
        <v>0.874327305857693</v>
      </c>
      <c r="G102" s="38" t="n">
        <v>2.28359153296277</v>
      </c>
      <c r="H102" s="36" t="n">
        <v>0.899557716922503</v>
      </c>
      <c r="I102" s="37" t="n">
        <f aca="false">IFERROR(1/H102,"")</f>
        <v>1.11165740806618</v>
      </c>
      <c r="J102" s="36" t="n">
        <v>0.663870163662085</v>
      </c>
      <c r="K102" s="37" t="n">
        <f aca="false">IFERROR(1/J102,"")</f>
        <v>1.50631863689088</v>
      </c>
      <c r="L102" s="36" t="n">
        <v>0.399605918556906</v>
      </c>
      <c r="M102" s="37" t="n">
        <f aca="false">IFERROR(1/L102,"")</f>
        <v>2.50246543797773</v>
      </c>
      <c r="N102" s="36" t="n">
        <v>0.197325727452993</v>
      </c>
      <c r="O102" s="37" t="n">
        <f aca="false">IFERROR(1/N102,"")</f>
        <v>5.06776289593672</v>
      </c>
      <c r="P102" s="36" t="n">
        <v>0.0818442449446839</v>
      </c>
      <c r="Q102" s="37" t="n">
        <f aca="false">IFERROR(1/P102,"")</f>
        <v>12.2183300814354</v>
      </c>
      <c r="R102" s="36" t="n">
        <v>0.600394081443094</v>
      </c>
      <c r="S102" s="37" t="n">
        <f aca="false">IFERROR(1/R102,"")</f>
        <v>1.66557271450182</v>
      </c>
    </row>
    <row r="103" customFormat="false" ht="18.75" hidden="false" customHeight="true" outlineLevel="0" collapsed="false">
      <c r="A103" s="42" t="n">
        <v>38</v>
      </c>
      <c r="B103" s="40" t="n">
        <v>46358</v>
      </c>
      <c r="C103" s="41" t="s">
        <v>8</v>
      </c>
      <c r="D103" s="41" t="s">
        <v>83</v>
      </c>
      <c r="E103" s="45" t="n">
        <v>2.91432846164005</v>
      </c>
      <c r="F103" s="45" t="n">
        <v>0.638396752898097</v>
      </c>
      <c r="G103" s="45" t="n">
        <v>3.55272521453814</v>
      </c>
      <c r="H103" s="43" t="n">
        <v>0.972027675358373</v>
      </c>
      <c r="I103" s="44" t="n">
        <f aca="false">IFERROR(1/H103,"")</f>
        <v>1.02877729240715</v>
      </c>
      <c r="J103" s="43" t="n">
        <v>0.869122020089349</v>
      </c>
      <c r="K103" s="44" t="n">
        <f aca="false">IFERROR(1/J103,"")</f>
        <v>1.15058642732029</v>
      </c>
      <c r="L103" s="43" t="n">
        <v>0.689072829744096</v>
      </c>
      <c r="M103" s="44" t="n">
        <f aca="false">IFERROR(1/L103,"")</f>
        <v>1.45122541019557</v>
      </c>
      <c r="N103" s="43" t="n">
        <v>0.474993919307705</v>
      </c>
      <c r="O103" s="44" t="n">
        <f aca="false">IFERROR(1/N103,"")</f>
        <v>2.10529010867651</v>
      </c>
      <c r="P103" s="43" t="n">
        <v>0.284749416847508</v>
      </c>
      <c r="Q103" s="44" t="n">
        <f aca="false">IFERROR(1/P103,"")</f>
        <v>3.5118596942923</v>
      </c>
      <c r="R103" s="43" t="n">
        <v>0.310927170255904</v>
      </c>
      <c r="S103" s="44" t="n">
        <f aca="false">IFERROR(1/R103,"")</f>
        <v>3.21618724789141</v>
      </c>
    </row>
    <row r="104" customFormat="false" ht="18.75" hidden="false" customHeight="true" outlineLevel="0" collapsed="false">
      <c r="A104" s="35" t="n">
        <v>38</v>
      </c>
      <c r="B104" s="33" t="n">
        <v>46358</v>
      </c>
      <c r="C104" s="34" t="s">
        <v>105</v>
      </c>
      <c r="D104" s="34" t="s">
        <v>95</v>
      </c>
      <c r="E104" s="38" t="n">
        <v>1.47103403080057</v>
      </c>
      <c r="F104" s="38" t="n">
        <v>1.22527911444204</v>
      </c>
      <c r="G104" s="38" t="n">
        <v>2.6963131452426</v>
      </c>
      <c r="H104" s="36" t="n">
        <v>0.933974562423962</v>
      </c>
      <c r="I104" s="37" t="n">
        <f aca="false">IFERROR(1/H104,"")</f>
        <v>1.07069297198489</v>
      </c>
      <c r="J104" s="36" t="n">
        <v>0.749242639827518</v>
      </c>
      <c r="K104" s="37" t="n">
        <f aca="false">IFERROR(1/J104,"")</f>
        <v>1.33468111242335</v>
      </c>
      <c r="L104" s="36" t="n">
        <v>0.505472935553429</v>
      </c>
      <c r="M104" s="37" t="n">
        <f aca="false">IFERROR(1/L104,"")</f>
        <v>1.9783452874784</v>
      </c>
      <c r="N104" s="36" t="n">
        <v>0.285095918123128</v>
      </c>
      <c r="O104" s="37" t="n">
        <f aca="false">IFERROR(1/N104,"")</f>
        <v>3.50759143302822</v>
      </c>
      <c r="P104" s="36" t="n">
        <v>0.136544270790728</v>
      </c>
      <c r="Q104" s="37" t="n">
        <f aca="false">IFERROR(1/P104,"")</f>
        <v>7.32363206606177</v>
      </c>
      <c r="R104" s="36" t="n">
        <v>0.494527064446571</v>
      </c>
      <c r="S104" s="37" t="n">
        <f aca="false">IFERROR(1/R104,"")</f>
        <v>2.02213401832538</v>
      </c>
    </row>
    <row r="105" customFormat="false" ht="18.75" hidden="false" customHeight="true" outlineLevel="0" collapsed="false">
      <c r="A105" s="42" t="n">
        <v>38</v>
      </c>
      <c r="B105" s="40" t="n">
        <v>46358</v>
      </c>
      <c r="C105" s="41" t="s">
        <v>102</v>
      </c>
      <c r="D105" s="41" t="s">
        <v>99</v>
      </c>
      <c r="E105" s="45" t="n">
        <v>2.45522123396015</v>
      </c>
      <c r="F105" s="45" t="n">
        <v>0.674755951101984</v>
      </c>
      <c r="G105" s="45" t="n">
        <v>3.12997718506213</v>
      </c>
      <c r="H105" s="43" t="n">
        <v>0.957149641678918</v>
      </c>
      <c r="I105" s="44" t="n">
        <f aca="false">IFERROR(1/H105,"")</f>
        <v>1.0447687137467</v>
      </c>
      <c r="J105" s="43" t="n">
        <v>0.81864572848337</v>
      </c>
      <c r="K105" s="44" t="n">
        <f aca="false">IFERROR(1/J105,"")</f>
        <v>1.22152961312412</v>
      </c>
      <c r="L105" s="43" t="n">
        <v>0.605369542372554</v>
      </c>
      <c r="M105" s="44" t="n">
        <f aca="false">IFERROR(1/L105,"")</f>
        <v>1.65188356863944</v>
      </c>
      <c r="N105" s="43" t="n">
        <v>0.38193261084985</v>
      </c>
      <c r="O105" s="44" t="n">
        <f aca="false">IFERROR(1/N105,"")</f>
        <v>2.6182629385191</v>
      </c>
      <c r="P105" s="43" t="n">
        <v>0.207068618270836</v>
      </c>
      <c r="Q105" s="44" t="n">
        <f aca="false">IFERROR(1/P105,"")</f>
        <v>4.82931700781453</v>
      </c>
      <c r="R105" s="43" t="n">
        <v>0.394630457627447</v>
      </c>
      <c r="S105" s="44" t="n">
        <f aca="false">IFERROR(1/R105,"")</f>
        <v>2.53401626932723</v>
      </c>
    </row>
    <row r="106" customFormat="false" ht="18.75" hidden="false" customHeight="true" outlineLevel="0" collapsed="false">
      <c r="A106" s="35" t="n">
        <v>38</v>
      </c>
      <c r="B106" s="33" t="n">
        <v>46358</v>
      </c>
      <c r="C106" s="34" t="s">
        <v>104</v>
      </c>
      <c r="D106" s="34" t="s">
        <v>101</v>
      </c>
      <c r="E106" s="38" t="n">
        <v>1.22784759074248</v>
      </c>
      <c r="F106" s="38" t="n">
        <v>1.26135394334742</v>
      </c>
      <c r="G106" s="38" t="n">
        <v>2.48920153408991</v>
      </c>
      <c r="H106" s="36" t="n">
        <v>0.918533318630654</v>
      </c>
      <c r="I106" s="37" t="n">
        <f aca="false">IFERROR(1/H106,"")</f>
        <v>1.08869213529543</v>
      </c>
      <c r="J106" s="36" t="n">
        <v>0.70897027197283</v>
      </c>
      <c r="K106" s="37" t="n">
        <f aca="false">IFERROR(1/J106,"")</f>
        <v>1.41049637697407</v>
      </c>
      <c r="L106" s="36" t="n">
        <v>0.45341429103273</v>
      </c>
      <c r="M106" s="37" t="n">
        <f aca="false">IFERROR(1/L106,"")</f>
        <v>2.20548848983636</v>
      </c>
      <c r="N106" s="36" t="n">
        <v>0.240118308590107</v>
      </c>
      <c r="O106" s="37" t="n">
        <f aca="false">IFERROR(1/N106,"")</f>
        <v>4.16461371009842</v>
      </c>
      <c r="P106" s="36" t="n">
        <v>0.10738404222282</v>
      </c>
      <c r="Q106" s="37" t="n">
        <f aca="false">IFERROR(1/P106,"")</f>
        <v>9.31237062137235</v>
      </c>
      <c r="R106" s="36" t="n">
        <v>0.54658570896727</v>
      </c>
      <c r="S106" s="37" t="n">
        <f aca="false">IFERROR(1/R106,"")</f>
        <v>1.82953923528191</v>
      </c>
    </row>
    <row r="107" customFormat="false" ht="18.75" hidden="false" customHeight="true" outlineLevel="0" collapsed="false">
      <c r="A107" s="42" t="n">
        <v>38</v>
      </c>
      <c r="B107" s="40" t="n">
        <v>46358</v>
      </c>
      <c r="C107" s="41" t="s">
        <v>88</v>
      </c>
      <c r="D107" s="41" t="s">
        <v>93</v>
      </c>
      <c r="E107" s="45" t="n">
        <v>1.36693587375025</v>
      </c>
      <c r="F107" s="45" t="n">
        <v>1.24031119042357</v>
      </c>
      <c r="G107" s="45" t="n">
        <v>2.60724706417383</v>
      </c>
      <c r="H107" s="43" t="n">
        <v>0.927731291759824</v>
      </c>
      <c r="I107" s="44" t="n">
        <f aca="false">IFERROR(1/H107,"")</f>
        <v>1.07789831913839</v>
      </c>
      <c r="J107" s="43" t="n">
        <v>0.732543643130822</v>
      </c>
      <c r="K107" s="44" t="n">
        <f aca="false">IFERROR(1/J107,"")</f>
        <v>1.36510637881737</v>
      </c>
      <c r="L107" s="43" t="n">
        <v>0.483388837144528</v>
      </c>
      <c r="M107" s="44" t="n">
        <f aca="false">IFERROR(1/L107,"")</f>
        <v>2.06872795389152</v>
      </c>
      <c r="N107" s="43" t="n">
        <v>0.265576421491937</v>
      </c>
      <c r="O107" s="44" t="n">
        <f aca="false">IFERROR(1/N107,"")</f>
        <v>3.7653945119912</v>
      </c>
      <c r="P107" s="43" t="n">
        <v>0.123603560706399</v>
      </c>
      <c r="Q107" s="44" t="n">
        <f aca="false">IFERROR(1/P107,"")</f>
        <v>8.09038181655096</v>
      </c>
      <c r="R107" s="43" t="n">
        <v>0.516611162855472</v>
      </c>
      <c r="S107" s="44" t="n">
        <f aca="false">IFERROR(1/R107,"")</f>
        <v>1.93569181601243</v>
      </c>
    </row>
    <row r="108" customFormat="false" ht="18.75" hidden="false" customHeight="true" outlineLevel="0" collapsed="false">
      <c r="A108" s="35" t="n">
        <v>38</v>
      </c>
      <c r="B108" s="33" t="n">
        <v>46358</v>
      </c>
      <c r="C108" s="34" t="s">
        <v>84</v>
      </c>
      <c r="D108" s="34" t="s">
        <v>106</v>
      </c>
      <c r="E108" s="38" t="n">
        <v>1.61495795776361</v>
      </c>
      <c r="F108" s="38" t="n">
        <v>1.01884665065132</v>
      </c>
      <c r="G108" s="38" t="n">
        <v>2.63380460841493</v>
      </c>
      <c r="H108" s="36" t="n">
        <v>0.92958360995634</v>
      </c>
      <c r="I108" s="37" t="n">
        <f aca="false">IFERROR(1/H108,"")</f>
        <v>1.07575046428257</v>
      </c>
      <c r="J108" s="36" t="n">
        <v>0.737689637474587</v>
      </c>
      <c r="K108" s="37" t="n">
        <f aca="false">IFERROR(1/J108,"")</f>
        <v>1.35558363463449</v>
      </c>
      <c r="L108" s="36" t="n">
        <v>0.490025516971061</v>
      </c>
      <c r="M108" s="37" t="n">
        <f aca="false">IFERROR(1/L108,"")</f>
        <v>2.04071005563381</v>
      </c>
      <c r="N108" s="36" t="n">
        <v>0.271373370250557</v>
      </c>
      <c r="O108" s="37" t="n">
        <f aca="false">IFERROR(1/N108,"")</f>
        <v>3.68495994679473</v>
      </c>
      <c r="P108" s="36" t="n">
        <v>0.127401021719771</v>
      </c>
      <c r="Q108" s="37" t="n">
        <f aca="false">IFERROR(1/P108,"")</f>
        <v>7.84923061448895</v>
      </c>
      <c r="R108" s="36" t="n">
        <v>0.509974483028939</v>
      </c>
      <c r="S108" s="37" t="n">
        <f aca="false">IFERROR(1/R108,"")</f>
        <v>1.96088242309813</v>
      </c>
    </row>
  </sheetData>
  <autoFilter ref="A5:S108"/>
  <mergeCells count="9">
    <mergeCell ref="A2:S2"/>
    <mergeCell ref="A4:D4"/>
    <mergeCell ref="E4:G4"/>
    <mergeCell ref="H4:I4"/>
    <mergeCell ref="J4:K4"/>
    <mergeCell ref="L4:M4"/>
    <mergeCell ref="N4:O4"/>
    <mergeCell ref="P4:Q4"/>
    <mergeCell ref="R4:S4"/>
  </mergeCells>
  <conditionalFormatting sqref="H6:H108">
    <cfRule type="colorScale" priority="2">
      <colorScale>
        <cfvo type="num" val="0"/>
        <cfvo type="num" val="1"/>
        <color rgb="FFFFFFFF"/>
        <color rgb="FF9EC5F4"/>
      </colorScale>
    </cfRule>
  </conditionalFormatting>
  <conditionalFormatting sqref="J6:J108">
    <cfRule type="colorScale" priority="3">
      <colorScale>
        <cfvo type="num" val="0"/>
        <cfvo type="num" val="1"/>
        <color rgb="FFFFFFFF"/>
        <color rgb="FF9EC5F4"/>
      </colorScale>
    </cfRule>
  </conditionalFormatting>
  <conditionalFormatting sqref="L6:L108">
    <cfRule type="colorScale" priority="4">
      <colorScale>
        <cfvo type="num" val="0"/>
        <cfvo type="num" val="1"/>
        <color rgb="FFFFFFFF"/>
        <color rgb="FF9EC5F4"/>
      </colorScale>
    </cfRule>
  </conditionalFormatting>
  <conditionalFormatting sqref="N6:N108">
    <cfRule type="colorScale" priority="5">
      <colorScale>
        <cfvo type="num" val="0"/>
        <cfvo type="num" val="1"/>
        <color rgb="FFFFFFFF"/>
        <color rgb="FF9EC5F4"/>
      </colorScale>
    </cfRule>
  </conditionalFormatting>
  <conditionalFormatting sqref="P6:P108">
    <cfRule type="colorScale" priority="6">
      <colorScale>
        <cfvo type="num" val="0"/>
        <cfvo type="num" val="1"/>
        <color rgb="FFFFFFFF"/>
        <color rgb="FF9EC5F4"/>
      </colorScale>
    </cfRule>
  </conditionalFormatting>
  <conditionalFormatting sqref="R6:R108">
    <cfRule type="colorScale" priority="7">
      <colorScale>
        <cfvo type="num" val="0"/>
        <cfvo type="num" val="1"/>
        <color rgb="FFFFFFFF"/>
        <color rgb="FF9EC5F4"/>
      </colorScale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2805C"/>
    <pageSetUpPr fitToPage="true"/>
  </sheetPr>
  <dimension ref="A1:AB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4" min="3" style="0" width="18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7" min="7" style="0" width="8"/>
    <col collapsed="false" customWidth="true" hidden="false" outlineLevel="0" max="8" min="8" style="0" width="9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8"/>
    <col collapsed="false" customWidth="true" hidden="false" outlineLevel="0" max="12" min="12" style="0" width="9"/>
    <col collapsed="false" customWidth="true" hidden="false" outlineLevel="0" max="13" min="13" style="0" width="8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9"/>
    <col collapsed="false" customWidth="true" hidden="false" outlineLevel="0" max="17" min="17" style="0" width="8"/>
    <col collapsed="false" customWidth="true" hidden="false" outlineLevel="0" max="18" min="18" style="0" width="9"/>
    <col collapsed="false" customWidth="true" hidden="false" outlineLevel="0" max="19" min="19" style="0" width="8"/>
    <col collapsed="false" customWidth="true" hidden="false" outlineLevel="0" max="20" min="20" style="0" width="9"/>
    <col collapsed="false" customWidth="true" hidden="false" outlineLevel="0" max="21" min="21" style="0" width="8"/>
    <col collapsed="false" customWidth="true" hidden="false" outlineLevel="0" max="22" min="22" style="0" width="9"/>
    <col collapsed="false" customWidth="true" hidden="false" outlineLevel="0" max="23" min="23" style="0" width="8"/>
    <col collapsed="false" customWidth="true" hidden="false" outlineLevel="0" max="24" min="24" style="0" width="9"/>
    <col collapsed="false" customWidth="true" hidden="false" outlineLevel="0" max="25" min="25" style="0" width="8"/>
    <col collapsed="false" customWidth="true" hidden="false" outlineLevel="0" max="26" min="26" style="0" width="9"/>
    <col collapsed="false" customWidth="true" hidden="false" outlineLevel="0" max="27" min="27" style="0" width="8"/>
    <col collapsed="false" customWidth="true" hidden="false" outlineLevel="0" max="28" min="28" style="0" width="9"/>
  </cols>
  <sheetData>
    <row r="1" customFormat="false" ht="30" hidden="false" customHeight="true" outlineLevel="0" collapsed="false">
      <c r="A1" s="23" t="s">
        <v>313</v>
      </c>
    </row>
    <row r="2" customFormat="false" ht="15.75" hidden="false" customHeight="true" outlineLevel="0" collapsed="false">
      <c r="A2" s="24" t="s">
        <v>314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</row>
    <row r="4" customFormat="false" ht="19.5" hidden="false" customHeight="true" outlineLevel="0" collapsed="false">
      <c r="A4" s="25" t="s">
        <v>60</v>
      </c>
      <c r="B4" s="25"/>
      <c r="C4" s="25"/>
      <c r="D4" s="25"/>
      <c r="E4" s="27" t="s">
        <v>109</v>
      </c>
      <c r="F4" s="27"/>
      <c r="G4" s="64" t="s">
        <v>315</v>
      </c>
      <c r="H4" s="64"/>
      <c r="I4" s="27" t="s">
        <v>316</v>
      </c>
      <c r="J4" s="27"/>
      <c r="K4" s="64" t="s">
        <v>317</v>
      </c>
      <c r="L4" s="64"/>
      <c r="M4" s="27" t="s">
        <v>318</v>
      </c>
      <c r="N4" s="27"/>
      <c r="O4" s="64" t="s">
        <v>319</v>
      </c>
      <c r="P4" s="64"/>
      <c r="Q4" s="27" t="s">
        <v>320</v>
      </c>
      <c r="R4" s="27"/>
      <c r="S4" s="64" t="s">
        <v>321</v>
      </c>
      <c r="T4" s="64"/>
      <c r="U4" s="27" t="s">
        <v>322</v>
      </c>
      <c r="V4" s="27"/>
      <c r="W4" s="64" t="s">
        <v>323</v>
      </c>
      <c r="X4" s="64"/>
      <c r="Y4" s="27" t="s">
        <v>324</v>
      </c>
      <c r="Z4" s="27"/>
      <c r="AA4" s="64" t="s">
        <v>325</v>
      </c>
      <c r="AB4" s="64"/>
    </row>
    <row r="5" customFormat="false" ht="27.75" hidden="false" customHeight="true" outlineLevel="0" collapsed="false">
      <c r="A5" s="31" t="s">
        <v>67</v>
      </c>
      <c r="B5" s="31" t="s">
        <v>68</v>
      </c>
      <c r="C5" s="31" t="s">
        <v>69</v>
      </c>
      <c r="D5" s="31" t="s">
        <v>70</v>
      </c>
      <c r="E5" s="31" t="s">
        <v>137</v>
      </c>
      <c r="F5" s="31" t="s">
        <v>138</v>
      </c>
      <c r="G5" s="31" t="s">
        <v>137</v>
      </c>
      <c r="H5" s="31" t="s">
        <v>138</v>
      </c>
      <c r="I5" s="31" t="s">
        <v>137</v>
      </c>
      <c r="J5" s="31" t="s">
        <v>138</v>
      </c>
      <c r="K5" s="31" t="s">
        <v>137</v>
      </c>
      <c r="L5" s="31" t="s">
        <v>138</v>
      </c>
      <c r="M5" s="31" t="s">
        <v>137</v>
      </c>
      <c r="N5" s="31" t="s">
        <v>138</v>
      </c>
      <c r="O5" s="31" t="s">
        <v>137</v>
      </c>
      <c r="P5" s="31" t="s">
        <v>138</v>
      </c>
      <c r="Q5" s="31" t="s">
        <v>137</v>
      </c>
      <c r="R5" s="31" t="s">
        <v>138</v>
      </c>
      <c r="S5" s="31" t="s">
        <v>137</v>
      </c>
      <c r="T5" s="31" t="s">
        <v>138</v>
      </c>
      <c r="U5" s="31" t="s">
        <v>137</v>
      </c>
      <c r="V5" s="31" t="s">
        <v>138</v>
      </c>
      <c r="W5" s="31" t="s">
        <v>137</v>
      </c>
      <c r="X5" s="31" t="s">
        <v>138</v>
      </c>
      <c r="Y5" s="31" t="s">
        <v>137</v>
      </c>
      <c r="Z5" s="31" t="s">
        <v>138</v>
      </c>
      <c r="AA5" s="31" t="s">
        <v>137</v>
      </c>
      <c r="AB5" s="31" t="s">
        <v>138</v>
      </c>
    </row>
    <row r="6" customFormat="false" ht="18.75" hidden="false" customHeight="true" outlineLevel="0" collapsed="false">
      <c r="A6" s="35" t="n">
        <v>21</v>
      </c>
      <c r="B6" s="33" t="n">
        <v>46233</v>
      </c>
      <c r="C6" s="34" t="s">
        <v>83</v>
      </c>
      <c r="D6" s="34" t="s">
        <v>84</v>
      </c>
      <c r="E6" s="36" t="n">
        <v>0.22890248412551</v>
      </c>
      <c r="F6" s="37" t="n">
        <f aca="false">IFERROR(1/E6,"")</f>
        <v>4.36867255425541</v>
      </c>
      <c r="G6" s="36" t="n">
        <v>0.464443205920466</v>
      </c>
      <c r="H6" s="37" t="n">
        <f aca="false">IFERROR(1/G6,"")</f>
        <v>2.15311578951431</v>
      </c>
      <c r="I6" s="36" t="n">
        <v>0.687243558391915</v>
      </c>
      <c r="J6" s="37" t="n">
        <f aca="false">IFERROR(1/I6,"")</f>
        <v>1.45508821114294</v>
      </c>
      <c r="K6" s="36" t="n">
        <v>0.406291650445159</v>
      </c>
      <c r="L6" s="37" t="n">
        <f aca="false">IFERROR(1/K6,"")</f>
        <v>2.46128612021521</v>
      </c>
      <c r="M6" s="36" t="n">
        <v>0.629092002916607</v>
      </c>
      <c r="N6" s="37" t="n">
        <f aca="false">IFERROR(1/M6,"")</f>
        <v>1.58959261183385</v>
      </c>
      <c r="O6" s="36" t="n">
        <v>0.786226646197878</v>
      </c>
      <c r="P6" s="37" t="n">
        <f aca="false">IFERROR(1/O6,"")</f>
        <v>1.27189787427825</v>
      </c>
      <c r="Q6" s="36" t="n">
        <v>0.458341074266405</v>
      </c>
      <c r="R6" s="37" t="n">
        <f aca="false">IFERROR(1/Q6,"")</f>
        <v>2.18178133304012</v>
      </c>
      <c r="S6" s="36" t="n">
        <v>0.615475717547675</v>
      </c>
      <c r="T6" s="37" t="n">
        <f aca="false">IFERROR(1/S6,"")</f>
        <v>1.62475946895913</v>
      </c>
      <c r="U6" s="36" t="n">
        <v>0.704133732116288</v>
      </c>
      <c r="V6" s="37" t="n">
        <f aca="false">IFERROR(1/U6,"")</f>
        <v>1.42018476659892</v>
      </c>
      <c r="W6" s="36" t="n">
        <v>0.379934995752719</v>
      </c>
      <c r="X6" s="37" t="n">
        <f aca="false">IFERROR(1/W6,"")</f>
        <v>2.63202919230649</v>
      </c>
      <c r="Y6" s="36" t="n">
        <v>0.468593010321331</v>
      </c>
      <c r="Z6" s="37" t="n">
        <f aca="false">IFERROR(1/Y6,"")</f>
        <v>2.13404805017101</v>
      </c>
      <c r="AA6" s="36" t="n">
        <v>0.510278298932802</v>
      </c>
      <c r="AB6" s="37" t="n">
        <f aca="false">IFERROR(1/AA6,"")</f>
        <v>1.95971492828796</v>
      </c>
    </row>
    <row r="7" customFormat="false" ht="18.75" hidden="false" customHeight="true" outlineLevel="0" collapsed="false">
      <c r="A7" s="42" t="n">
        <v>21</v>
      </c>
      <c r="B7" s="40" t="n">
        <v>46297</v>
      </c>
      <c r="C7" s="41" t="s">
        <v>87</v>
      </c>
      <c r="D7" s="41" t="s">
        <v>88</v>
      </c>
      <c r="E7" s="43" t="n">
        <v>0.302928061698203</v>
      </c>
      <c r="F7" s="44" t="n">
        <f aca="false">IFERROR(1/E7,"")</f>
        <v>3.30111378389324</v>
      </c>
      <c r="G7" s="43" t="n">
        <v>0.561302891404761</v>
      </c>
      <c r="H7" s="44" t="n">
        <f aca="false">IFERROR(1/G7,"")</f>
        <v>1.78156930119729</v>
      </c>
      <c r="I7" s="43" t="n">
        <v>0.771953242011009</v>
      </c>
      <c r="J7" s="44" t="n">
        <f aca="false">IFERROR(1/I7,"")</f>
        <v>1.29541524742471</v>
      </c>
      <c r="K7" s="43" t="n">
        <v>0.474910380453335</v>
      </c>
      <c r="L7" s="44" t="n">
        <f aca="false">IFERROR(1/K7,"")</f>
        <v>2.10566043859776</v>
      </c>
      <c r="M7" s="43" t="n">
        <v>0.685560731059584</v>
      </c>
      <c r="N7" s="44" t="n">
        <f aca="false">IFERROR(1/M7,"")</f>
        <v>1.45865997670903</v>
      </c>
      <c r="O7" s="43" t="n">
        <v>0.813649995185065</v>
      </c>
      <c r="P7" s="44" t="n">
        <f aca="false">IFERROR(1/O7,"")</f>
        <v>1.22902968833982</v>
      </c>
      <c r="Q7" s="43" t="n">
        <v>0.469025180312806</v>
      </c>
      <c r="R7" s="44" t="n">
        <f aca="false">IFERROR(1/Q7,"")</f>
        <v>2.13208169193192</v>
      </c>
      <c r="S7" s="43" t="n">
        <v>0.597114444438287</v>
      </c>
      <c r="T7" s="44" t="n">
        <f aca="false">IFERROR(1/S7,"")</f>
        <v>1.67472083335836</v>
      </c>
      <c r="U7" s="43" t="n">
        <v>0.659423800342946</v>
      </c>
      <c r="V7" s="44" t="n">
        <f aca="false">IFERROR(1/U7,"")</f>
        <v>1.5164754433794</v>
      </c>
      <c r="W7" s="43" t="n">
        <v>0.33873961473173</v>
      </c>
      <c r="X7" s="44" t="n">
        <f aca="false">IFERROR(1/W7,"")</f>
        <v>2.95212002526473</v>
      </c>
      <c r="Y7" s="43" t="n">
        <v>0.401048970636389</v>
      </c>
      <c r="Z7" s="44" t="n">
        <f aca="false">IFERROR(1/Y7,"")</f>
        <v>2.4934610813567</v>
      </c>
      <c r="AA7" s="43" t="n">
        <v>0.426307760927159</v>
      </c>
      <c r="AB7" s="44" t="n">
        <f aca="false">IFERROR(1/AA7,"")</f>
        <v>2.34572318792682</v>
      </c>
    </row>
    <row r="8" customFormat="false" ht="18.75" hidden="false" customHeight="true" outlineLevel="0" collapsed="false">
      <c r="A8" s="35" t="n">
        <v>21</v>
      </c>
      <c r="B8" s="33" t="n">
        <v>46298</v>
      </c>
      <c r="C8" s="34" t="s">
        <v>90</v>
      </c>
      <c r="D8" s="34" t="s">
        <v>91</v>
      </c>
      <c r="E8" s="36" t="n">
        <v>0.288039366852511</v>
      </c>
      <c r="F8" s="37" t="n">
        <f aca="false">IFERROR(1/E8,"")</f>
        <v>3.47174766743618</v>
      </c>
      <c r="G8" s="36" t="n">
        <v>0.542964068724269</v>
      </c>
      <c r="H8" s="37" t="n">
        <f aca="false">IFERROR(1/G8,"")</f>
        <v>1.84174249752763</v>
      </c>
      <c r="I8" s="36" t="n">
        <v>0.756868354858637</v>
      </c>
      <c r="J8" s="37" t="n">
        <f aca="false">IFERROR(1/I8,"")</f>
        <v>1.32123373051681</v>
      </c>
      <c r="K8" s="36" t="n">
        <v>0.462571246213642</v>
      </c>
      <c r="L8" s="37" t="n">
        <f aca="false">IFERROR(1/K8,"")</f>
        <v>2.16182914131706</v>
      </c>
      <c r="M8" s="36" t="n">
        <v>0.676475532348011</v>
      </c>
      <c r="N8" s="37" t="n">
        <f aca="false">IFERROR(1/M8,"")</f>
        <v>1.47825006549617</v>
      </c>
      <c r="O8" s="36" t="n">
        <v>0.810342857188946</v>
      </c>
      <c r="P8" s="37" t="n">
        <f aca="false">IFERROR(1/O8,"")</f>
        <v>1.23404555383997</v>
      </c>
      <c r="Q8" s="36" t="n">
        <v>0.468828988006127</v>
      </c>
      <c r="R8" s="37" t="n">
        <f aca="false">IFERROR(1/Q8,"")</f>
        <v>2.1329739107065</v>
      </c>
      <c r="S8" s="36" t="n">
        <v>0.602696312847062</v>
      </c>
      <c r="T8" s="37" t="n">
        <f aca="false">IFERROR(1/S8,"")</f>
        <v>1.65921041606531</v>
      </c>
      <c r="U8" s="36" t="n">
        <v>0.669718665634556</v>
      </c>
      <c r="V8" s="37" t="n">
        <f aca="false">IFERROR(1/U8,"")</f>
        <v>1.49316429616383</v>
      </c>
      <c r="W8" s="36" t="n">
        <v>0.347771610975303</v>
      </c>
      <c r="X8" s="37" t="n">
        <f aca="false">IFERROR(1/W8,"")</f>
        <v>2.87545034856515</v>
      </c>
      <c r="Y8" s="36" t="n">
        <v>0.414793963762798</v>
      </c>
      <c r="Z8" s="37" t="n">
        <f aca="false">IFERROR(1/Y8,"")</f>
        <v>2.41083546859871</v>
      </c>
      <c r="AA8" s="36" t="n">
        <v>0.44275694737679</v>
      </c>
      <c r="AB8" s="37" t="n">
        <f aca="false">IFERROR(1/AA8,"")</f>
        <v>2.25857551400315</v>
      </c>
    </row>
    <row r="9" customFormat="false" ht="18.75" hidden="false" customHeight="true" outlineLevel="0" collapsed="false">
      <c r="A9" s="42" t="n">
        <v>29</v>
      </c>
      <c r="B9" s="40" t="n">
        <v>46302</v>
      </c>
      <c r="C9" s="41" t="s">
        <v>92</v>
      </c>
      <c r="D9" s="41" t="s">
        <v>90</v>
      </c>
      <c r="E9" s="43" t="n">
        <v>0.312918878285025</v>
      </c>
      <c r="F9" s="44" t="n">
        <f aca="false">IFERROR(1/E9,"")</f>
        <v>3.19571642810614</v>
      </c>
      <c r="G9" s="43" t="n">
        <v>0.573271807681676</v>
      </c>
      <c r="H9" s="44" t="n">
        <f aca="false">IFERROR(1/G9,"")</f>
        <v>1.74437323901209</v>
      </c>
      <c r="I9" s="43" t="n">
        <v>0.781565350714434</v>
      </c>
      <c r="J9" s="44" t="n">
        <f aca="false">IFERROR(1/I9,"")</f>
        <v>1.27948353785885</v>
      </c>
      <c r="K9" s="43" t="n">
        <v>0.482809844711478</v>
      </c>
      <c r="L9" s="44" t="n">
        <f aca="false">IFERROR(1/K9,"")</f>
        <v>2.07120880187849</v>
      </c>
      <c r="M9" s="43" t="n">
        <v>0.691103387744236</v>
      </c>
      <c r="N9" s="44" t="n">
        <f aca="false">IFERROR(1/M9,"")</f>
        <v>1.4469615078346</v>
      </c>
      <c r="O9" s="43" t="n">
        <v>0.815370185648016</v>
      </c>
      <c r="P9" s="44" t="n">
        <f aca="false">IFERROR(1/O9,"")</f>
        <v>1.22643679840372</v>
      </c>
      <c r="Q9" s="43" t="n">
        <v>0.468646472429409</v>
      </c>
      <c r="R9" s="44" t="n">
        <f aca="false">IFERROR(1/Q9,"")</f>
        <v>2.13380460289419</v>
      </c>
      <c r="S9" s="43" t="n">
        <v>0.592913270333189</v>
      </c>
      <c r="T9" s="44" t="n">
        <f aca="false">IFERROR(1/S9,"")</f>
        <v>1.68658731392206</v>
      </c>
      <c r="U9" s="43" t="n">
        <v>0.652222788377463</v>
      </c>
      <c r="V9" s="44" t="n">
        <f aca="false">IFERROR(1/U9,"")</f>
        <v>1.5332184306036</v>
      </c>
      <c r="W9" s="43" t="n">
        <v>0.332560340936538</v>
      </c>
      <c r="X9" s="44" t="n">
        <f aca="false">IFERROR(1/W9,"")</f>
        <v>3.00697310203572</v>
      </c>
      <c r="Y9" s="43" t="n">
        <v>0.391869858980812</v>
      </c>
      <c r="Z9" s="44" t="n">
        <f aca="false">IFERROR(1/Y9,"")</f>
        <v>2.5518676088047</v>
      </c>
      <c r="AA9" s="43" t="n">
        <v>0.415459016811529</v>
      </c>
      <c r="AB9" s="44" t="n">
        <f aca="false">IFERROR(1/AA9,"")</f>
        <v>2.4069762829426</v>
      </c>
    </row>
    <row r="10" customFormat="false" ht="18.75" hidden="false" customHeight="true" outlineLevel="0" collapsed="false">
      <c r="A10" s="35" t="n">
        <v>29</v>
      </c>
      <c r="B10" s="33" t="n">
        <v>46302</v>
      </c>
      <c r="C10" s="34" t="s">
        <v>93</v>
      </c>
      <c r="D10" s="34" t="s">
        <v>84</v>
      </c>
      <c r="E10" s="36" t="n">
        <v>0.219736851584954</v>
      </c>
      <c r="F10" s="37" t="n">
        <f aca="false">IFERROR(1/E10,"")</f>
        <v>4.55089800726203</v>
      </c>
      <c r="G10" s="36" t="n">
        <v>0.451632451889502</v>
      </c>
      <c r="H10" s="37" t="n">
        <f aca="false">IFERROR(1/G10,"")</f>
        <v>2.2141898701395</v>
      </c>
      <c r="I10" s="36" t="n">
        <v>0.675081928389964</v>
      </c>
      <c r="J10" s="37" t="n">
        <f aca="false">IFERROR(1/I10,"")</f>
        <v>1.48130168790764</v>
      </c>
      <c r="K10" s="36" t="n">
        <v>0.396470262864833</v>
      </c>
      <c r="L10" s="37" t="n">
        <f aca="false">IFERROR(1/K10,"")</f>
        <v>2.52225726281249</v>
      </c>
      <c r="M10" s="36" t="n">
        <v>0.619919739365294</v>
      </c>
      <c r="N10" s="37" t="n">
        <f aca="false">IFERROR(1/M10,"")</f>
        <v>1.61311204741416</v>
      </c>
      <c r="O10" s="36" t="n">
        <v>0.780557569755276</v>
      </c>
      <c r="P10" s="37" t="n">
        <f aca="false">IFERROR(1/O10,"")</f>
        <v>1.28113548410468</v>
      </c>
      <c r="Q10" s="36" t="n">
        <v>0.45534507680501</v>
      </c>
      <c r="R10" s="37" t="n">
        <f aca="false">IFERROR(1/Q10,"")</f>
        <v>2.19613662459389</v>
      </c>
      <c r="S10" s="36" t="n">
        <v>0.615982907194992</v>
      </c>
      <c r="T10" s="37" t="n">
        <f aca="false">IFERROR(1/S10,"")</f>
        <v>1.62342167017866</v>
      </c>
      <c r="U10" s="36" t="n">
        <v>0.708368937206021</v>
      </c>
      <c r="V10" s="37" t="n">
        <f aca="false">IFERROR(1/U10,"")</f>
        <v>1.4116937480972</v>
      </c>
      <c r="W10" s="36" t="n">
        <v>0.384087306890444</v>
      </c>
      <c r="X10" s="37" t="n">
        <f aca="false">IFERROR(1/W10,"")</f>
        <v>2.6035747135097</v>
      </c>
      <c r="Y10" s="36" t="n">
        <v>0.476473336901473</v>
      </c>
      <c r="Z10" s="37" t="n">
        <f aca="false">IFERROR(1/Y10,"")</f>
        <v>2.09875332479891</v>
      </c>
      <c r="AA10" s="36" t="n">
        <v>0.520750882029323</v>
      </c>
      <c r="AB10" s="37" t="n">
        <f aca="false">IFERROR(1/AA10,"")</f>
        <v>1.92030399661174</v>
      </c>
    </row>
    <row r="11" customFormat="false" ht="18.75" hidden="false" customHeight="true" outlineLevel="0" collapsed="false">
      <c r="A11" s="42" t="n">
        <v>29</v>
      </c>
      <c r="B11" s="40" t="n">
        <v>46302</v>
      </c>
      <c r="C11" s="41" t="s">
        <v>91</v>
      </c>
      <c r="D11" s="41" t="s">
        <v>95</v>
      </c>
      <c r="E11" s="43" t="n">
        <v>0.261965638024467</v>
      </c>
      <c r="F11" s="44" t="n">
        <f aca="false">IFERROR(1/E11,"")</f>
        <v>3.81729454115124</v>
      </c>
      <c r="G11" s="43" t="n">
        <v>0.509439447790371</v>
      </c>
      <c r="H11" s="44" t="n">
        <f aca="false">IFERROR(1/G11,"")</f>
        <v>1.96294182623151</v>
      </c>
      <c r="I11" s="43" t="n">
        <v>0.728156514599608</v>
      </c>
      <c r="J11" s="44" t="n">
        <f aca="false">IFERROR(1/I11,"")</f>
        <v>1.37333111762362</v>
      </c>
      <c r="K11" s="43" t="n">
        <v>0.439238439155557</v>
      </c>
      <c r="L11" s="44" t="n">
        <f aca="false">IFERROR(1/K11,"")</f>
        <v>2.27666777507569</v>
      </c>
      <c r="M11" s="43" t="n">
        <v>0.657955505964794</v>
      </c>
      <c r="N11" s="44" t="n">
        <f aca="false">IFERROR(1/M11,"")</f>
        <v>1.51985961198645</v>
      </c>
      <c r="O11" s="43" t="n">
        <v>0.802088020653686</v>
      </c>
      <c r="P11" s="44" t="n">
        <f aca="false">IFERROR(1/O11,"")</f>
        <v>1.2467459608548</v>
      </c>
      <c r="Q11" s="43" t="n">
        <v>0.466190876575141</v>
      </c>
      <c r="R11" s="44" t="n">
        <f aca="false">IFERROR(1/Q11,"")</f>
        <v>2.14504412301346</v>
      </c>
      <c r="S11" s="43" t="n">
        <v>0.610323391264033</v>
      </c>
      <c r="T11" s="44" t="n">
        <f aca="false">IFERROR(1/S11,"")</f>
        <v>1.63847562507626</v>
      </c>
      <c r="U11" s="43" t="n">
        <v>0.686308981574322</v>
      </c>
      <c r="V11" s="44" t="n">
        <f aca="false">IFERROR(1/U11,"")</f>
        <v>1.45706966810503</v>
      </c>
      <c r="W11" s="43" t="n">
        <v>0.362849581498129</v>
      </c>
      <c r="X11" s="44" t="n">
        <f aca="false">IFERROR(1/W11,"")</f>
        <v>2.75596294164434</v>
      </c>
      <c r="Y11" s="43" t="n">
        <v>0.438835171808418</v>
      </c>
      <c r="Z11" s="44" t="n">
        <f aca="false">IFERROR(1/Y11,"")</f>
        <v>2.27875991771364</v>
      </c>
      <c r="AA11" s="43" t="n">
        <v>0.47221770377484</v>
      </c>
      <c r="AB11" s="44" t="n">
        <f aca="false">IFERROR(1/AA11,"")</f>
        <v>2.11766732167419</v>
      </c>
    </row>
    <row r="12" customFormat="false" ht="18.75" hidden="false" customHeight="true" outlineLevel="0" collapsed="false">
      <c r="A12" s="35" t="n">
        <v>29</v>
      </c>
      <c r="B12" s="33" t="n">
        <v>46302</v>
      </c>
      <c r="C12" s="34" t="s">
        <v>96</v>
      </c>
      <c r="D12" s="34" t="s">
        <v>87</v>
      </c>
      <c r="E12" s="36" t="n">
        <v>0.362801066794272</v>
      </c>
      <c r="F12" s="37" t="n">
        <f aca="false">IFERROR(1/E12,"")</f>
        <v>2.756331476189</v>
      </c>
      <c r="G12" s="36" t="n">
        <v>0.630070610074968</v>
      </c>
      <c r="H12" s="37" t="n">
        <f aca="false">IFERROR(1/G12,"")</f>
        <v>1.58712370329576</v>
      </c>
      <c r="I12" s="36" t="n">
        <v>0.824713901131381</v>
      </c>
      <c r="J12" s="37" t="n">
        <f aca="false">IFERROR(1/I12,"")</f>
        <v>1.21254170522426</v>
      </c>
      <c r="K12" s="36" t="n">
        <v>0.517690016386827</v>
      </c>
      <c r="L12" s="37" t="n">
        <f aca="false">IFERROR(1/K12,"")</f>
        <v>1.93165788086742</v>
      </c>
      <c r="M12" s="36" t="n">
        <v>0.712333307443241</v>
      </c>
      <c r="N12" s="37" t="n">
        <f aca="false">IFERROR(1/M12,"")</f>
        <v>1.40383720591316</v>
      </c>
      <c r="O12" s="36" t="n">
        <v>0.818053658479767</v>
      </c>
      <c r="P12" s="37" t="n">
        <f aca="false">IFERROR(1/O12,"")</f>
        <v>1.22241370065914</v>
      </c>
      <c r="Q12" s="36" t="n">
        <v>0.461912834337109</v>
      </c>
      <c r="R12" s="37" t="n">
        <f aca="false">IFERROR(1/Q12,"")</f>
        <v>2.16491061876447</v>
      </c>
      <c r="S12" s="36" t="n">
        <v>0.567633185373635</v>
      </c>
      <c r="T12" s="37" t="n">
        <f aca="false">IFERROR(1/S12,"")</f>
        <v>1.76170108754612</v>
      </c>
      <c r="U12" s="36" t="n">
        <v>0.613570726041489</v>
      </c>
      <c r="V12" s="37" t="n">
        <f aca="false">IFERROR(1/U12,"")</f>
        <v>1.62980396156055</v>
      </c>
      <c r="W12" s="36" t="n">
        <v>0.300363642092939</v>
      </c>
      <c r="X12" s="37" t="n">
        <f aca="false">IFERROR(1/W12,"")</f>
        <v>3.32929775731837</v>
      </c>
      <c r="Y12" s="36" t="n">
        <v>0.346301182760794</v>
      </c>
      <c r="Z12" s="37" t="n">
        <f aca="false">IFERROR(1/Y12,"")</f>
        <v>2.88765978801391</v>
      </c>
      <c r="AA12" s="36" t="n">
        <v>0.362935142242269</v>
      </c>
      <c r="AB12" s="37" t="n">
        <f aca="false">IFERROR(1/AA12,"")</f>
        <v>2.75531323261188</v>
      </c>
    </row>
    <row r="13" customFormat="false" ht="18.75" hidden="false" customHeight="true" outlineLevel="0" collapsed="false">
      <c r="A13" s="42" t="n">
        <v>29</v>
      </c>
      <c r="B13" s="40" t="n">
        <v>46302</v>
      </c>
      <c r="C13" s="41" t="s">
        <v>98</v>
      </c>
      <c r="D13" s="41" t="s">
        <v>99</v>
      </c>
      <c r="E13" s="43" t="n">
        <v>0.228766555365577</v>
      </c>
      <c r="F13" s="44" t="n">
        <f aca="false">IFERROR(1/E13,"")</f>
        <v>4.37126833685092</v>
      </c>
      <c r="G13" s="43" t="n">
        <v>0.464536252150762</v>
      </c>
      <c r="H13" s="44" t="n">
        <f aca="false">IFERROR(1/G13,"")</f>
        <v>2.15268452218764</v>
      </c>
      <c r="I13" s="43" t="n">
        <v>0.687332531560921</v>
      </c>
      <c r="J13" s="44" t="n">
        <f aca="false">IFERROR(1/I13,"")</f>
        <v>1.45489985426562</v>
      </c>
      <c r="K13" s="43" t="n">
        <v>0.406160352978094</v>
      </c>
      <c r="L13" s="44" t="n">
        <f aca="false">IFERROR(1/K13,"")</f>
        <v>2.46208176811865</v>
      </c>
      <c r="M13" s="43" t="n">
        <v>0.628956632388253</v>
      </c>
      <c r="N13" s="44" t="n">
        <f aca="false">IFERROR(1/M13,"")</f>
        <v>1.58993474033787</v>
      </c>
      <c r="O13" s="43" t="n">
        <v>0.786067176363151</v>
      </c>
      <c r="P13" s="44" t="n">
        <f aca="false">IFERROR(1/O13,"")</f>
        <v>1.27215590482564</v>
      </c>
      <c r="Q13" s="43" t="n">
        <v>0.458565976195344</v>
      </c>
      <c r="R13" s="44" t="n">
        <f aca="false">IFERROR(1/Q13,"")</f>
        <v>2.18071128673099</v>
      </c>
      <c r="S13" s="43" t="n">
        <v>0.615676520170242</v>
      </c>
      <c r="T13" s="44" t="n">
        <f aca="false">IFERROR(1/S13,"")</f>
        <v>1.6242295543827</v>
      </c>
      <c r="U13" s="43" t="n">
        <v>0.704308962663221</v>
      </c>
      <c r="V13" s="44" t="n">
        <f aca="false">IFERROR(1/U13,"")</f>
        <v>1.41983142769996</v>
      </c>
      <c r="W13" s="43" t="n">
        <v>0.379906823385057</v>
      </c>
      <c r="X13" s="44" t="n">
        <f aca="false">IFERROR(1/W13,"")</f>
        <v>2.63222437304434</v>
      </c>
      <c r="Y13" s="43" t="n">
        <v>0.468539265878036</v>
      </c>
      <c r="Z13" s="44" t="n">
        <f aca="false">IFERROR(1/Y13,"")</f>
        <v>2.13429283909858</v>
      </c>
      <c r="AA13" s="43" t="n">
        <v>0.510206901414147</v>
      </c>
      <c r="AB13" s="44" t="n">
        <f aca="false">IFERROR(1/AA13,"")</f>
        <v>1.95998916758728</v>
      </c>
    </row>
    <row r="14" customFormat="false" ht="18.75" hidden="false" customHeight="true" outlineLevel="0" collapsed="false">
      <c r="A14" s="35" t="n">
        <v>29</v>
      </c>
      <c r="B14" s="33" t="n">
        <v>46302</v>
      </c>
      <c r="C14" s="34" t="s">
        <v>100</v>
      </c>
      <c r="D14" s="34" t="s">
        <v>101</v>
      </c>
      <c r="E14" s="36" t="n">
        <v>0.344030352408325</v>
      </c>
      <c r="F14" s="37" t="n">
        <f aca="false">IFERROR(1/E14,"")</f>
        <v>2.90672027337028</v>
      </c>
      <c r="G14" s="36" t="n">
        <v>0.609301882214727</v>
      </c>
      <c r="H14" s="37" t="n">
        <f aca="false">IFERROR(1/G14,"")</f>
        <v>1.6412225683025</v>
      </c>
      <c r="I14" s="36" t="n">
        <v>0.80940512870564</v>
      </c>
      <c r="J14" s="37" t="n">
        <f aca="false">IFERROR(1/I14,"")</f>
        <v>1.2354752453807</v>
      </c>
      <c r="K14" s="36" t="n">
        <v>0.50543358617203</v>
      </c>
      <c r="L14" s="37" t="n">
        <f aca="false">IFERROR(1/K14,"")</f>
        <v>1.97849930704771</v>
      </c>
      <c r="M14" s="36" t="n">
        <v>0.705536832662943</v>
      </c>
      <c r="N14" s="37" t="n">
        <f aca="false">IFERROR(1/M14,"")</f>
        <v>1.41736044626565</v>
      </c>
      <c r="O14" s="36" t="n">
        <v>0.818101938553411</v>
      </c>
      <c r="P14" s="37" t="n">
        <f aca="false">IFERROR(1/O14,"")</f>
        <v>1.22234156023176</v>
      </c>
      <c r="Q14" s="36" t="n">
        <v>0.465374776297314</v>
      </c>
      <c r="R14" s="37" t="n">
        <f aca="false">IFERROR(1/Q14,"")</f>
        <v>2.14880576028712</v>
      </c>
      <c r="S14" s="36" t="n">
        <v>0.577939882187782</v>
      </c>
      <c r="T14" s="37" t="n">
        <f aca="false">IFERROR(1/S14,"")</f>
        <v>1.73028377314006</v>
      </c>
      <c r="U14" s="36" t="n">
        <v>0.628597343418758</v>
      </c>
      <c r="V14" s="37" t="n">
        <f aca="false">IFERROR(1/U14,"")</f>
        <v>1.59084350334873</v>
      </c>
      <c r="W14" s="36" t="n">
        <v>0.312668352381381</v>
      </c>
      <c r="X14" s="37" t="n">
        <f aca="false">IFERROR(1/W14,"")</f>
        <v>3.19827699984243</v>
      </c>
      <c r="Y14" s="36" t="n">
        <v>0.363325813612357</v>
      </c>
      <c r="Z14" s="37" t="n">
        <f aca="false">IFERROR(1/Y14,"")</f>
        <v>2.75235054194891</v>
      </c>
      <c r="AA14" s="36" t="n">
        <v>0.382323547990665</v>
      </c>
      <c r="AB14" s="37" t="n">
        <f aca="false">IFERROR(1/AA14,"")</f>
        <v>2.61558568718979</v>
      </c>
    </row>
    <row r="15" customFormat="false" ht="18.75" hidden="false" customHeight="true" outlineLevel="0" collapsed="false">
      <c r="A15" s="42" t="n">
        <v>29</v>
      </c>
      <c r="B15" s="40" t="n">
        <v>46302</v>
      </c>
      <c r="C15" s="41" t="s">
        <v>102</v>
      </c>
      <c r="D15" s="41" t="s">
        <v>103</v>
      </c>
      <c r="E15" s="43" t="n">
        <v>0.240567966830967</v>
      </c>
      <c r="F15" s="44" t="n">
        <f aca="false">IFERROR(1/E15,"")</f>
        <v>4.15682941155105</v>
      </c>
      <c r="G15" s="43" t="n">
        <v>0.481030809357228</v>
      </c>
      <c r="H15" s="44" t="n">
        <f aca="false">IFERROR(1/G15,"")</f>
        <v>2.07886892179783</v>
      </c>
      <c r="I15" s="43" t="n">
        <v>0.702651409272552</v>
      </c>
      <c r="J15" s="44" t="n">
        <f aca="false">IFERROR(1/I15,"")</f>
        <v>1.42318080744375</v>
      </c>
      <c r="K15" s="43" t="n">
        <v>0.418364929353821</v>
      </c>
      <c r="L15" s="44" t="n">
        <f aca="false">IFERROR(1/K15,"")</f>
        <v>2.39025771482455</v>
      </c>
      <c r="M15" s="43" t="n">
        <v>0.639985529269145</v>
      </c>
      <c r="N15" s="44" t="n">
        <f aca="false">IFERROR(1/M15,"")</f>
        <v>1.56253532973157</v>
      </c>
      <c r="O15" s="43" t="n">
        <v>0.792448152898918</v>
      </c>
      <c r="P15" s="44" t="n">
        <f aca="false">IFERROR(1/O15,"")</f>
        <v>1.26191221008191</v>
      </c>
      <c r="Q15" s="43" t="n">
        <v>0.462083442441585</v>
      </c>
      <c r="R15" s="44" t="n">
        <f aca="false">IFERROR(1/Q15,"")</f>
        <v>2.16411130144837</v>
      </c>
      <c r="S15" s="43" t="n">
        <v>0.614546066071358</v>
      </c>
      <c r="T15" s="44" t="n">
        <f aca="false">IFERROR(1/S15,"")</f>
        <v>1.62721731568921</v>
      </c>
      <c r="U15" s="43" t="n">
        <v>0.698454697716449</v>
      </c>
      <c r="V15" s="44" t="n">
        <f aca="false">IFERROR(1/U15,"")</f>
        <v>1.43173208408424</v>
      </c>
      <c r="W15" s="43" t="n">
        <v>0.374083223545097</v>
      </c>
      <c r="X15" s="44" t="n">
        <f aca="false">IFERROR(1/W15,"")</f>
        <v>2.67320194293462</v>
      </c>
      <c r="Y15" s="43" t="n">
        <v>0.457991855190189</v>
      </c>
      <c r="Z15" s="44" t="n">
        <f aca="false">IFERROR(1/Y15,"")</f>
        <v>2.18344494267204</v>
      </c>
      <c r="AA15" s="43" t="n">
        <v>0.496474830541405</v>
      </c>
      <c r="AB15" s="44" t="n">
        <f aca="false">IFERROR(1/AA15,"")</f>
        <v>2.01420079827512</v>
      </c>
    </row>
    <row r="16" customFormat="false" ht="18.75" hidden="false" customHeight="true" outlineLevel="0" collapsed="false">
      <c r="A16" s="35" t="n">
        <v>29</v>
      </c>
      <c r="B16" s="33" t="n">
        <v>46302</v>
      </c>
      <c r="C16" s="34" t="s">
        <v>104</v>
      </c>
      <c r="D16" s="34" t="s">
        <v>105</v>
      </c>
      <c r="E16" s="36" t="n">
        <v>0.239020534411089</v>
      </c>
      <c r="F16" s="37" t="n">
        <f aca="false">IFERROR(1/E16,"")</f>
        <v>4.18374095959518</v>
      </c>
      <c r="G16" s="36" t="n">
        <v>0.478530331368083</v>
      </c>
      <c r="H16" s="37" t="n">
        <f aca="false">IFERROR(1/G16,"")</f>
        <v>2.08973169399957</v>
      </c>
      <c r="I16" s="36" t="n">
        <v>0.700351703855021</v>
      </c>
      <c r="J16" s="37" t="n">
        <f aca="false">IFERROR(1/I16,"")</f>
        <v>1.42785402604947</v>
      </c>
      <c r="K16" s="36" t="n">
        <v>0.416787726950969</v>
      </c>
      <c r="L16" s="37" t="n">
        <f aca="false">IFERROR(1/K16,"")</f>
        <v>2.39930289530248</v>
      </c>
      <c r="M16" s="36" t="n">
        <v>0.638609099437907</v>
      </c>
      <c r="N16" s="37" t="n">
        <f aca="false">IFERROR(1/M16,"")</f>
        <v>1.56590314932904</v>
      </c>
      <c r="O16" s="36" t="n">
        <v>0.791783810720465</v>
      </c>
      <c r="P16" s="37" t="n">
        <f aca="false">IFERROR(1/O16,"")</f>
        <v>1.26297101110223</v>
      </c>
      <c r="Q16" s="36" t="n">
        <v>0.461331169443933</v>
      </c>
      <c r="R16" s="37" t="n">
        <f aca="false">IFERROR(1/Q16,"")</f>
        <v>2.16764022514532</v>
      </c>
      <c r="S16" s="36" t="n">
        <v>0.61450588072649</v>
      </c>
      <c r="T16" s="37" t="n">
        <f aca="false">IFERROR(1/S16,"")</f>
        <v>1.62732372685802</v>
      </c>
      <c r="U16" s="36" t="n">
        <v>0.699123487816181</v>
      </c>
      <c r="V16" s="37" t="n">
        <f aca="false">IFERROR(1/U16,"")</f>
        <v>1.4303624716195</v>
      </c>
      <c r="W16" s="36" t="n">
        <v>0.374996083769495</v>
      </c>
      <c r="X16" s="37" t="n">
        <f aca="false">IFERROR(1/W16,"")</f>
        <v>2.66669451570776</v>
      </c>
      <c r="Y16" s="36" t="n">
        <v>0.459613690859187</v>
      </c>
      <c r="Z16" s="37" t="n">
        <f aca="false">IFERROR(1/Y16,"")</f>
        <v>2.17574023552395</v>
      </c>
      <c r="AA16" s="36" t="n">
        <v>0.498567789796452</v>
      </c>
      <c r="AB16" s="37" t="n">
        <f aca="false">IFERROR(1/AA16,"")</f>
        <v>2.00574529776235</v>
      </c>
    </row>
    <row r="17" customFormat="false" ht="18.75" hidden="false" customHeight="true" outlineLevel="0" collapsed="false">
      <c r="A17" s="42" t="n">
        <v>29</v>
      </c>
      <c r="B17" s="40" t="n">
        <v>46302</v>
      </c>
      <c r="C17" s="41" t="s">
        <v>88</v>
      </c>
      <c r="D17" s="41" t="s">
        <v>8</v>
      </c>
      <c r="E17" s="43" t="n">
        <v>0.248271691796078</v>
      </c>
      <c r="F17" s="44" t="n">
        <f aca="false">IFERROR(1/E17,"")</f>
        <v>4.02784543322549</v>
      </c>
      <c r="G17" s="43" t="n">
        <v>0.491210777346922</v>
      </c>
      <c r="H17" s="44" t="n">
        <f aca="false">IFERROR(1/G17,"")</f>
        <v>2.03578595201249</v>
      </c>
      <c r="I17" s="43" t="n">
        <v>0.711916115856198</v>
      </c>
      <c r="J17" s="44" t="n">
        <f aca="false">IFERROR(1/I17,"")</f>
        <v>1.40465987175657</v>
      </c>
      <c r="K17" s="43" t="n">
        <v>0.42606119711209</v>
      </c>
      <c r="L17" s="44" t="n">
        <f aca="false">IFERROR(1/K17,"")</f>
        <v>2.34708067004965</v>
      </c>
      <c r="M17" s="43" t="n">
        <v>0.646766535621365</v>
      </c>
      <c r="N17" s="44" t="n">
        <f aca="false">IFERROR(1/M17,"")</f>
        <v>1.54615297008104</v>
      </c>
      <c r="O17" s="43" t="n">
        <v>0.796287111479944</v>
      </c>
      <c r="P17" s="44" t="n">
        <f aca="false">IFERROR(1/O17,"")</f>
        <v>1.25582843874171</v>
      </c>
      <c r="Q17" s="43" t="n">
        <v>0.463644424060119</v>
      </c>
      <c r="R17" s="44" t="n">
        <f aca="false">IFERROR(1/Q17,"")</f>
        <v>2.15682524819997</v>
      </c>
      <c r="S17" s="43" t="n">
        <v>0.613164999918697</v>
      </c>
      <c r="T17" s="44" t="n">
        <f aca="false">IFERROR(1/S17,"")</f>
        <v>1.63088238913277</v>
      </c>
      <c r="U17" s="43" t="n">
        <v>0.694201200514783</v>
      </c>
      <c r="V17" s="44" t="n">
        <f aca="false">IFERROR(1/U17,"")</f>
        <v>1.44050456734799</v>
      </c>
      <c r="W17" s="43" t="n">
        <v>0.370225914367854</v>
      </c>
      <c r="X17" s="44" t="n">
        <f aca="false">IFERROR(1/W17,"")</f>
        <v>2.70105349515433</v>
      </c>
      <c r="Y17" s="43" t="n">
        <v>0.451262114963939</v>
      </c>
      <c r="Z17" s="44" t="n">
        <f aca="false">IFERROR(1/Y17,"")</f>
        <v>2.21600698760168</v>
      </c>
      <c r="AA17" s="43" t="n">
        <v>0.487861680883995</v>
      </c>
      <c r="AB17" s="44" t="n">
        <f aca="false">IFERROR(1/AA17,"")</f>
        <v>2.04976131387901</v>
      </c>
    </row>
    <row r="18" customFormat="false" ht="18.75" hidden="false" customHeight="true" outlineLevel="0" collapsed="false">
      <c r="A18" s="35" t="n">
        <v>29</v>
      </c>
      <c r="B18" s="33" t="n">
        <v>46302</v>
      </c>
      <c r="C18" s="34" t="s">
        <v>106</v>
      </c>
      <c r="D18" s="34" t="s">
        <v>83</v>
      </c>
      <c r="E18" s="36" t="n">
        <v>0.262159194442211</v>
      </c>
      <c r="F18" s="37" t="n">
        <f aca="false">IFERROR(1/E18,"")</f>
        <v>3.81447617020518</v>
      </c>
      <c r="G18" s="36" t="n">
        <v>0.509851521941869</v>
      </c>
      <c r="H18" s="37" t="n">
        <f aca="false">IFERROR(1/G18,"")</f>
        <v>1.96135532986408</v>
      </c>
      <c r="I18" s="36" t="n">
        <v>0.728518902675651</v>
      </c>
      <c r="J18" s="37" t="n">
        <f aca="false">IFERROR(1/I18,"")</f>
        <v>1.37264797979472</v>
      </c>
      <c r="K18" s="36" t="n">
        <v>0.439412939162638</v>
      </c>
      <c r="L18" s="37" t="n">
        <f aca="false">IFERROR(1/K18,"")</f>
        <v>2.27576366300373</v>
      </c>
      <c r="M18" s="36" t="n">
        <v>0.658080319896419</v>
      </c>
      <c r="N18" s="37" t="n">
        <f aca="false">IFERROR(1/M18,"")</f>
        <v>1.51957134982763</v>
      </c>
      <c r="O18" s="36" t="n">
        <v>0.802089784662631</v>
      </c>
      <c r="P18" s="37" t="n">
        <f aca="false">IFERROR(1/O18,"")</f>
        <v>1.24674321892856</v>
      </c>
      <c r="Q18" s="36" t="n">
        <v>0.46635970823344</v>
      </c>
      <c r="R18" s="37" t="n">
        <f aca="false">IFERROR(1/Q18,"")</f>
        <v>2.14426757360317</v>
      </c>
      <c r="S18" s="36" t="n">
        <v>0.610369172999652</v>
      </c>
      <c r="T18" s="37" t="n">
        <f aca="false">IFERROR(1/S18,"")</f>
        <v>1.63835272853888</v>
      </c>
      <c r="U18" s="36" t="n">
        <v>0.686242312825658</v>
      </c>
      <c r="V18" s="37" t="n">
        <f aca="false">IFERROR(1/U18,"")</f>
        <v>1.4572112230772</v>
      </c>
      <c r="W18" s="36" t="n">
        <v>0.362676845499993</v>
      </c>
      <c r="X18" s="37" t="n">
        <f aca="false">IFERROR(1/W18,"")</f>
        <v>2.75727555372712</v>
      </c>
      <c r="Y18" s="36" t="n">
        <v>0.438549985325999</v>
      </c>
      <c r="Z18" s="37" t="n">
        <f aca="false">IFERROR(1/Y18,"")</f>
        <v>2.2802417819183</v>
      </c>
      <c r="AA18" s="36" t="n">
        <v>0.471862224886099</v>
      </c>
      <c r="AB18" s="37" t="n">
        <f aca="false">IFERROR(1/AA18,"")</f>
        <v>2.11926267300034</v>
      </c>
    </row>
    <row r="19" customFormat="false" ht="18.75" hidden="false" customHeight="true" outlineLevel="0" collapsed="false">
      <c r="A19" s="42" t="n">
        <v>30</v>
      </c>
      <c r="B19" s="40" t="n">
        <v>46306</v>
      </c>
      <c r="C19" s="41" t="s">
        <v>90</v>
      </c>
      <c r="D19" s="41" t="s">
        <v>88</v>
      </c>
      <c r="E19" s="43" t="n">
        <v>0.269220730843162</v>
      </c>
      <c r="F19" s="44" t="n">
        <f aca="false">IFERROR(1/E19,"")</f>
        <v>3.71442420822549</v>
      </c>
      <c r="G19" s="43" t="n">
        <v>0.519021623796047</v>
      </c>
      <c r="H19" s="44" t="n">
        <f aca="false">IFERROR(1/G19,"")</f>
        <v>1.92670199882261</v>
      </c>
      <c r="I19" s="43" t="n">
        <v>0.736514869063</v>
      </c>
      <c r="J19" s="44" t="n">
        <f aca="false">IFERROR(1/I19,"")</f>
        <v>1.35774584058596</v>
      </c>
      <c r="K19" s="43" t="n">
        <v>0.445953202528443</v>
      </c>
      <c r="L19" s="44" t="n">
        <f aca="false">IFERROR(1/K19,"")</f>
        <v>2.24238775353613</v>
      </c>
      <c r="M19" s="43" t="n">
        <v>0.663446447795395</v>
      </c>
      <c r="N19" s="44" t="n">
        <f aca="false">IFERROR(1/M19,"")</f>
        <v>1.50728066044058</v>
      </c>
      <c r="O19" s="43" t="n">
        <v>0.804688998153705</v>
      </c>
      <c r="P19" s="44" t="n">
        <f aca="false">IFERROR(1/O19,"")</f>
        <v>1.24271613293387</v>
      </c>
      <c r="Q19" s="43" t="n">
        <v>0.467294138219838</v>
      </c>
      <c r="R19" s="44" t="n">
        <f aca="false">IFERROR(1/Q19,"")</f>
        <v>2.13997976479977</v>
      </c>
      <c r="S19" s="43" t="n">
        <v>0.608536688578147</v>
      </c>
      <c r="T19" s="44" t="n">
        <f aca="false">IFERROR(1/S19,"")</f>
        <v>1.64328629443282</v>
      </c>
      <c r="U19" s="43" t="n">
        <v>0.68191628437105</v>
      </c>
      <c r="V19" s="44" t="n">
        <f aca="false">IFERROR(1/U19,"")</f>
        <v>1.46645566753451</v>
      </c>
      <c r="W19" s="43" t="n">
        <v>0.358735795625261</v>
      </c>
      <c r="X19" s="44" t="n">
        <f aca="false">IFERROR(1/W19,"")</f>
        <v>2.78756681712524</v>
      </c>
      <c r="Y19" s="43" t="n">
        <v>0.432115391418164</v>
      </c>
      <c r="Z19" s="44" t="n">
        <f aca="false">IFERROR(1/Y19,"")</f>
        <v>2.31419667028774</v>
      </c>
      <c r="AA19" s="43" t="n">
        <v>0.463884412539809</v>
      </c>
      <c r="AB19" s="44" t="n">
        <f aca="false">IFERROR(1/AA19,"")</f>
        <v>2.15570942452002</v>
      </c>
    </row>
    <row r="20" customFormat="false" ht="18.75" hidden="false" customHeight="true" outlineLevel="0" collapsed="false">
      <c r="A20" s="35" t="n">
        <v>30</v>
      </c>
      <c r="B20" s="33" t="n">
        <v>46306</v>
      </c>
      <c r="C20" s="34" t="s">
        <v>103</v>
      </c>
      <c r="D20" s="34" t="s">
        <v>95</v>
      </c>
      <c r="E20" s="36" t="n">
        <v>0.2379763423711</v>
      </c>
      <c r="F20" s="37" t="n">
        <f aca="false">IFERROR(1/E20,"")</f>
        <v>4.20209836841933</v>
      </c>
      <c r="G20" s="36" t="n">
        <v>0.477117254835232</v>
      </c>
      <c r="H20" s="37" t="n">
        <f aca="false">IFERROR(1/G20,"")</f>
        <v>2.09592084517115</v>
      </c>
      <c r="I20" s="36" t="n">
        <v>0.699049373267645</v>
      </c>
      <c r="J20" s="37" t="n">
        <f aca="false">IFERROR(1/I20,"")</f>
        <v>1.43051412137828</v>
      </c>
      <c r="K20" s="36" t="n">
        <v>0.415722254476894</v>
      </c>
      <c r="L20" s="37" t="n">
        <f aca="false">IFERROR(1/K20,"")</f>
        <v>2.40545217204767</v>
      </c>
      <c r="M20" s="36" t="n">
        <v>0.637654372909307</v>
      </c>
      <c r="N20" s="37" t="n">
        <f aca="false">IFERROR(1/M20,"")</f>
        <v>1.56824769418186</v>
      </c>
      <c r="O20" s="36" t="n">
        <v>0.791231278024327</v>
      </c>
      <c r="P20" s="37" t="n">
        <f aca="false">IFERROR(1/O20,"")</f>
        <v>1.26385296913054</v>
      </c>
      <c r="Q20" s="36" t="n">
        <v>0.461073030896545</v>
      </c>
      <c r="R20" s="37" t="n">
        <f aca="false">IFERROR(1/Q20,"")</f>
        <v>2.16885381054608</v>
      </c>
      <c r="S20" s="36" t="n">
        <v>0.614649936011565</v>
      </c>
      <c r="T20" s="37" t="n">
        <f aca="false">IFERROR(1/S20,"")</f>
        <v>1.62694233157975</v>
      </c>
      <c r="U20" s="36" t="n">
        <v>0.699670043786152</v>
      </c>
      <c r="V20" s="37" t="n">
        <f aca="false">IFERROR(1/U20,"")</f>
        <v>1.42924512615784</v>
      </c>
      <c r="W20" s="36" t="n">
        <v>0.375509023547433</v>
      </c>
      <c r="X20" s="37" t="n">
        <f aca="false">IFERROR(1/W20,"")</f>
        <v>2.6630518504003</v>
      </c>
      <c r="Y20" s="36" t="n">
        <v>0.46052913132202</v>
      </c>
      <c r="Z20" s="37" t="n">
        <f aca="false">IFERROR(1/Y20,"")</f>
        <v>2.17141529598648</v>
      </c>
      <c r="AA20" s="36" t="n">
        <v>0.499751710180197</v>
      </c>
      <c r="AB20" s="37" t="n">
        <f aca="false">IFERROR(1/AA20,"")</f>
        <v>2.00099365270691</v>
      </c>
    </row>
    <row r="21" customFormat="false" ht="18.75" hidden="false" customHeight="true" outlineLevel="0" collapsed="false">
      <c r="A21" s="42" t="n">
        <v>30</v>
      </c>
      <c r="B21" s="40" t="n">
        <v>46306</v>
      </c>
      <c r="C21" s="41" t="s">
        <v>91</v>
      </c>
      <c r="D21" s="41" t="s">
        <v>96</v>
      </c>
      <c r="E21" s="43" t="n">
        <v>0.332590713620623</v>
      </c>
      <c r="F21" s="44" t="n">
        <f aca="false">IFERROR(1/E21,"")</f>
        <v>3.00669850073046</v>
      </c>
      <c r="G21" s="43" t="n">
        <v>0.596252334197999</v>
      </c>
      <c r="H21" s="44" t="n">
        <f aca="false">IFERROR(1/G21,"")</f>
        <v>1.67714228128779</v>
      </c>
      <c r="I21" s="43" t="n">
        <v>0.799510745383455</v>
      </c>
      <c r="J21" s="44" t="n">
        <f aca="false">IFERROR(1/I21,"")</f>
        <v>1.25076492814413</v>
      </c>
      <c r="K21" s="43" t="n">
        <v>0.497463608513207</v>
      </c>
      <c r="L21" s="44" t="n">
        <f aca="false">IFERROR(1/K21,"")</f>
        <v>2.01019729460964</v>
      </c>
      <c r="M21" s="43" t="n">
        <v>0.700722019698664</v>
      </c>
      <c r="N21" s="44" t="n">
        <f aca="false">IFERROR(1/M21,"")</f>
        <v>1.42709943727762</v>
      </c>
      <c r="O21" s="43" t="n">
        <v>0.817554706947522</v>
      </c>
      <c r="P21" s="44" t="n">
        <f aca="false">IFERROR(1/O21,"")</f>
        <v>1.22315973659263</v>
      </c>
      <c r="Q21" s="43" t="n">
        <v>0.466920031762832</v>
      </c>
      <c r="R21" s="44" t="n">
        <f aca="false">IFERROR(1/Q21,"")</f>
        <v>2.14169436300377</v>
      </c>
      <c r="S21" s="43" t="n">
        <v>0.583752719011691</v>
      </c>
      <c r="T21" s="44" t="n">
        <f aca="false">IFERROR(1/S21,"")</f>
        <v>1.71305411937614</v>
      </c>
      <c r="U21" s="43" t="n">
        <v>0.637476948105798</v>
      </c>
      <c r="V21" s="44" t="n">
        <f aca="false">IFERROR(1/U21,"")</f>
        <v>1.5686841743398</v>
      </c>
      <c r="W21" s="43" t="n">
        <v>0.320091098434315</v>
      </c>
      <c r="X21" s="44" t="n">
        <f aca="false">IFERROR(1/W21,"")</f>
        <v>3.1241106200434</v>
      </c>
      <c r="Y21" s="43" t="n">
        <v>0.373815327528422</v>
      </c>
      <c r="Z21" s="44" t="n">
        <f aca="false">IFERROR(1/Y21,"")</f>
        <v>2.67511770213319</v>
      </c>
      <c r="AA21" s="43" t="n">
        <v>0.394402408505228</v>
      </c>
      <c r="AB21" s="44" t="n">
        <f aca="false">IFERROR(1/AA21,"")</f>
        <v>2.5354814738327</v>
      </c>
    </row>
    <row r="22" customFormat="false" ht="18.75" hidden="false" customHeight="true" outlineLevel="0" collapsed="false">
      <c r="A22" s="35" t="n">
        <v>30</v>
      </c>
      <c r="B22" s="33" t="n">
        <v>46306</v>
      </c>
      <c r="C22" s="34" t="s">
        <v>83</v>
      </c>
      <c r="D22" s="34" t="s">
        <v>92</v>
      </c>
      <c r="E22" s="36" t="n">
        <v>0.274438988095627</v>
      </c>
      <c r="F22" s="37" t="n">
        <f aca="false">IFERROR(1/E22,"")</f>
        <v>3.64379714026476</v>
      </c>
      <c r="G22" s="36" t="n">
        <v>0.525681906242618</v>
      </c>
      <c r="H22" s="37" t="n">
        <f aca="false">IFERROR(1/G22,"")</f>
        <v>1.90229107778815</v>
      </c>
      <c r="I22" s="36" t="n">
        <v>0.742252318307819</v>
      </c>
      <c r="J22" s="37" t="n">
        <f aca="false">IFERROR(1/I22,"")</f>
        <v>1.34725076006471</v>
      </c>
      <c r="K22" s="36" t="n">
        <v>0.450682971345092</v>
      </c>
      <c r="L22" s="37" t="n">
        <f aca="false">IFERROR(1/K22,"")</f>
        <v>2.21885463525599</v>
      </c>
      <c r="M22" s="36" t="n">
        <v>0.667253383410293</v>
      </c>
      <c r="N22" s="37" t="n">
        <f aca="false">IFERROR(1/M22,"")</f>
        <v>1.49868104810358</v>
      </c>
      <c r="O22" s="36" t="n">
        <v>0.806465236527464</v>
      </c>
      <c r="P22" s="37" t="n">
        <f aca="false">IFERROR(1/O22,"")</f>
        <v>1.23997905266924</v>
      </c>
      <c r="Q22" s="36" t="n">
        <v>0.467813330212192</v>
      </c>
      <c r="R22" s="37" t="n">
        <f aca="false">IFERROR(1/Q22,"")</f>
        <v>2.13760475689399</v>
      </c>
      <c r="S22" s="36" t="n">
        <v>0.607025183329362</v>
      </c>
      <c r="T22" s="37" t="n">
        <f aca="false">IFERROR(1/S22,"")</f>
        <v>1.64737811125937</v>
      </c>
      <c r="U22" s="36" t="n">
        <v>0.678613688383255</v>
      </c>
      <c r="V22" s="37" t="n">
        <f aca="false">IFERROR(1/U22,"")</f>
        <v>1.47359243870017</v>
      </c>
      <c r="W22" s="36" t="n">
        <v>0.355782265182371</v>
      </c>
      <c r="X22" s="37" t="n">
        <f aca="false">IFERROR(1/W22,"")</f>
        <v>2.81070783415078</v>
      </c>
      <c r="Y22" s="36" t="n">
        <v>0.427370770236264</v>
      </c>
      <c r="Z22" s="37" t="n">
        <f aca="false">IFERROR(1/Y22,"")</f>
        <v>2.33988861579646</v>
      </c>
      <c r="AA22" s="36" t="n">
        <v>0.458048917373741</v>
      </c>
      <c r="AB22" s="37" t="n">
        <f aca="false">IFERROR(1/AA22,"")</f>
        <v>2.18317293649241</v>
      </c>
    </row>
    <row r="23" customFormat="false" ht="18.75" hidden="false" customHeight="true" outlineLevel="0" collapsed="false">
      <c r="A23" s="42" t="n">
        <v>30</v>
      </c>
      <c r="B23" s="40" t="n">
        <v>46306</v>
      </c>
      <c r="C23" s="41" t="s">
        <v>99</v>
      </c>
      <c r="D23" s="41" t="s">
        <v>93</v>
      </c>
      <c r="E23" s="43" t="n">
        <v>0.240325729910496</v>
      </c>
      <c r="F23" s="44" t="n">
        <f aca="false">IFERROR(1/E23,"")</f>
        <v>4.16101929815184</v>
      </c>
      <c r="G23" s="43" t="n">
        <v>0.480341014061777</v>
      </c>
      <c r="H23" s="44" t="n">
        <f aca="false">IFERROR(1/G23,"")</f>
        <v>2.08185428836062</v>
      </c>
      <c r="I23" s="43" t="n">
        <v>0.70201658660213</v>
      </c>
      <c r="J23" s="44" t="n">
        <f aca="false">IFERROR(1/I23,"")</f>
        <v>1.42446776769215</v>
      </c>
      <c r="K23" s="43" t="n">
        <v>0.418114808966849</v>
      </c>
      <c r="L23" s="44" t="n">
        <f aca="false">IFERROR(1/K23,"")</f>
        <v>2.39168759047539</v>
      </c>
      <c r="M23" s="43" t="n">
        <v>0.639790381507203</v>
      </c>
      <c r="N23" s="44" t="n">
        <f aca="false">IFERROR(1/M23,"")</f>
        <v>1.56301193157081</v>
      </c>
      <c r="O23" s="43" t="n">
        <v>0.792448355214792</v>
      </c>
      <c r="P23" s="44" t="n">
        <f aca="false">IFERROR(1/O23,"")</f>
        <v>1.26191188790966</v>
      </c>
      <c r="Q23" s="43" t="n">
        <v>0.461690856691634</v>
      </c>
      <c r="R23" s="44" t="n">
        <f aca="false">IFERROR(1/Q23,"")</f>
        <v>2.16595149222958</v>
      </c>
      <c r="S23" s="43" t="n">
        <v>0.614348830399224</v>
      </c>
      <c r="T23" s="44" t="n">
        <f aca="false">IFERROR(1/S23,"")</f>
        <v>1.62773973110711</v>
      </c>
      <c r="U23" s="43" t="n">
        <v>0.698451762154646</v>
      </c>
      <c r="V23" s="44" t="n">
        <f aca="false">IFERROR(1/U23,"")</f>
        <v>1.43173810159074</v>
      </c>
      <c r="W23" s="43" t="n">
        <v>0.374333546247943</v>
      </c>
      <c r="X23" s="44" t="n">
        <f aca="false">IFERROR(1/W23,"")</f>
        <v>2.67141433094442</v>
      </c>
      <c r="Y23" s="43" t="n">
        <v>0.458436478003366</v>
      </c>
      <c r="Z23" s="44" t="n">
        <f aca="false">IFERROR(1/Y23,"")</f>
        <v>2.18132728956324</v>
      </c>
      <c r="AA23" s="43" t="n">
        <v>0.49704840983846</v>
      </c>
      <c r="AB23" s="44" t="n">
        <f aca="false">IFERROR(1/AA23,"")</f>
        <v>2.01187646958774</v>
      </c>
    </row>
    <row r="24" customFormat="false" ht="18.75" hidden="false" customHeight="true" outlineLevel="0" collapsed="false">
      <c r="A24" s="35" t="n">
        <v>30</v>
      </c>
      <c r="B24" s="33" t="n">
        <v>46306</v>
      </c>
      <c r="C24" s="34" t="s">
        <v>8</v>
      </c>
      <c r="D24" s="34" t="s">
        <v>98</v>
      </c>
      <c r="E24" s="36" t="n">
        <v>0.248878075938153</v>
      </c>
      <c r="F24" s="37" t="n">
        <f aca="false">IFERROR(1/E24,"")</f>
        <v>4.01803170580804</v>
      </c>
      <c r="G24" s="36" t="n">
        <v>0.492266751498386</v>
      </c>
      <c r="H24" s="37" t="n">
        <f aca="false">IFERROR(1/G24,"")</f>
        <v>2.03141893486844</v>
      </c>
      <c r="I24" s="36" t="n">
        <v>0.712870182006573</v>
      </c>
      <c r="J24" s="37" t="n">
        <f aca="false">IFERROR(1/I24,"")</f>
        <v>1.40277995242447</v>
      </c>
      <c r="K24" s="36" t="n">
        <v>0.426656188448047</v>
      </c>
      <c r="L24" s="37" t="n">
        <f aca="false">IFERROR(1/K24,"")</f>
        <v>2.34380755998754</v>
      </c>
      <c r="M24" s="36" t="n">
        <v>0.647259618956234</v>
      </c>
      <c r="N24" s="37" t="n">
        <f aca="false">IFERROR(1/M24,"")</f>
        <v>1.54497510846203</v>
      </c>
      <c r="O24" s="36" t="n">
        <v>0.796473340661102</v>
      </c>
      <c r="P24" s="37" t="n">
        <f aca="false">IFERROR(1/O24,"")</f>
        <v>1.25553480442919</v>
      </c>
      <c r="Q24" s="36" t="n">
        <v>0.46399210606842</v>
      </c>
      <c r="R24" s="37" t="n">
        <f aca="false">IFERROR(1/Q24,"")</f>
        <v>2.15520907989875</v>
      </c>
      <c r="S24" s="36" t="n">
        <v>0.613205827773288</v>
      </c>
      <c r="T24" s="37" t="n">
        <f aca="false">IFERROR(1/S24,"")</f>
        <v>1.63077380335941</v>
      </c>
      <c r="U24" s="36" t="n">
        <v>0.69394703725939</v>
      </c>
      <c r="V24" s="37" t="n">
        <f aca="false">IFERROR(1/U24,"")</f>
        <v>1.44103216284244</v>
      </c>
      <c r="W24" s="36" t="n">
        <v>0.369817152213055</v>
      </c>
      <c r="X24" s="37" t="n">
        <f aca="false">IFERROR(1/W24,"")</f>
        <v>2.70403899336689</v>
      </c>
      <c r="Y24" s="36" t="n">
        <v>0.450558361699157</v>
      </c>
      <c r="Z24" s="37" t="n">
        <f aca="false">IFERROR(1/Y24,"")</f>
        <v>2.21946829757809</v>
      </c>
      <c r="AA24" s="36" t="n">
        <v>0.48696666938691</v>
      </c>
      <c r="AB24" s="37" t="n">
        <f aca="false">IFERROR(1/AA24,"")</f>
        <v>2.05352863525341</v>
      </c>
    </row>
    <row r="25" customFormat="false" ht="18.75" hidden="false" customHeight="true" outlineLevel="0" collapsed="false">
      <c r="A25" s="42" t="n">
        <v>30</v>
      </c>
      <c r="B25" s="40" t="n">
        <v>46306</v>
      </c>
      <c r="C25" s="41" t="s">
        <v>105</v>
      </c>
      <c r="D25" s="41" t="s">
        <v>100</v>
      </c>
      <c r="E25" s="43" t="n">
        <v>0.293366736256516</v>
      </c>
      <c r="F25" s="44" t="n">
        <f aca="false">IFERROR(1/E25,"")</f>
        <v>3.40870274783169</v>
      </c>
      <c r="G25" s="43" t="n">
        <v>0.549515743485195</v>
      </c>
      <c r="H25" s="44" t="n">
        <f aca="false">IFERROR(1/G25,"")</f>
        <v>1.81978407689959</v>
      </c>
      <c r="I25" s="43" t="n">
        <v>0.762307319356417</v>
      </c>
      <c r="J25" s="44" t="n">
        <f aca="false">IFERROR(1/I25,"")</f>
        <v>1.31180689809493</v>
      </c>
      <c r="K25" s="43" t="n">
        <v>0.467076395247121</v>
      </c>
      <c r="L25" s="44" t="n">
        <f aca="false">IFERROR(1/K25,"")</f>
        <v>2.14097738651708</v>
      </c>
      <c r="M25" s="43" t="n">
        <v>0.679867971118343</v>
      </c>
      <c r="N25" s="44" t="n">
        <f aca="false">IFERROR(1/M25,"")</f>
        <v>1.4708738203317</v>
      </c>
      <c r="O25" s="43" t="n">
        <v>0.811682682900119</v>
      </c>
      <c r="P25" s="44" t="n">
        <f aca="false">IFERROR(1/O25,"")</f>
        <v>1.23200854356906</v>
      </c>
      <c r="Q25" s="43" t="n">
        <v>0.468940583099901</v>
      </c>
      <c r="R25" s="44" t="n">
        <f aca="false">IFERROR(1/Q25,"")</f>
        <v>2.13246632097731</v>
      </c>
      <c r="S25" s="43" t="n">
        <v>0.600755294881677</v>
      </c>
      <c r="T25" s="44" t="n">
        <f aca="false">IFERROR(1/S25,"")</f>
        <v>1.66457126307469</v>
      </c>
      <c r="U25" s="43" t="n">
        <v>0.666077874202685</v>
      </c>
      <c r="V25" s="44" t="n">
        <f aca="false">IFERROR(1/U25,"")</f>
        <v>1.50132595411164</v>
      </c>
      <c r="W25" s="43" t="n">
        <v>0.344606287652998</v>
      </c>
      <c r="X25" s="44" t="n">
        <f aca="false">IFERROR(1/W25,"")</f>
        <v>2.90186231600902</v>
      </c>
      <c r="Y25" s="43" t="n">
        <v>0.409928866974006</v>
      </c>
      <c r="Z25" s="44" t="n">
        <f aca="false">IFERROR(1/Y25,"")</f>
        <v>2.43944762266135</v>
      </c>
      <c r="AA25" s="43" t="n">
        <v>0.436905113349635</v>
      </c>
      <c r="AB25" s="44" t="n">
        <f aca="false">IFERROR(1/AA25,"")</f>
        <v>2.28882649674953</v>
      </c>
    </row>
    <row r="26" customFormat="false" ht="18.75" hidden="false" customHeight="true" outlineLevel="0" collapsed="false">
      <c r="A26" s="35" t="n">
        <v>30</v>
      </c>
      <c r="B26" s="33" t="n">
        <v>46306</v>
      </c>
      <c r="C26" s="34" t="s">
        <v>102</v>
      </c>
      <c r="D26" s="34" t="s">
        <v>101</v>
      </c>
      <c r="E26" s="36" t="n">
        <v>0.303893049066314</v>
      </c>
      <c r="F26" s="37" t="n">
        <f aca="false">IFERROR(1/E26,"")</f>
        <v>3.29063136874113</v>
      </c>
      <c r="G26" s="36" t="n">
        <v>0.56273396019414</v>
      </c>
      <c r="H26" s="37" t="n">
        <f aca="false">IFERROR(1/G26,"")</f>
        <v>1.77703865545098</v>
      </c>
      <c r="I26" s="36" t="n">
        <v>0.773112749726203</v>
      </c>
      <c r="J26" s="37" t="n">
        <f aca="false">IFERROR(1/I26,"")</f>
        <v>1.29347239500855</v>
      </c>
      <c r="K26" s="36" t="n">
        <v>0.475643940391091</v>
      </c>
      <c r="L26" s="37" t="n">
        <f aca="false">IFERROR(1/K26,"")</f>
        <v>2.10241299232734</v>
      </c>
      <c r="M26" s="36" t="n">
        <v>0.686022729923154</v>
      </c>
      <c r="N26" s="37" t="n">
        <f aca="false">IFERROR(1/M26,"")</f>
        <v>1.45767764883245</v>
      </c>
      <c r="O26" s="36" t="n">
        <v>0.813657526989605</v>
      </c>
      <c r="P26" s="37" t="n">
        <f aca="false">IFERROR(1/O26,"")</f>
        <v>1.22901831154912</v>
      </c>
      <c r="Q26" s="36" t="n">
        <v>0.469219700659889</v>
      </c>
      <c r="R26" s="37" t="n">
        <f aca="false">IFERROR(1/Q26,"")</f>
        <v>2.13119781329225</v>
      </c>
      <c r="S26" s="36" t="n">
        <v>0.59685449772634</v>
      </c>
      <c r="T26" s="37" t="n">
        <f aca="false">IFERROR(1/S26,"")</f>
        <v>1.67545022079821</v>
      </c>
      <c r="U26" s="36" t="n">
        <v>0.658802345067523</v>
      </c>
      <c r="V26" s="37" t="n">
        <f aca="false">IFERROR(1/U26,"")</f>
        <v>1.51790595083189</v>
      </c>
      <c r="W26" s="36" t="n">
        <v>0.338013586598514</v>
      </c>
      <c r="X26" s="37" t="n">
        <f aca="false">IFERROR(1/W26,"")</f>
        <v>2.95846096029205</v>
      </c>
      <c r="Y26" s="36" t="n">
        <v>0.399961433939698</v>
      </c>
      <c r="Z26" s="37" t="n">
        <f aca="false">IFERROR(1/Y26,"")</f>
        <v>2.50024106111884</v>
      </c>
      <c r="AA26" s="36" t="n">
        <v>0.425016877794666</v>
      </c>
      <c r="AB26" s="37" t="n">
        <f aca="false">IFERROR(1/AA26,"")</f>
        <v>2.35284773910348</v>
      </c>
    </row>
    <row r="27" customFormat="false" ht="18.75" hidden="false" customHeight="true" outlineLevel="0" collapsed="false">
      <c r="A27" s="42" t="n">
        <v>30</v>
      </c>
      <c r="B27" s="40" t="n">
        <v>46306</v>
      </c>
      <c r="C27" s="41" t="s">
        <v>87</v>
      </c>
      <c r="D27" s="41" t="s">
        <v>106</v>
      </c>
      <c r="E27" s="43" t="n">
        <v>0.324604594783382</v>
      </c>
      <c r="F27" s="44" t="n">
        <f aca="false">IFERROR(1/E27,"")</f>
        <v>3.08067111824874</v>
      </c>
      <c r="G27" s="43" t="n">
        <v>0.587205071753359</v>
      </c>
      <c r="H27" s="44" t="n">
        <f aca="false">IFERROR(1/G27,"")</f>
        <v>1.70298256623374</v>
      </c>
      <c r="I27" s="43" t="n">
        <v>0.792525654000105</v>
      </c>
      <c r="J27" s="44" t="n">
        <f aca="false">IFERROR(1/I27,"")</f>
        <v>1.26178880765905</v>
      </c>
      <c r="K27" s="43" t="n">
        <v>0.491615266359009</v>
      </c>
      <c r="L27" s="44" t="n">
        <f aca="false">IFERROR(1/K27,"")</f>
        <v>2.03411095714374</v>
      </c>
      <c r="M27" s="43" t="n">
        <v>0.696935848605755</v>
      </c>
      <c r="N27" s="44" t="n">
        <f aca="false">IFERROR(1/M27,"")</f>
        <v>1.43485229236024</v>
      </c>
      <c r="O27" s="43" t="n">
        <v>0.816709013712443</v>
      </c>
      <c r="P27" s="44" t="n">
        <f aca="false">IFERROR(1/O27,"")</f>
        <v>1.22442630509781</v>
      </c>
      <c r="Q27" s="43" t="n">
        <v>0.467921059216723</v>
      </c>
      <c r="R27" s="44" t="n">
        <f aca="false">IFERROR(1/Q27,"")</f>
        <v>2.13711261825649</v>
      </c>
      <c r="S27" s="43" t="n">
        <v>0.587694224323411</v>
      </c>
      <c r="T27" s="44" t="n">
        <f aca="false">IFERROR(1/S27,"")</f>
        <v>1.70156513134234</v>
      </c>
      <c r="U27" s="43" t="n">
        <v>0.643589686620255</v>
      </c>
      <c r="V27" s="44" t="n">
        <f aca="false">IFERROR(1/U27,"")</f>
        <v>1.55378499809622</v>
      </c>
      <c r="W27" s="43" t="n">
        <v>0.325093747353434</v>
      </c>
      <c r="X27" s="44" t="n">
        <f aca="false">IFERROR(1/W27,"")</f>
        <v>3.0760357839575</v>
      </c>
      <c r="Y27" s="43" t="n">
        <v>0.380989209650278</v>
      </c>
      <c r="Z27" s="44" t="n">
        <f aca="false">IFERROR(1/Y27,"")</f>
        <v>2.62474625178475</v>
      </c>
      <c r="AA27" s="43" t="n">
        <v>0.402726846670188</v>
      </c>
      <c r="AB27" s="44" t="n">
        <f aca="false">IFERROR(1/AA27,"")</f>
        <v>2.48307260434253</v>
      </c>
    </row>
    <row r="28" customFormat="false" ht="18.75" hidden="false" customHeight="true" outlineLevel="0" collapsed="false">
      <c r="A28" s="35" t="n">
        <v>30</v>
      </c>
      <c r="B28" s="33" t="n">
        <v>46306</v>
      </c>
      <c r="C28" s="34" t="s">
        <v>84</v>
      </c>
      <c r="D28" s="34" t="s">
        <v>104</v>
      </c>
      <c r="E28" s="36" t="n">
        <v>0.199317418876943</v>
      </c>
      <c r="F28" s="37" t="n">
        <f aca="false">IFERROR(1/E28,"")</f>
        <v>5.01712296714714</v>
      </c>
      <c r="G28" s="36" t="n">
        <v>0.42160112460232</v>
      </c>
      <c r="H28" s="37" t="n">
        <f aca="false">IFERROR(1/G28,"")</f>
        <v>2.37191018155671</v>
      </c>
      <c r="I28" s="36" t="n">
        <v>0.645642137694309</v>
      </c>
      <c r="J28" s="37" t="n">
        <f aca="false">IFERROR(1/I28,"")</f>
        <v>1.54884562456094</v>
      </c>
      <c r="K28" s="36" t="n">
        <v>0.37339413645607</v>
      </c>
      <c r="L28" s="37" t="n">
        <f aca="false">IFERROR(1/K28,"")</f>
        <v>2.67813525271479</v>
      </c>
      <c r="M28" s="36" t="n">
        <v>0.597435149548059</v>
      </c>
      <c r="N28" s="37" t="n">
        <f aca="false">IFERROR(1/M28,"")</f>
        <v>1.67382183782871</v>
      </c>
      <c r="O28" s="36" t="n">
        <v>0.765864132125228</v>
      </c>
      <c r="P28" s="37" t="n">
        <f aca="false">IFERROR(1/O28,"")</f>
        <v>1.30571462750848</v>
      </c>
      <c r="Q28" s="36" t="n">
        <v>0.446324718817365</v>
      </c>
      <c r="R28" s="37" t="n">
        <f aca="false">IFERROR(1/Q28,"")</f>
        <v>2.24052121211148</v>
      </c>
      <c r="S28" s="36" t="n">
        <v>0.614753701394534</v>
      </c>
      <c r="T28" s="37" t="n">
        <f aca="false">IFERROR(1/S28,"")</f>
        <v>1.62666771705735</v>
      </c>
      <c r="U28" s="36" t="n">
        <v>0.716050590854081</v>
      </c>
      <c r="V28" s="37" t="n">
        <f aca="false">IFERROR(1/U28,"")</f>
        <v>1.39654936784178</v>
      </c>
      <c r="W28" s="36" t="n">
        <v>0.392469995669157</v>
      </c>
      <c r="X28" s="37" t="n">
        <f aca="false">IFERROR(1/W28,"")</f>
        <v>2.54796547770489</v>
      </c>
      <c r="Y28" s="36" t="n">
        <v>0.493766885128704</v>
      </c>
      <c r="Z28" s="37" t="n">
        <f aca="false">IFERROR(1/Y28,"")</f>
        <v>2.02524719684136</v>
      </c>
      <c r="AA28" s="36" t="n">
        <v>0.544535363615269</v>
      </c>
      <c r="AB28" s="37" t="n">
        <f aca="false">IFERROR(1/AA28,"")</f>
        <v>1.83642802069055</v>
      </c>
    </row>
    <row r="29" customFormat="false" ht="18.75" hidden="false" customHeight="true" outlineLevel="0" collapsed="false">
      <c r="A29" s="42" t="n">
        <v>31</v>
      </c>
      <c r="B29" s="40" t="n">
        <v>46313</v>
      </c>
      <c r="C29" s="41" t="s">
        <v>92</v>
      </c>
      <c r="D29" s="41" t="s">
        <v>102</v>
      </c>
      <c r="E29" s="43" t="n">
        <v>0.332016069659795</v>
      </c>
      <c r="F29" s="44" t="n">
        <f aca="false">IFERROR(1/E29,"")</f>
        <v>3.01190240889444</v>
      </c>
      <c r="G29" s="43" t="n">
        <v>0.595599850088794</v>
      </c>
      <c r="H29" s="44" t="n">
        <f aca="false">IFERROR(1/G29,"")</f>
        <v>1.67897960325362</v>
      </c>
      <c r="I29" s="43" t="n">
        <v>0.799010421162418</v>
      </c>
      <c r="J29" s="44" t="n">
        <f aca="false">IFERROR(1/I29,"")</f>
        <v>1.25154813193197</v>
      </c>
      <c r="K29" s="43" t="n">
        <v>0.497050353353659</v>
      </c>
      <c r="L29" s="44" t="n">
        <f aca="false">IFERROR(1/K29,"")</f>
        <v>2.01186860295517</v>
      </c>
      <c r="M29" s="43" t="n">
        <v>0.700460924427283</v>
      </c>
      <c r="N29" s="44" t="n">
        <f aca="false">IFERROR(1/M29,"")</f>
        <v>1.42763138545898</v>
      </c>
      <c r="O29" s="43" t="n">
        <v>0.817506204392828</v>
      </c>
      <c r="P29" s="44" t="n">
        <f aca="false">IFERROR(1/O29,"")</f>
        <v>1.22323230652752</v>
      </c>
      <c r="Q29" s="43" t="n">
        <v>0.466994351502623</v>
      </c>
      <c r="R29" s="44" t="n">
        <f aca="false">IFERROR(1/Q29,"")</f>
        <v>2.1413535234042</v>
      </c>
      <c r="S29" s="43" t="n">
        <v>0.584039631468167</v>
      </c>
      <c r="T29" s="44" t="n">
        <f aca="false">IFERROR(1/S29,"")</f>
        <v>1.71221257277727</v>
      </c>
      <c r="U29" s="43" t="n">
        <v>0.637919220871627</v>
      </c>
      <c r="V29" s="44" t="n">
        <f aca="false">IFERROR(1/U29,"")</f>
        <v>1.56759659731469</v>
      </c>
      <c r="W29" s="43" t="n">
        <v>0.320455851039169</v>
      </c>
      <c r="X29" s="44" t="n">
        <f aca="false">IFERROR(1/W29,"")</f>
        <v>3.12055466223262</v>
      </c>
      <c r="Y29" s="43" t="n">
        <v>0.374335440442628</v>
      </c>
      <c r="Z29" s="44" t="n">
        <f aca="false">IFERROR(1/Y29,"")</f>
        <v>2.67140081317858</v>
      </c>
      <c r="AA29" s="43" t="n">
        <v>0.395004151981302</v>
      </c>
      <c r="AB29" s="44" t="n">
        <f aca="false">IFERROR(1/AA29,"")</f>
        <v>2.5316189588998</v>
      </c>
    </row>
    <row r="30" customFormat="false" ht="18.75" hidden="false" customHeight="true" outlineLevel="0" collapsed="false">
      <c r="A30" s="35" t="n">
        <v>31</v>
      </c>
      <c r="B30" s="33" t="n">
        <v>46313</v>
      </c>
      <c r="C30" s="34" t="s">
        <v>90</v>
      </c>
      <c r="D30" s="34" t="s">
        <v>99</v>
      </c>
      <c r="E30" s="36" t="n">
        <v>0.222716615109205</v>
      </c>
      <c r="F30" s="37" t="n">
        <f aca="false">IFERROR(1/E30,"")</f>
        <v>4.49001076776274</v>
      </c>
      <c r="G30" s="36" t="n">
        <v>0.45595750287279</v>
      </c>
      <c r="H30" s="37" t="n">
        <f aca="false">IFERROR(1/G30,"")</f>
        <v>2.19318685118555</v>
      </c>
      <c r="I30" s="36" t="n">
        <v>0.679214674509884</v>
      </c>
      <c r="J30" s="37" t="n">
        <f aca="false">IFERROR(1/I30,"")</f>
        <v>1.47228856726571</v>
      </c>
      <c r="K30" s="36" t="n">
        <v>0.399704629170491</v>
      </c>
      <c r="L30" s="37" t="n">
        <f aca="false">IFERROR(1/K30,"")</f>
        <v>2.50184743187815</v>
      </c>
      <c r="M30" s="36" t="n">
        <v>0.622961800807585</v>
      </c>
      <c r="N30" s="37" t="n">
        <f aca="false">IFERROR(1/M30,"")</f>
        <v>1.60523486143715</v>
      </c>
      <c r="O30" s="36" t="n">
        <v>0.782428921175602</v>
      </c>
      <c r="P30" s="37" t="n">
        <f aca="false">IFERROR(1/O30,"")</f>
        <v>1.27807136589161</v>
      </c>
      <c r="Q30" s="36" t="n">
        <v>0.456498059400679</v>
      </c>
      <c r="R30" s="37" t="n">
        <f aca="false">IFERROR(1/Q30,"")</f>
        <v>2.19058981611634</v>
      </c>
      <c r="S30" s="36" t="n">
        <v>0.615965179768697</v>
      </c>
      <c r="T30" s="37" t="n">
        <f aca="false">IFERROR(1/S30,"")</f>
        <v>1.62346839211839</v>
      </c>
      <c r="U30" s="36" t="n">
        <v>0.707087941172498</v>
      </c>
      <c r="V30" s="37" t="n">
        <f aca="false">IFERROR(1/U30,"")</f>
        <v>1.41425124340516</v>
      </c>
      <c r="W30" s="36" t="n">
        <v>0.382724292005112</v>
      </c>
      <c r="X30" s="37" t="n">
        <f aca="false">IFERROR(1/W30,"")</f>
        <v>2.61284695246531</v>
      </c>
      <c r="Y30" s="36" t="n">
        <v>0.473847053408913</v>
      </c>
      <c r="Z30" s="37" t="n">
        <f aca="false">IFERROR(1/Y30,"")</f>
        <v>2.1103856039747</v>
      </c>
      <c r="AA30" s="36" t="n">
        <v>0.517238222001596</v>
      </c>
      <c r="AB30" s="37" t="n">
        <f aca="false">IFERROR(1/AA30,"")</f>
        <v>1.93334513472385</v>
      </c>
    </row>
    <row r="31" customFormat="false" ht="18.75" hidden="false" customHeight="true" outlineLevel="0" collapsed="false">
      <c r="A31" s="42" t="n">
        <v>31</v>
      </c>
      <c r="B31" s="40" t="n">
        <v>46313</v>
      </c>
      <c r="C31" s="41" t="s">
        <v>103</v>
      </c>
      <c r="D31" s="41" t="s">
        <v>8</v>
      </c>
      <c r="E31" s="43" t="n">
        <v>0.244708066567233</v>
      </c>
      <c r="F31" s="44" t="n">
        <f aca="false">IFERROR(1/E31,"")</f>
        <v>4.08650198592964</v>
      </c>
      <c r="G31" s="43" t="n">
        <v>0.486351300904363</v>
      </c>
      <c r="H31" s="44" t="n">
        <f aca="false">IFERROR(1/G31,"")</f>
        <v>2.05612691513421</v>
      </c>
      <c r="I31" s="43" t="n">
        <v>0.70751041566463</v>
      </c>
      <c r="J31" s="44" t="n">
        <f aca="false">IFERROR(1/I31,"")</f>
        <v>1.41340675396363</v>
      </c>
      <c r="K31" s="43" t="n">
        <v>0.422525283864577</v>
      </c>
      <c r="L31" s="44" t="n">
        <f aca="false">IFERROR(1/K31,"")</f>
        <v>2.36672227246052</v>
      </c>
      <c r="M31" s="43" t="n">
        <v>0.643684398624844</v>
      </c>
      <c r="N31" s="44" t="n">
        <f aca="false">IFERROR(1/M31,"")</f>
        <v>1.55355637349046</v>
      </c>
      <c r="O31" s="43" t="n">
        <v>0.794614900463626</v>
      </c>
      <c r="P31" s="44" t="n">
        <f aca="false">IFERROR(1/O31,"")</f>
        <v>1.25847124112138</v>
      </c>
      <c r="Q31" s="43" t="n">
        <v>0.462802349097397</v>
      </c>
      <c r="R31" s="44" t="n">
        <f aca="false">IFERROR(1/Q31,"")</f>
        <v>2.16074962011386</v>
      </c>
      <c r="S31" s="43" t="n">
        <v>0.613732850936179</v>
      </c>
      <c r="T31" s="44" t="n">
        <f aca="false">IFERROR(1/S31,"")</f>
        <v>1.62937342929357</v>
      </c>
      <c r="U31" s="43" t="n">
        <v>0.69613512103027</v>
      </c>
      <c r="V31" s="44" t="n">
        <f aca="false">IFERROR(1/U31,"")</f>
        <v>1.43650272740156</v>
      </c>
      <c r="W31" s="43" t="n">
        <v>0.372089616599049</v>
      </c>
      <c r="X31" s="44" t="n">
        <f aca="false">IFERROR(1/W31,"")</f>
        <v>2.68752460533604</v>
      </c>
      <c r="Y31" s="43" t="n">
        <v>0.45449188669314</v>
      </c>
      <c r="Z31" s="44" t="n">
        <f aca="false">IFERROR(1/Y31,"")</f>
        <v>2.2002592989634</v>
      </c>
      <c r="AA31" s="43" t="n">
        <v>0.491982288091661</v>
      </c>
      <c r="AB31" s="44" t="n">
        <f aca="false">IFERROR(1/AA31,"")</f>
        <v>2.03259349819051</v>
      </c>
    </row>
    <row r="32" customFormat="false" ht="18.75" hidden="false" customHeight="true" outlineLevel="0" collapsed="false">
      <c r="A32" s="35" t="n">
        <v>31</v>
      </c>
      <c r="B32" s="33" t="n">
        <v>46313</v>
      </c>
      <c r="C32" s="34" t="s">
        <v>93</v>
      </c>
      <c r="D32" s="34" t="s">
        <v>83</v>
      </c>
      <c r="E32" s="36" t="n">
        <v>0.190859792188544</v>
      </c>
      <c r="F32" s="37" t="n">
        <f aca="false">IFERROR(1/E32,"")</f>
        <v>5.23944822811151</v>
      </c>
      <c r="G32" s="36" t="n">
        <v>0.409160315946744</v>
      </c>
      <c r="H32" s="37" t="n">
        <f aca="false">IFERROR(1/G32,"")</f>
        <v>2.44402978741018</v>
      </c>
      <c r="I32" s="36" t="n">
        <v>0.633060822072556</v>
      </c>
      <c r="J32" s="37" t="n">
        <f aca="false">IFERROR(1/I32,"")</f>
        <v>1.57962705183071</v>
      </c>
      <c r="K32" s="36" t="n">
        <v>0.363397898522766</v>
      </c>
      <c r="L32" s="37" t="n">
        <f aca="false">IFERROR(1/K32,"")</f>
        <v>2.75180457582462</v>
      </c>
      <c r="M32" s="36" t="n">
        <v>0.587298404648579</v>
      </c>
      <c r="N32" s="37" t="n">
        <f aca="false">IFERROR(1/M32,"")</f>
        <v>1.70271192988915</v>
      </c>
      <c r="O32" s="36" t="n">
        <v>0.758769628856944</v>
      </c>
      <c r="P32" s="37" t="n">
        <f aca="false">IFERROR(1/O32,"")</f>
        <v>1.31792307173188</v>
      </c>
      <c r="Q32" s="36" t="n">
        <v>0.442201029884012</v>
      </c>
      <c r="R32" s="37" t="n">
        <f aca="false">IFERROR(1/Q32,"")</f>
        <v>2.26141490503154</v>
      </c>
      <c r="S32" s="36" t="n">
        <v>0.613672254092378</v>
      </c>
      <c r="T32" s="37" t="n">
        <f aca="false">IFERROR(1/S32,"")</f>
        <v>1.62953432118094</v>
      </c>
      <c r="U32" s="36" t="n">
        <v>0.718727418960988</v>
      </c>
      <c r="V32" s="37" t="n">
        <f aca="false">IFERROR(1/U32,"")</f>
        <v>1.3913480599441</v>
      </c>
      <c r="W32" s="36" t="n">
        <v>0.395371730334178</v>
      </c>
      <c r="X32" s="37" t="n">
        <f aca="false">IFERROR(1/W32,"")</f>
        <v>2.52926530471659</v>
      </c>
      <c r="Y32" s="36" t="n">
        <v>0.500426895202789</v>
      </c>
      <c r="Z32" s="37" t="n">
        <f aca="false">IFERROR(1/Y32,"")</f>
        <v>1.99829387586127</v>
      </c>
      <c r="AA32" s="36" t="n">
        <v>0.554063628890534</v>
      </c>
      <c r="AB32" s="37" t="n">
        <f aca="false">IFERROR(1/AA32,"")</f>
        <v>1.804846858478</v>
      </c>
    </row>
    <row r="33" customFormat="false" ht="18.75" hidden="false" customHeight="true" outlineLevel="0" collapsed="false">
      <c r="A33" s="42" t="n">
        <v>31</v>
      </c>
      <c r="B33" s="40" t="n">
        <v>46313</v>
      </c>
      <c r="C33" s="41" t="s">
        <v>101</v>
      </c>
      <c r="D33" s="41" t="s">
        <v>106</v>
      </c>
      <c r="E33" s="43" t="n">
        <v>0.329884211342004</v>
      </c>
      <c r="F33" s="44" t="n">
        <f aca="false">IFERROR(1/E33,"")</f>
        <v>3.03136666023479</v>
      </c>
      <c r="G33" s="43" t="n">
        <v>0.593301917633404</v>
      </c>
      <c r="H33" s="44" t="n">
        <f aca="false">IFERROR(1/G33,"")</f>
        <v>1.68548250103228</v>
      </c>
      <c r="I33" s="43" t="n">
        <v>0.797244251201233</v>
      </c>
      <c r="J33" s="44" t="n">
        <f aca="false">IFERROR(1/I33,"")</f>
        <v>1.25432074109442</v>
      </c>
      <c r="K33" s="43" t="n">
        <v>0.495478005294457</v>
      </c>
      <c r="L33" s="44" t="n">
        <f aca="false">IFERROR(1/K33,"")</f>
        <v>2.01825305929718</v>
      </c>
      <c r="M33" s="43" t="n">
        <v>0.699420338862286</v>
      </c>
      <c r="N33" s="44" t="n">
        <f aca="false">IFERROR(1/M33,"")</f>
        <v>1.42975539090935</v>
      </c>
      <c r="O33" s="43" t="n">
        <v>0.81721381816444</v>
      </c>
      <c r="P33" s="44" t="n">
        <f aca="false">IFERROR(1/O33,"")</f>
        <v>1.22366995977395</v>
      </c>
      <c r="Q33" s="43" t="n">
        <v>0.467360039859229</v>
      </c>
      <c r="R33" s="44" t="n">
        <f aca="false">IFERROR(1/Q33,"")</f>
        <v>2.13967800991545</v>
      </c>
      <c r="S33" s="43" t="n">
        <v>0.585153519161382</v>
      </c>
      <c r="T33" s="44" t="n">
        <f aca="false">IFERROR(1/S33,"")</f>
        <v>1.70895323578188</v>
      </c>
      <c r="U33" s="43" t="n">
        <v>0.639581860833729</v>
      </c>
      <c r="V33" s="44" t="n">
        <f aca="false">IFERROR(1/U33,"")</f>
        <v>1.563521514973</v>
      </c>
      <c r="W33" s="43" t="n">
        <v>0.321735812869983</v>
      </c>
      <c r="X33" s="44" t="n">
        <f aca="false">IFERROR(1/W33,"")</f>
        <v>3.10814015722928</v>
      </c>
      <c r="Y33" s="43" t="n">
        <v>0.37616415454233</v>
      </c>
      <c r="Z33" s="44" t="n">
        <f aca="false">IFERROR(1/Y33,"")</f>
        <v>2.65841385449572</v>
      </c>
      <c r="AA33" s="43" t="n">
        <v>0.397122051891941</v>
      </c>
      <c r="AB33" s="44" t="n">
        <f aca="false">IFERROR(1/AA33,"")</f>
        <v>2.51811752894575</v>
      </c>
    </row>
    <row r="34" customFormat="false" ht="18.75" hidden="false" customHeight="true" outlineLevel="0" collapsed="false">
      <c r="A34" s="35" t="n">
        <v>31</v>
      </c>
      <c r="B34" s="33" t="n">
        <v>46313</v>
      </c>
      <c r="C34" s="34" t="s">
        <v>98</v>
      </c>
      <c r="D34" s="34" t="s">
        <v>88</v>
      </c>
      <c r="E34" s="36" t="n">
        <v>0.276153555627353</v>
      </c>
      <c r="F34" s="37" t="n">
        <f aca="false">IFERROR(1/E34,"")</f>
        <v>3.62117372607513</v>
      </c>
      <c r="G34" s="36" t="n">
        <v>0.527957135244385</v>
      </c>
      <c r="H34" s="37" t="n">
        <f aca="false">IFERROR(1/G34,"")</f>
        <v>1.89409316257675</v>
      </c>
      <c r="I34" s="36" t="n">
        <v>0.744199100766593</v>
      </c>
      <c r="J34" s="37" t="n">
        <f aca="false">IFERROR(1/I34,"")</f>
        <v>1.34372642881442</v>
      </c>
      <c r="K34" s="36" t="n">
        <v>0.452209291988309</v>
      </c>
      <c r="L34" s="37" t="n">
        <f aca="false">IFERROR(1/K34,"")</f>
        <v>2.21136544011098</v>
      </c>
      <c r="M34" s="36" t="n">
        <v>0.668451257510517</v>
      </c>
      <c r="N34" s="37" t="n">
        <f aca="false">IFERROR(1/M34,"")</f>
        <v>1.49599539048555</v>
      </c>
      <c r="O34" s="36" t="n">
        <v>0.806965764910911</v>
      </c>
      <c r="P34" s="37" t="n">
        <f aca="false">IFERROR(1/O34,"")</f>
        <v>1.23920994357227</v>
      </c>
      <c r="Q34" s="36" t="n">
        <v>0.46804554513924</v>
      </c>
      <c r="R34" s="37" t="n">
        <f aca="false">IFERROR(1/Q34,"")</f>
        <v>2.13654421110345</v>
      </c>
      <c r="S34" s="36" t="n">
        <v>0.606560052539634</v>
      </c>
      <c r="T34" s="37" t="n">
        <f aca="false">IFERROR(1/S34,"")</f>
        <v>1.64864137658432</v>
      </c>
      <c r="U34" s="36" t="n">
        <v>0.677540793818193</v>
      </c>
      <c r="V34" s="37" t="n">
        <f aca="false">IFERROR(1/U34,"")</f>
        <v>1.47592589128786</v>
      </c>
      <c r="W34" s="36" t="n">
        <v>0.354756472922602</v>
      </c>
      <c r="X34" s="37" t="n">
        <f aca="false">IFERROR(1/W34,"")</f>
        <v>2.81883510612693</v>
      </c>
      <c r="Y34" s="36" t="n">
        <v>0.425737214201162</v>
      </c>
      <c r="Z34" s="37" t="n">
        <f aca="false">IFERROR(1/Y34,"")</f>
        <v>2.34886678129927</v>
      </c>
      <c r="AA34" s="36" t="n">
        <v>0.456048513519254</v>
      </c>
      <c r="AB34" s="37" t="n">
        <f aca="false">IFERROR(1/AA34,"")</f>
        <v>2.1927491710984</v>
      </c>
    </row>
    <row r="35" customFormat="false" ht="18.75" hidden="false" customHeight="true" outlineLevel="0" collapsed="false">
      <c r="A35" s="42" t="n">
        <v>31</v>
      </c>
      <c r="B35" s="40" t="n">
        <v>46313</v>
      </c>
      <c r="C35" s="41" t="s">
        <v>105</v>
      </c>
      <c r="D35" s="41" t="s">
        <v>96</v>
      </c>
      <c r="E35" s="43" t="n">
        <v>0.320574362211874</v>
      </c>
      <c r="F35" s="44" t="n">
        <f aca="false">IFERROR(1/E35,"")</f>
        <v>3.11940104349043</v>
      </c>
      <c r="G35" s="43" t="n">
        <v>0.582293147749607</v>
      </c>
      <c r="H35" s="44" t="n">
        <f aca="false">IFERROR(1/G35,"")</f>
        <v>1.71734804688104</v>
      </c>
      <c r="I35" s="43" t="n">
        <v>0.788689709327712</v>
      </c>
      <c r="J35" s="44" t="n">
        <f aca="false">IFERROR(1/I35,"")</f>
        <v>1.26792576113667</v>
      </c>
      <c r="K35" s="43" t="n">
        <v>0.488656331094699</v>
      </c>
      <c r="L35" s="44" t="n">
        <f aca="false">IFERROR(1/K35,"")</f>
        <v>2.04642800341863</v>
      </c>
      <c r="M35" s="43" t="n">
        <v>0.695052892672804</v>
      </c>
      <c r="N35" s="44" t="n">
        <f aca="false">IFERROR(1/M35,"")</f>
        <v>1.43873942622486</v>
      </c>
      <c r="O35" s="43" t="n">
        <v>0.816415073797958</v>
      </c>
      <c r="P35" s="44" t="n">
        <f aca="false">IFERROR(1/O35,"")</f>
        <v>1.22486714429219</v>
      </c>
      <c r="Q35" s="43" t="n">
        <v>0.468115347115838</v>
      </c>
      <c r="R35" s="44" t="n">
        <f aca="false">IFERROR(1/Q35,"")</f>
        <v>2.13622562507558</v>
      </c>
      <c r="S35" s="43" t="n">
        <v>0.589477528240992</v>
      </c>
      <c r="T35" s="44" t="n">
        <f aca="false">IFERROR(1/S35,"")</f>
        <v>1.69641750888115</v>
      </c>
      <c r="U35" s="43" t="n">
        <v>0.646566770018427</v>
      </c>
      <c r="V35" s="44" t="n">
        <f aca="false">IFERROR(1/U35,"")</f>
        <v>1.54663067508326</v>
      </c>
      <c r="W35" s="43" t="n">
        <v>0.327758742703258</v>
      </c>
      <c r="X35" s="44" t="n">
        <f aca="false">IFERROR(1/W35,"")</f>
        <v>3.0510246401127</v>
      </c>
      <c r="Y35" s="43" t="n">
        <v>0.384847984480694</v>
      </c>
      <c r="Z35" s="44" t="n">
        <f aca="false">IFERROR(1/Y35,"")</f>
        <v>2.59842857524479</v>
      </c>
      <c r="AA35" s="43" t="n">
        <v>0.407227152195233</v>
      </c>
      <c r="AB35" s="44" t="n">
        <f aca="false">IFERROR(1/AA35,"")</f>
        <v>2.45563193566371</v>
      </c>
    </row>
    <row r="36" customFormat="false" ht="18.75" hidden="false" customHeight="true" outlineLevel="0" collapsed="false">
      <c r="A36" s="35" t="n">
        <v>31</v>
      </c>
      <c r="B36" s="33" t="n">
        <v>46313</v>
      </c>
      <c r="C36" s="34" t="s">
        <v>95</v>
      </c>
      <c r="D36" s="34" t="s">
        <v>100</v>
      </c>
      <c r="E36" s="36" t="n">
        <v>0.269642236607157</v>
      </c>
      <c r="F36" s="37" t="n">
        <f aca="false">IFERROR(1/E36,"")</f>
        <v>3.70861780625601</v>
      </c>
      <c r="G36" s="36" t="n">
        <v>0.519527029816684</v>
      </c>
      <c r="H36" s="37" t="n">
        <f aca="false">IFERROR(1/G36,"")</f>
        <v>1.92482766556507</v>
      </c>
      <c r="I36" s="36" t="n">
        <v>0.736952216139584</v>
      </c>
      <c r="J36" s="37" t="n">
        <f aca="false">IFERROR(1/I36,"")</f>
        <v>1.35694008118783</v>
      </c>
      <c r="K36" s="36" t="n">
        <v>0.446340843917538</v>
      </c>
      <c r="L36" s="37" t="n">
        <f aca="false">IFERROR(1/K36,"")</f>
        <v>2.24044026807628</v>
      </c>
      <c r="M36" s="36" t="n">
        <v>0.663766030240438</v>
      </c>
      <c r="N36" s="37" t="n">
        <f aca="false">IFERROR(1/M36,"")</f>
        <v>1.50655495225896</v>
      </c>
      <c r="O36" s="36" t="n">
        <v>0.804854995294494</v>
      </c>
      <c r="P36" s="37" t="n">
        <f aca="false">IFERROR(1/O36,"")</f>
        <v>1.24245982921943</v>
      </c>
      <c r="Q36" s="36" t="n">
        <v>0.467309979532427</v>
      </c>
      <c r="R36" s="37" t="n">
        <f aca="false">IFERROR(1/Q36,"")</f>
        <v>2.13990722175581</v>
      </c>
      <c r="S36" s="36" t="n">
        <v>0.608398944586483</v>
      </c>
      <c r="T36" s="37" t="n">
        <f aca="false">IFERROR(1/S36,"")</f>
        <v>1.643658341123</v>
      </c>
      <c r="U36" s="36" t="n">
        <v>0.681641962644058</v>
      </c>
      <c r="V36" s="37" t="n">
        <f aca="false">IFERROR(1/U36,"")</f>
        <v>1.46704583168713</v>
      </c>
      <c r="W36" s="36" t="n">
        <v>0.358514151376956</v>
      </c>
      <c r="X36" s="37" t="n">
        <f aca="false">IFERROR(1/W36,"")</f>
        <v>2.78929017490459</v>
      </c>
      <c r="Y36" s="36" t="n">
        <v>0.431757169434531</v>
      </c>
      <c r="Z36" s="37" t="n">
        <f aca="false">IFERROR(1/Y36,"")</f>
        <v>2.31611672206785</v>
      </c>
      <c r="AA36" s="36" t="n">
        <v>0.463442494671973</v>
      </c>
      <c r="AB36" s="37" t="n">
        <f aca="false">IFERROR(1/AA36,"")</f>
        <v>2.15776501183346</v>
      </c>
    </row>
    <row r="37" customFormat="false" ht="18.75" hidden="false" customHeight="true" outlineLevel="0" collapsed="false">
      <c r="A37" s="42" t="n">
        <v>31</v>
      </c>
      <c r="B37" s="40" t="n">
        <v>46313</v>
      </c>
      <c r="C37" s="41" t="s">
        <v>104</v>
      </c>
      <c r="D37" s="41" t="s">
        <v>91</v>
      </c>
      <c r="E37" s="43" t="n">
        <v>0.250178661690213</v>
      </c>
      <c r="F37" s="44" t="n">
        <f aca="false">IFERROR(1/E37,"")</f>
        <v>3.99714345437767</v>
      </c>
      <c r="G37" s="43" t="n">
        <v>0.49373201056332</v>
      </c>
      <c r="H37" s="44" t="n">
        <f aca="false">IFERROR(1/G37,"")</f>
        <v>2.02539024937649</v>
      </c>
      <c r="I37" s="43" t="n">
        <v>0.714189042501858</v>
      </c>
      <c r="J37" s="44" t="n">
        <f aca="false">IFERROR(1/I37,"")</f>
        <v>1.4001895023437</v>
      </c>
      <c r="K37" s="43" t="n">
        <v>0.427935682846335</v>
      </c>
      <c r="L37" s="44" t="n">
        <f aca="false">IFERROR(1/K37,"")</f>
        <v>2.33679975773155</v>
      </c>
      <c r="M37" s="43" t="n">
        <v>0.648392714784873</v>
      </c>
      <c r="N37" s="44" t="n">
        <f aca="false">IFERROR(1/M37,"")</f>
        <v>1.54227519402618</v>
      </c>
      <c r="O37" s="43" t="n">
        <v>0.797177066122731</v>
      </c>
      <c r="P37" s="44" t="n">
        <f aca="false">IFERROR(1/O37,"")</f>
        <v>1.25442645366574</v>
      </c>
      <c r="Q37" s="43" t="n">
        <v>0.464010380811646</v>
      </c>
      <c r="R37" s="44" t="n">
        <f aca="false">IFERROR(1/Q37,"")</f>
        <v>2.15512419840867</v>
      </c>
      <c r="S37" s="43" t="n">
        <v>0.612794732149504</v>
      </c>
      <c r="T37" s="44" t="n">
        <f aca="false">IFERROR(1/S37,"")</f>
        <v>1.63186781402688</v>
      </c>
      <c r="U37" s="43" t="n">
        <v>0.693125245568368</v>
      </c>
      <c r="V37" s="44" t="n">
        <f aca="false">IFERROR(1/U37,"")</f>
        <v>1.44274069714485</v>
      </c>
      <c r="W37" s="43" t="n">
        <v>0.369241383276397</v>
      </c>
      <c r="X37" s="44" t="n">
        <f aca="false">IFERROR(1/W37,"")</f>
        <v>2.70825548080955</v>
      </c>
      <c r="Y37" s="43" t="n">
        <v>0.449571896695261</v>
      </c>
      <c r="Z37" s="44" t="n">
        <f aca="false">IFERROR(1/Y37,"")</f>
        <v>2.22433832575136</v>
      </c>
      <c r="AA37" s="43" t="n">
        <v>0.485714762348994</v>
      </c>
      <c r="AB37" s="44" t="n">
        <f aca="false">IFERROR(1/AA37,"")</f>
        <v>2.05882150907632</v>
      </c>
    </row>
    <row r="38" customFormat="false" ht="18.75" hidden="false" customHeight="true" outlineLevel="0" collapsed="false">
      <c r="A38" s="35" t="n">
        <v>31</v>
      </c>
      <c r="B38" s="33" t="n">
        <v>46313</v>
      </c>
      <c r="C38" s="34" t="s">
        <v>87</v>
      </c>
      <c r="D38" s="34" t="s">
        <v>84</v>
      </c>
      <c r="E38" s="36" t="n">
        <v>0.274590890901653</v>
      </c>
      <c r="F38" s="37" t="n">
        <f aca="false">IFERROR(1/E38,"")</f>
        <v>3.64178140329556</v>
      </c>
      <c r="G38" s="36" t="n">
        <v>0.525974270938378</v>
      </c>
      <c r="H38" s="37" t="n">
        <f aca="false">IFERROR(1/G38,"")</f>
        <v>1.90123368243075</v>
      </c>
      <c r="I38" s="36" t="n">
        <v>0.742503063464461</v>
      </c>
      <c r="J38" s="37" t="n">
        <f aca="false">IFERROR(1/I38,"")</f>
        <v>1.34679579008614</v>
      </c>
      <c r="K38" s="36" t="n">
        <v>0.450811455499217</v>
      </c>
      <c r="L38" s="37" t="n">
        <f aca="false">IFERROR(1/K38,"")</f>
        <v>2.21822224746402</v>
      </c>
      <c r="M38" s="36" t="n">
        <v>0.667340248025301</v>
      </c>
      <c r="N38" s="37" t="n">
        <f aca="false">IFERROR(1/M38,"")</f>
        <v>1.49848597167496</v>
      </c>
      <c r="O38" s="36" t="n">
        <v>0.806462810671217</v>
      </c>
      <c r="P38" s="37" t="n">
        <f aca="false">IFERROR(1/O38,"")</f>
        <v>1.239982782551</v>
      </c>
      <c r="Q38" s="36" t="n">
        <v>0.467912172562808</v>
      </c>
      <c r="R38" s="37" t="n">
        <f aca="false">IFERROR(1/Q38,"")</f>
        <v>2.13715320660048</v>
      </c>
      <c r="S38" s="36" t="n">
        <v>0.607034735208725</v>
      </c>
      <c r="T38" s="37" t="n">
        <f aca="false">IFERROR(1/S38,"")</f>
        <v>1.64735218925513</v>
      </c>
      <c r="U38" s="36" t="n">
        <v>0.678545178550196</v>
      </c>
      <c r="V38" s="37" t="n">
        <f aca="false">IFERROR(1/U38,"")</f>
        <v>1.47374122108809</v>
      </c>
      <c r="W38" s="36" t="n">
        <v>0.355651355172</v>
      </c>
      <c r="X38" s="37" t="n">
        <f aca="false">IFERROR(1/W38,"")</f>
        <v>2.81174241418644</v>
      </c>
      <c r="Y38" s="36" t="n">
        <v>0.427161798513472</v>
      </c>
      <c r="Z38" s="37" t="n">
        <f aca="false">IFERROR(1/Y38,"")</f>
        <v>2.34103331215482</v>
      </c>
      <c r="AA38" s="36" t="n">
        <v>0.457792724521192</v>
      </c>
      <c r="AB38" s="37" t="n">
        <f aca="false">IFERROR(1/AA38,"")</f>
        <v>2.184394697504</v>
      </c>
    </row>
    <row r="39" customFormat="false" ht="18.75" hidden="false" customHeight="true" outlineLevel="0" collapsed="false">
      <c r="A39" s="42" t="n">
        <v>32</v>
      </c>
      <c r="B39" s="40" t="n">
        <v>46320</v>
      </c>
      <c r="C39" s="41" t="s">
        <v>83</v>
      </c>
      <c r="D39" s="41" t="s">
        <v>98</v>
      </c>
      <c r="E39" s="43" t="n">
        <v>0.274981992067524</v>
      </c>
      <c r="F39" s="44" t="n">
        <f aca="false">IFERROR(1/E39,"")</f>
        <v>3.63660177337882</v>
      </c>
      <c r="G39" s="43" t="n">
        <v>0.526390582814484</v>
      </c>
      <c r="H39" s="44" t="n">
        <f aca="false">IFERROR(1/G39,"")</f>
        <v>1.89973003440381</v>
      </c>
      <c r="I39" s="43" t="n">
        <v>0.742859394290951</v>
      </c>
      <c r="J39" s="44" t="n">
        <f aca="false">IFERROR(1/I39,"")</f>
        <v>1.34614976627507</v>
      </c>
      <c r="K39" s="43" t="n">
        <v>0.451168503817921</v>
      </c>
      <c r="L39" s="44" t="n">
        <f aca="false">IFERROR(1/K39,"")</f>
        <v>2.21646677801687</v>
      </c>
      <c r="M39" s="43" t="n">
        <v>0.667637315294388</v>
      </c>
      <c r="N39" s="44" t="n">
        <f aca="false">IFERROR(1/M39,"")</f>
        <v>1.49781921575049</v>
      </c>
      <c r="O39" s="43" t="n">
        <v>0.806632140245642</v>
      </c>
      <c r="P39" s="44" t="n">
        <f aca="false">IFERROR(1/O39,"")</f>
        <v>1.2397224832815</v>
      </c>
      <c r="Q39" s="43" t="n">
        <v>0.467877402223426</v>
      </c>
      <c r="R39" s="44" t="n">
        <f aca="false">IFERROR(1/Q39,"")</f>
        <v>2.13731202927913</v>
      </c>
      <c r="S39" s="43" t="n">
        <v>0.606872227174681</v>
      </c>
      <c r="T39" s="44" t="n">
        <f aca="false">IFERROR(1/S39,"")</f>
        <v>1.64779331665175</v>
      </c>
      <c r="U39" s="43" t="n">
        <v>0.678271192157976</v>
      </c>
      <c r="V39" s="44" t="n">
        <f aca="false">IFERROR(1/U39,"")</f>
        <v>1.47433653612564</v>
      </c>
      <c r="W39" s="43" t="n">
        <v>0.355463636427721</v>
      </c>
      <c r="X39" s="44" t="n">
        <f aca="false">IFERROR(1/W39,"")</f>
        <v>2.81322728268251</v>
      </c>
      <c r="Y39" s="43" t="n">
        <v>0.426862601411016</v>
      </c>
      <c r="Z39" s="44" t="n">
        <f aca="false">IFERROR(1/Y39,"")</f>
        <v>2.34267419233835</v>
      </c>
      <c r="AA39" s="43" t="n">
        <v>0.457426162575216</v>
      </c>
      <c r="AB39" s="44" t="n">
        <f aca="false">IFERROR(1/AA39,"")</f>
        <v>2.18614517886385</v>
      </c>
    </row>
    <row r="40" customFormat="false" ht="18.75" hidden="false" customHeight="true" outlineLevel="0" collapsed="false">
      <c r="A40" s="35" t="n">
        <v>32</v>
      </c>
      <c r="B40" s="33" t="n">
        <v>46320</v>
      </c>
      <c r="C40" s="34" t="s">
        <v>99</v>
      </c>
      <c r="D40" s="34" t="s">
        <v>105</v>
      </c>
      <c r="E40" s="36" t="n">
        <v>0.238625328163461</v>
      </c>
      <c r="F40" s="37" t="n">
        <f aca="false">IFERROR(1/E40,"")</f>
        <v>4.19066998334305</v>
      </c>
      <c r="G40" s="36" t="n">
        <v>0.47798597958878</v>
      </c>
      <c r="H40" s="37" t="n">
        <f aca="false">IFERROR(1/G40,"")</f>
        <v>2.09211157377528</v>
      </c>
      <c r="I40" s="36" t="n">
        <v>0.699850311510728</v>
      </c>
      <c r="J40" s="37" t="n">
        <f aca="false">IFERROR(1/I40,"")</f>
        <v>1.42887698062369</v>
      </c>
      <c r="K40" s="36" t="n">
        <v>0.416384746103302</v>
      </c>
      <c r="L40" s="37" t="n">
        <f aca="false">IFERROR(1/K40,"")</f>
        <v>2.40162496190941</v>
      </c>
      <c r="M40" s="36" t="n">
        <v>0.63824907802525</v>
      </c>
      <c r="N40" s="37" t="n">
        <f aca="false">IFERROR(1/M40,"")</f>
        <v>1.56678643875838</v>
      </c>
      <c r="O40" s="36" t="n">
        <v>0.791578815920128</v>
      </c>
      <c r="P40" s="37" t="n">
        <f aca="false">IFERROR(1/O40,"")</f>
        <v>1.26329808212162</v>
      </c>
      <c r="Q40" s="36" t="n">
        <v>0.461224983347267</v>
      </c>
      <c r="R40" s="37" t="n">
        <f aca="false">IFERROR(1/Q40,"")</f>
        <v>2.16813927281792</v>
      </c>
      <c r="S40" s="36" t="n">
        <v>0.614554721242146</v>
      </c>
      <c r="T40" s="37" t="n">
        <f aca="false">IFERROR(1/S40,"")</f>
        <v>1.62719439853751</v>
      </c>
      <c r="U40" s="36" t="n">
        <v>0.699327278666772</v>
      </c>
      <c r="V40" s="37" t="n">
        <f aca="false">IFERROR(1/U40,"")</f>
        <v>1.42994564992008</v>
      </c>
      <c r="W40" s="36" t="n">
        <v>0.375194069816827</v>
      </c>
      <c r="X40" s="37" t="n">
        <f aca="false">IFERROR(1/W40,"")</f>
        <v>2.66528732847033</v>
      </c>
      <c r="Y40" s="36" t="n">
        <v>0.459966627241453</v>
      </c>
      <c r="Z40" s="37" t="n">
        <f aca="false">IFERROR(1/Y40,"")</f>
        <v>2.17407077117155</v>
      </c>
      <c r="AA40" s="36" t="n">
        <v>0.499023991406292</v>
      </c>
      <c r="AB40" s="37" t="n">
        <f aca="false">IFERROR(1/AA40,"")</f>
        <v>2.00391167002195</v>
      </c>
    </row>
    <row r="41" customFormat="false" ht="18.75" hidden="false" customHeight="true" outlineLevel="0" collapsed="false">
      <c r="A41" s="42" t="n">
        <v>32</v>
      </c>
      <c r="B41" s="40" t="n">
        <v>46320</v>
      </c>
      <c r="C41" s="41" t="s">
        <v>96</v>
      </c>
      <c r="D41" s="41" t="s">
        <v>104</v>
      </c>
      <c r="E41" s="43" t="n">
        <v>0.243567601542379</v>
      </c>
      <c r="F41" s="44" t="n">
        <f aca="false">IFERROR(1/E41,"")</f>
        <v>4.10563635585173</v>
      </c>
      <c r="G41" s="43" t="n">
        <v>0.485092299792048</v>
      </c>
      <c r="H41" s="44" t="n">
        <f aca="false">IFERROR(1/G41,"")</f>
        <v>2.06146335538347</v>
      </c>
      <c r="I41" s="43" t="n">
        <v>0.706365073719583</v>
      </c>
      <c r="J41" s="44" t="n">
        <f aca="false">IFERROR(1/I41,"")</f>
        <v>1.4156985349434</v>
      </c>
      <c r="K41" s="43" t="n">
        <v>0.42138552522706</v>
      </c>
      <c r="L41" s="44" t="n">
        <f aca="false">IFERROR(1/K41,"")</f>
        <v>2.37312375516734</v>
      </c>
      <c r="M41" s="43" t="n">
        <v>0.642658299154594</v>
      </c>
      <c r="N41" s="44" t="n">
        <f aca="false">IFERROR(1/M41,"")</f>
        <v>1.55603685709106</v>
      </c>
      <c r="O41" s="43" t="n">
        <v>0.793953684375213</v>
      </c>
      <c r="P41" s="44" t="n">
        <f aca="false">IFERROR(1/O41,"")</f>
        <v>1.25951931413598</v>
      </c>
      <c r="Q41" s="43" t="n">
        <v>0.462797472177204</v>
      </c>
      <c r="R41" s="44" t="n">
        <f aca="false">IFERROR(1/Q41,"")</f>
        <v>2.16077238990861</v>
      </c>
      <c r="S41" s="43" t="n">
        <v>0.614092857397823</v>
      </c>
      <c r="T41" s="44" t="n">
        <f aca="false">IFERROR(1/S41,"")</f>
        <v>1.62841822365014</v>
      </c>
      <c r="U41" s="43" t="n">
        <v>0.696851502061633</v>
      </c>
      <c r="V41" s="44" t="n">
        <f aca="false">IFERROR(1/U41,"")</f>
        <v>1.43502596613698</v>
      </c>
      <c r="W41" s="43" t="n">
        <v>0.372568159148154</v>
      </c>
      <c r="X41" s="44" t="n">
        <f aca="false">IFERROR(1/W41,"")</f>
        <v>2.68407263327714</v>
      </c>
      <c r="Y41" s="43" t="n">
        <v>0.455326803811964</v>
      </c>
      <c r="Z41" s="44" t="n">
        <f aca="false">IFERROR(1/Y41,"")</f>
        <v>2.19622475906991</v>
      </c>
      <c r="AA41" s="43" t="n">
        <v>0.4930509841001</v>
      </c>
      <c r="AB41" s="44" t="n">
        <f aca="false">IFERROR(1/AA41,"")</f>
        <v>2.02818781880167</v>
      </c>
    </row>
    <row r="42" customFormat="false" ht="18.75" hidden="false" customHeight="true" outlineLevel="0" collapsed="false">
      <c r="A42" s="35" t="n">
        <v>32</v>
      </c>
      <c r="B42" s="33" t="n">
        <v>46320</v>
      </c>
      <c r="C42" s="34" t="s">
        <v>8</v>
      </c>
      <c r="D42" s="34" t="s">
        <v>90</v>
      </c>
      <c r="E42" s="36" t="n">
        <v>0.239832365874186</v>
      </c>
      <c r="F42" s="37" t="n">
        <f aca="false">IFERROR(1/E42,"")</f>
        <v>4.16957901555536</v>
      </c>
      <c r="G42" s="36" t="n">
        <v>0.479948099822084</v>
      </c>
      <c r="H42" s="37" t="n">
        <f aca="false">IFERROR(1/G42,"")</f>
        <v>2.08355861888129</v>
      </c>
      <c r="I42" s="36" t="n">
        <v>0.701657010983587</v>
      </c>
      <c r="J42" s="37" t="n">
        <f aca="false">IFERROR(1/I42,"")</f>
        <v>1.42519775951244</v>
      </c>
      <c r="K42" s="36" t="n">
        <v>0.417618089651532</v>
      </c>
      <c r="L42" s="37" t="n">
        <f aca="false">IFERROR(1/K42,"")</f>
        <v>2.39453228866216</v>
      </c>
      <c r="M42" s="36" t="n">
        <v>0.639327000813035</v>
      </c>
      <c r="N42" s="37" t="n">
        <f aca="false">IFERROR(1/M42,"")</f>
        <v>1.56414479402293</v>
      </c>
      <c r="O42" s="36" t="n">
        <v>0.792098713961968</v>
      </c>
      <c r="P42" s="37" t="n">
        <f aca="false">IFERROR(1/O42,"")</f>
        <v>1.26246890996469</v>
      </c>
      <c r="Q42" s="36" t="n">
        <v>0.461824645109401</v>
      </c>
      <c r="R42" s="37" t="n">
        <f aca="false">IFERROR(1/Q42,"")</f>
        <v>2.16532402631547</v>
      </c>
      <c r="S42" s="36" t="n">
        <v>0.614596358258334</v>
      </c>
      <c r="T42" s="37" t="n">
        <f aca="false">IFERROR(1/S42,"")</f>
        <v>1.62708416111322</v>
      </c>
      <c r="U42" s="36" t="n">
        <v>0.698811994756439</v>
      </c>
      <c r="V42" s="37" t="n">
        <f aca="false">IFERROR(1/U42,"")</f>
        <v>1.43100005080556</v>
      </c>
      <c r="W42" s="36" t="n">
        <v>0.374480624310436</v>
      </c>
      <c r="X42" s="37" t="n">
        <f aca="false">IFERROR(1/W42,"")</f>
        <v>2.67036512727832</v>
      </c>
      <c r="Y42" s="36" t="n">
        <v>0.458696260808542</v>
      </c>
      <c r="Z42" s="37" t="n">
        <f aca="false">IFERROR(1/Y42,"")</f>
        <v>2.18009189400695</v>
      </c>
      <c r="AA42" s="36" t="n">
        <v>0.497382924309019</v>
      </c>
      <c r="AB42" s="37" t="n">
        <f aca="false">IFERROR(1/AA42,"")</f>
        <v>2.01052338374751</v>
      </c>
    </row>
    <row r="43" customFormat="false" ht="18.75" hidden="false" customHeight="true" outlineLevel="0" collapsed="false">
      <c r="A43" s="42" t="n">
        <v>32</v>
      </c>
      <c r="B43" s="40" t="n">
        <v>46320</v>
      </c>
      <c r="C43" s="41" t="s">
        <v>100</v>
      </c>
      <c r="D43" s="41" t="s">
        <v>93</v>
      </c>
      <c r="E43" s="43" t="n">
        <v>0.299022838052422</v>
      </c>
      <c r="F43" s="44" t="n">
        <f aca="false">IFERROR(1/E43,"")</f>
        <v>3.34422616851991</v>
      </c>
      <c r="G43" s="43" t="n">
        <v>0.556461845043118</v>
      </c>
      <c r="H43" s="44" t="n">
        <f aca="false">IFERROR(1/G43,"")</f>
        <v>1.79706840443394</v>
      </c>
      <c r="I43" s="43" t="n">
        <v>0.768013192634593</v>
      </c>
      <c r="J43" s="44" t="n">
        <f aca="false">IFERROR(1/I43,"")</f>
        <v>1.30206096664772</v>
      </c>
      <c r="K43" s="43" t="n">
        <v>0.471753701106234</v>
      </c>
      <c r="L43" s="44" t="n">
        <f aca="false">IFERROR(1/K43,"")</f>
        <v>2.11975019518673</v>
      </c>
      <c r="M43" s="43" t="n">
        <v>0.683305048697709</v>
      </c>
      <c r="N43" s="44" t="n">
        <f aca="false">IFERROR(1/M43,"")</f>
        <v>1.46347521053133</v>
      </c>
      <c r="O43" s="43" t="n">
        <v>0.81292921818265</v>
      </c>
      <c r="P43" s="44" t="n">
        <f aca="false">IFERROR(1/O43,"")</f>
        <v>1.23011939740038</v>
      </c>
      <c r="Q43" s="43" t="n">
        <v>0.468990354582171</v>
      </c>
      <c r="R43" s="44" t="n">
        <f aca="false">IFERROR(1/Q43,"")</f>
        <v>2.13224001353058</v>
      </c>
      <c r="S43" s="43" t="n">
        <v>0.598614524067112</v>
      </c>
      <c r="T43" s="44" t="n">
        <f aca="false">IFERROR(1/S43,"")</f>
        <v>1.67052411826862</v>
      </c>
      <c r="U43" s="43" t="n">
        <v>0.662154371034603</v>
      </c>
      <c r="V43" s="44" t="n">
        <f aca="false">IFERROR(1/U43,"")</f>
        <v>1.51022185119388</v>
      </c>
      <c r="W43" s="43" t="n">
        <v>0.341175517076416</v>
      </c>
      <c r="X43" s="44" t="n">
        <f aca="false">IFERROR(1/W43,"")</f>
        <v>2.93104267436641</v>
      </c>
      <c r="Y43" s="43" t="n">
        <v>0.404715364043907</v>
      </c>
      <c r="Z43" s="44" t="n">
        <f aca="false">IFERROR(1/Y43,"")</f>
        <v>2.47087234348611</v>
      </c>
      <c r="AA43" s="43" t="n">
        <v>0.430670606860468</v>
      </c>
      <c r="AB43" s="44" t="n">
        <f aca="false">IFERROR(1/AA43,"")</f>
        <v>2.321960180403</v>
      </c>
    </row>
    <row r="44" customFormat="false" ht="18.75" hidden="false" customHeight="true" outlineLevel="0" collapsed="false">
      <c r="A44" s="35" t="n">
        <v>32</v>
      </c>
      <c r="B44" s="33" t="n">
        <v>46320</v>
      </c>
      <c r="C44" s="34" t="s">
        <v>95</v>
      </c>
      <c r="D44" s="34" t="s">
        <v>87</v>
      </c>
      <c r="E44" s="36" t="n">
        <v>0.294889617502971</v>
      </c>
      <c r="F44" s="37" t="n">
        <f aca="false">IFERROR(1/E44,"")</f>
        <v>3.39109938311044</v>
      </c>
      <c r="G44" s="36" t="n">
        <v>0.551435195068806</v>
      </c>
      <c r="H44" s="37" t="n">
        <f aca="false">IFERROR(1/G44,"")</f>
        <v>1.81344971982651</v>
      </c>
      <c r="I44" s="36" t="n">
        <v>0.763890340766602</v>
      </c>
      <c r="J44" s="37" t="n">
        <f aca="false">IFERROR(1/I44,"")</f>
        <v>1.3090884209852</v>
      </c>
      <c r="K44" s="36" t="n">
        <v>0.468339974285264</v>
      </c>
      <c r="L44" s="37" t="n">
        <f aca="false">IFERROR(1/K44,"")</f>
        <v>2.13520103964242</v>
      </c>
      <c r="M44" s="36" t="n">
        <v>0.68079511998306</v>
      </c>
      <c r="N44" s="37" t="n">
        <f aca="false">IFERROR(1/M44,"")</f>
        <v>1.46887069346925</v>
      </c>
      <c r="O44" s="36" t="n">
        <v>0.812006019704946</v>
      </c>
      <c r="P44" s="37" t="n">
        <f aca="false">IFERROR(1/O44,"")</f>
        <v>1.23151796382417</v>
      </c>
      <c r="Q44" s="36" t="n">
        <v>0.46900072326363</v>
      </c>
      <c r="R44" s="37" t="n">
        <f aca="false">IFERROR(1/Q44,"")</f>
        <v>2.13219287390712</v>
      </c>
      <c r="S44" s="36" t="n">
        <v>0.600211622985516</v>
      </c>
      <c r="T44" s="37" t="n">
        <f aca="false">IFERROR(1/S44,"")</f>
        <v>1.6660790323018</v>
      </c>
      <c r="U44" s="36" t="n">
        <v>0.665039613474637</v>
      </c>
      <c r="V44" s="37" t="n">
        <f aca="false">IFERROR(1/U44,"")</f>
        <v>1.50366982618568</v>
      </c>
      <c r="W44" s="36" t="n">
        <v>0.343666045419682</v>
      </c>
      <c r="X44" s="37" t="n">
        <f aca="false">IFERROR(1/W44,"")</f>
        <v>2.90980157431267</v>
      </c>
      <c r="Y44" s="36" t="n">
        <v>0.408494035908802</v>
      </c>
      <c r="Z44" s="37" t="n">
        <f aca="false">IFERROR(1/Y44,"")</f>
        <v>2.44801615713982</v>
      </c>
      <c r="AA44" s="36" t="n">
        <v>0.435185596085113</v>
      </c>
      <c r="AB44" s="37" t="n">
        <f aca="false">IFERROR(1/AA44,"")</f>
        <v>2.29787017078667</v>
      </c>
    </row>
    <row r="45" customFormat="false" ht="18.75" hidden="false" customHeight="true" outlineLevel="0" collapsed="false">
      <c r="A45" s="42" t="n">
        <v>32</v>
      </c>
      <c r="B45" s="40" t="n">
        <v>46320</v>
      </c>
      <c r="C45" s="41" t="s">
        <v>102</v>
      </c>
      <c r="D45" s="41" t="s">
        <v>91</v>
      </c>
      <c r="E45" s="43" t="n">
        <v>0.257658618804067</v>
      </c>
      <c r="F45" s="44" t="n">
        <f aca="false">IFERROR(1/E45,"")</f>
        <v>3.88110440334401</v>
      </c>
      <c r="G45" s="43" t="n">
        <v>0.504134746940303</v>
      </c>
      <c r="H45" s="44" t="n">
        <f aca="false">IFERROR(1/G45,"")</f>
        <v>1.98359665956216</v>
      </c>
      <c r="I45" s="43" t="n">
        <v>0.723478219470015</v>
      </c>
      <c r="J45" s="44" t="n">
        <f aca="false">IFERROR(1/I45,"")</f>
        <v>1.38221161755575</v>
      </c>
      <c r="K45" s="43" t="n">
        <v>0.43515112970471</v>
      </c>
      <c r="L45" s="44" t="n">
        <f aca="false">IFERROR(1/K45,"")</f>
        <v>2.29805217483543</v>
      </c>
      <c r="M45" s="43" t="n">
        <v>0.654494602234422</v>
      </c>
      <c r="N45" s="44" t="n">
        <f aca="false">IFERROR(1/M45,"")</f>
        <v>1.52789648163031</v>
      </c>
      <c r="O45" s="43" t="n">
        <v>0.800212174923728</v>
      </c>
      <c r="P45" s="44" t="n">
        <f aca="false">IFERROR(1/O45,"")</f>
        <v>1.24966856458453</v>
      </c>
      <c r="Q45" s="43" t="n">
        <v>0.465819600665948</v>
      </c>
      <c r="R45" s="44" t="n">
        <f aca="false">IFERROR(1/Q45,"")</f>
        <v>2.14675380462817</v>
      </c>
      <c r="S45" s="43" t="n">
        <v>0.611537173355255</v>
      </c>
      <c r="T45" s="44" t="n">
        <f aca="false">IFERROR(1/S45,"")</f>
        <v>1.63522357032428</v>
      </c>
      <c r="U45" s="43" t="n">
        <v>0.688981414555866</v>
      </c>
      <c r="V45" s="44" t="n">
        <f aca="false">IFERROR(1/U45,"")</f>
        <v>1.45141796117189</v>
      </c>
      <c r="W45" s="43" t="n">
        <v>0.365061045219019</v>
      </c>
      <c r="X45" s="44" t="n">
        <f aca="false">IFERROR(1/W45,"")</f>
        <v>2.73926789257958</v>
      </c>
      <c r="Y45" s="43" t="n">
        <v>0.442505286419631</v>
      </c>
      <c r="Z45" s="44" t="n">
        <f aca="false">IFERROR(1/Y45,"")</f>
        <v>2.25986000775524</v>
      </c>
      <c r="AA45" s="43" t="n">
        <v>0.476804572728807</v>
      </c>
      <c r="AB45" s="44" t="n">
        <f aca="false">IFERROR(1/AA45,"")</f>
        <v>2.0972953222258</v>
      </c>
    </row>
    <row r="46" customFormat="false" ht="18.75" hidden="false" customHeight="true" outlineLevel="0" collapsed="false">
      <c r="A46" s="35" t="n">
        <v>32</v>
      </c>
      <c r="B46" s="33" t="n">
        <v>46320</v>
      </c>
      <c r="C46" s="34" t="s">
        <v>88</v>
      </c>
      <c r="D46" s="34" t="s">
        <v>103</v>
      </c>
      <c r="E46" s="36" t="n">
        <v>0.248940112131308</v>
      </c>
      <c r="F46" s="37" t="n">
        <f aca="false">IFERROR(1/E46,"")</f>
        <v>4.01703040718699</v>
      </c>
      <c r="G46" s="36" t="n">
        <v>0.492092211301852</v>
      </c>
      <c r="H46" s="37" t="n">
        <f aca="false">IFERROR(1/G46,"")</f>
        <v>2.03213945889218</v>
      </c>
      <c r="I46" s="36" t="n">
        <v>0.71271171218382</v>
      </c>
      <c r="J46" s="37" t="n">
        <f aca="false">IFERROR(1/I46,"")</f>
        <v>1.40309185734566</v>
      </c>
      <c r="K46" s="36" t="n">
        <v>0.426719656126095</v>
      </c>
      <c r="L46" s="37" t="n">
        <f aca="false">IFERROR(1/K46,"")</f>
        <v>2.34345895635166</v>
      </c>
      <c r="M46" s="36" t="n">
        <v>0.647339157008063</v>
      </c>
      <c r="N46" s="37" t="n">
        <f aca="false">IFERROR(1/M46,"")</f>
        <v>1.54478527858858</v>
      </c>
      <c r="O46" s="36" t="n">
        <v>0.796602678188079</v>
      </c>
      <c r="P46" s="37" t="n">
        <f aca="false">IFERROR(1/O46,"")</f>
        <v>1.25533095403917</v>
      </c>
      <c r="Q46" s="36" t="n">
        <v>0.463771600052513</v>
      </c>
      <c r="R46" s="37" t="n">
        <f aca="false">IFERROR(1/Q46,"")</f>
        <v>2.15623380104942</v>
      </c>
      <c r="S46" s="36" t="n">
        <v>0.613035121232528</v>
      </c>
      <c r="T46" s="37" t="n">
        <f aca="false">IFERROR(1/S46,"")</f>
        <v>1.63122791071002</v>
      </c>
      <c r="U46" s="36" t="n">
        <v>0.693824348534702</v>
      </c>
      <c r="V46" s="37" t="n">
        <f aca="false">IFERROR(1/U46,"")</f>
        <v>1.441286980072</v>
      </c>
      <c r="W46" s="36" t="n">
        <v>0.369883022061983</v>
      </c>
      <c r="X46" s="37" t="n">
        <f aca="false">IFERROR(1/W46,"")</f>
        <v>2.70355745020496</v>
      </c>
      <c r="Y46" s="36" t="n">
        <v>0.450672249364158</v>
      </c>
      <c r="Z46" s="37" t="n">
        <f aca="false">IFERROR(1/Y46,"")</f>
        <v>2.218907424211</v>
      </c>
      <c r="AA46" s="36" t="n">
        <v>0.487111713365383</v>
      </c>
      <c r="AB46" s="37" t="n">
        <f aca="false">IFERROR(1/AA46,"")</f>
        <v>2.05291716984416</v>
      </c>
    </row>
    <row r="47" customFormat="false" ht="18.75" hidden="false" customHeight="true" outlineLevel="0" collapsed="false">
      <c r="A47" s="42" t="n">
        <v>32</v>
      </c>
      <c r="B47" s="40" t="n">
        <v>46320</v>
      </c>
      <c r="C47" s="41" t="s">
        <v>84</v>
      </c>
      <c r="D47" s="41" t="s">
        <v>101</v>
      </c>
      <c r="E47" s="43" t="n">
        <v>0.294651458661136</v>
      </c>
      <c r="F47" s="44" t="n">
        <f aca="false">IFERROR(1/E47,"")</f>
        <v>3.39384031745131</v>
      </c>
      <c r="G47" s="43" t="n">
        <v>0.551082094703412</v>
      </c>
      <c r="H47" s="44" t="n">
        <f aca="false">IFERROR(1/G47,"")</f>
        <v>1.81461166967907</v>
      </c>
      <c r="I47" s="43" t="n">
        <v>0.763599414102858</v>
      </c>
      <c r="J47" s="44" t="n">
        <f aca="false">IFERROR(1/I47,"")</f>
        <v>1.30958717559375</v>
      </c>
      <c r="K47" s="43" t="n">
        <v>0.468150091778627</v>
      </c>
      <c r="L47" s="44" t="n">
        <f aca="false">IFERROR(1/K47,"")</f>
        <v>2.13606708096699</v>
      </c>
      <c r="M47" s="43" t="n">
        <v>0.680667411178072</v>
      </c>
      <c r="N47" s="44" t="n">
        <f aca="false">IFERROR(1/M47,"")</f>
        <v>1.46914628727302</v>
      </c>
      <c r="O47" s="43" t="n">
        <v>0.811989400170914</v>
      </c>
      <c r="P47" s="44" t="n">
        <f aca="false">IFERROR(1/O47,"")</f>
        <v>1.23154317013192</v>
      </c>
      <c r="Q47" s="43" t="n">
        <v>0.468947955441722</v>
      </c>
      <c r="R47" s="44" t="n">
        <f aca="false">IFERROR(1/Q47,"")</f>
        <v>2.1324327964242</v>
      </c>
      <c r="S47" s="43" t="n">
        <v>0.600269944434563</v>
      </c>
      <c r="T47" s="44" t="n">
        <f aca="false">IFERROR(1/S47,"")</f>
        <v>1.66591715822449</v>
      </c>
      <c r="U47" s="43" t="n">
        <v>0.66518875610326</v>
      </c>
      <c r="V47" s="44" t="n">
        <f aca="false">IFERROR(1/U47,"")</f>
        <v>1.5033326868874</v>
      </c>
      <c r="W47" s="43" t="n">
        <v>0.343839308392287</v>
      </c>
      <c r="X47" s="44" t="n">
        <f aca="false">IFERROR(1/W47,"")</f>
        <v>2.90833530545349</v>
      </c>
      <c r="Y47" s="43" t="n">
        <v>0.408758120060984</v>
      </c>
      <c r="Z47" s="44" t="n">
        <f aca="false">IFERROR(1/Y47,"")</f>
        <v>2.44643458055538</v>
      </c>
      <c r="AA47" s="43" t="n">
        <v>0.435501877528145</v>
      </c>
      <c r="AB47" s="44" t="n">
        <f aca="false">IFERROR(1/AA47,"")</f>
        <v>2.29620135204899</v>
      </c>
    </row>
    <row r="48" customFormat="false" ht="18.75" hidden="false" customHeight="true" outlineLevel="0" collapsed="false">
      <c r="A48" s="35" t="n">
        <v>32</v>
      </c>
      <c r="B48" s="33" t="n">
        <v>46320</v>
      </c>
      <c r="C48" s="34" t="s">
        <v>106</v>
      </c>
      <c r="D48" s="34" t="s">
        <v>92</v>
      </c>
      <c r="E48" s="36" t="n">
        <v>0.33039868212142</v>
      </c>
      <c r="F48" s="37" t="n">
        <f aca="false">IFERROR(1/E48,"")</f>
        <v>3.02664645506214</v>
      </c>
      <c r="G48" s="36" t="n">
        <v>0.593722738460784</v>
      </c>
      <c r="H48" s="37" t="n">
        <f aca="false">IFERROR(1/G48,"")</f>
        <v>1.68428785899708</v>
      </c>
      <c r="I48" s="36" t="n">
        <v>0.797568040994425</v>
      </c>
      <c r="J48" s="37" t="n">
        <f aca="false">IFERROR(1/I48,"")</f>
        <v>1.25381152278015</v>
      </c>
      <c r="K48" s="36" t="n">
        <v>0.495890926407836</v>
      </c>
      <c r="L48" s="37" t="n">
        <f aca="false">IFERROR(1/K48,"")</f>
        <v>2.0165724895268</v>
      </c>
      <c r="M48" s="36" t="n">
        <v>0.699736228941476</v>
      </c>
      <c r="N48" s="37" t="n">
        <f aca="false">IFERROR(1/M48,"")</f>
        <v>1.42910993977366</v>
      </c>
      <c r="O48" s="36" t="n">
        <v>0.817392633118308</v>
      </c>
      <c r="P48" s="37" t="n">
        <f aca="false">IFERROR(1/O48,"")</f>
        <v>1.22340226652772</v>
      </c>
      <c r="Q48" s="36" t="n">
        <v>0.467169358873004</v>
      </c>
      <c r="R48" s="37" t="n">
        <f aca="false">IFERROR(1/Q48,"")</f>
        <v>2.14055134611652</v>
      </c>
      <c r="S48" s="36" t="n">
        <v>0.584825763049836</v>
      </c>
      <c r="T48" s="37" t="n">
        <f aca="false">IFERROR(1/S48,"")</f>
        <v>1.70991099089933</v>
      </c>
      <c r="U48" s="36" t="n">
        <v>0.639153350771559</v>
      </c>
      <c r="V48" s="37" t="n">
        <f aca="false">IFERROR(1/U48,"")</f>
        <v>1.56456975277192</v>
      </c>
      <c r="W48" s="36" t="n">
        <v>0.321501706710472</v>
      </c>
      <c r="X48" s="37" t="n">
        <f aca="false">IFERROR(1/W48,"")</f>
        <v>3.11040339484278</v>
      </c>
      <c r="Y48" s="36" t="n">
        <v>0.375829294432195</v>
      </c>
      <c r="Z48" s="37" t="n">
        <f aca="false">IFERROR(1/Y48,"")</f>
        <v>2.66078247442314</v>
      </c>
      <c r="AA48" s="36" t="n">
        <v>0.396733998602439</v>
      </c>
      <c r="AB48" s="37" t="n">
        <f aca="false">IFERROR(1/AA48,"")</f>
        <v>2.52058054898916</v>
      </c>
    </row>
    <row r="49" customFormat="false" ht="18.75" hidden="false" customHeight="true" outlineLevel="0" collapsed="false">
      <c r="A49" s="42" t="n">
        <v>33</v>
      </c>
      <c r="B49" s="40" t="n">
        <v>46323</v>
      </c>
      <c r="C49" s="41" t="s">
        <v>90</v>
      </c>
      <c r="D49" s="41" t="s">
        <v>96</v>
      </c>
      <c r="E49" s="43" t="n">
        <v>0.339273394363766</v>
      </c>
      <c r="F49" s="44" t="n">
        <f aca="false">IFERROR(1/E49,"")</f>
        <v>2.94747544786199</v>
      </c>
      <c r="G49" s="43" t="n">
        <v>0.603906106782519</v>
      </c>
      <c r="H49" s="44" t="n">
        <f aca="false">IFERROR(1/G49,"")</f>
        <v>1.6558865505232</v>
      </c>
      <c r="I49" s="43" t="n">
        <v>0.805339829587318</v>
      </c>
      <c r="J49" s="44" t="n">
        <f aca="false">IFERROR(1/I49,"")</f>
        <v>1.24171183798575</v>
      </c>
      <c r="K49" s="43" t="n">
        <v>0.502167741236067</v>
      </c>
      <c r="L49" s="44" t="n">
        <f aca="false">IFERROR(1/K49,"")</f>
        <v>1.99136646559283</v>
      </c>
      <c r="M49" s="43" t="n">
        <v>0.703601464040866</v>
      </c>
      <c r="N49" s="44" t="n">
        <f aca="false">IFERROR(1/M49,"")</f>
        <v>1.42125912339193</v>
      </c>
      <c r="O49" s="43" t="n">
        <v>0.817934677836534</v>
      </c>
      <c r="P49" s="44" t="n">
        <f aca="false">IFERROR(1/O49,"")</f>
        <v>1.22259151873232</v>
      </c>
      <c r="Q49" s="43" t="n">
        <v>0.466066435223552</v>
      </c>
      <c r="R49" s="44" t="n">
        <f aca="false">IFERROR(1/Q49,"")</f>
        <v>2.14561685721981</v>
      </c>
      <c r="S49" s="43" t="n">
        <v>0.58039964901922</v>
      </c>
      <c r="T49" s="44" t="n">
        <f aca="false">IFERROR(1/S49,"")</f>
        <v>1.72295073177566</v>
      </c>
      <c r="U49" s="43" t="n">
        <v>0.632315817155629</v>
      </c>
      <c r="V49" s="44" t="n">
        <f aca="false">IFERROR(1/U49,"")</f>
        <v>1.58148819445691</v>
      </c>
      <c r="W49" s="43" t="n">
        <v>0.315766936600467</v>
      </c>
      <c r="X49" s="44" t="n">
        <f aca="false">IFERROR(1/W49,"")</f>
        <v>3.16689267966417</v>
      </c>
      <c r="Y49" s="43" t="n">
        <v>0.367683104736877</v>
      </c>
      <c r="Z49" s="44" t="n">
        <f aca="false">IFERROR(1/Y49,"")</f>
        <v>2.71973334405894</v>
      </c>
      <c r="AA49" s="43" t="n">
        <v>0.387328085290419</v>
      </c>
      <c r="AB49" s="44" t="n">
        <f aca="false">IFERROR(1/AA49,"")</f>
        <v>2.58179057490809</v>
      </c>
    </row>
    <row r="50" customFormat="false" ht="18.75" hidden="false" customHeight="true" outlineLevel="0" collapsed="false">
      <c r="A50" s="35" t="n">
        <v>33</v>
      </c>
      <c r="B50" s="33" t="n">
        <v>46323</v>
      </c>
      <c r="C50" s="34" t="s">
        <v>103</v>
      </c>
      <c r="D50" s="34" t="s">
        <v>87</v>
      </c>
      <c r="E50" s="36" t="n">
        <v>0.304483761674612</v>
      </c>
      <c r="F50" s="37" t="n">
        <f aca="false">IFERROR(1/E50,"")</f>
        <v>3.28424739138849</v>
      </c>
      <c r="G50" s="36" t="n">
        <v>0.563131470739959</v>
      </c>
      <c r="H50" s="37" t="n">
        <f aca="false">IFERROR(1/G50,"")</f>
        <v>1.77578425635845</v>
      </c>
      <c r="I50" s="36" t="n">
        <v>0.773433542708582</v>
      </c>
      <c r="J50" s="37" t="n">
        <f aca="false">IFERROR(1/I50,"")</f>
        <v>1.29293590823328</v>
      </c>
      <c r="K50" s="36" t="n">
        <v>0.47616882376257</v>
      </c>
      <c r="L50" s="37" t="n">
        <f aca="false">IFERROR(1/K50,"")</f>
        <v>2.10009549154908</v>
      </c>
      <c r="M50" s="36" t="n">
        <v>0.686470895731193</v>
      </c>
      <c r="N50" s="37" t="n">
        <f aca="false">IFERROR(1/M50,"")</f>
        <v>1.45672599700655</v>
      </c>
      <c r="O50" s="36" t="n">
        <v>0.813978564329431</v>
      </c>
      <c r="P50" s="37" t="n">
        <f aca="false">IFERROR(1/O50,"")</f>
        <v>1.22853358039449</v>
      </c>
      <c r="Q50" s="36" t="n">
        <v>0.46894978103397</v>
      </c>
      <c r="R50" s="37" t="n">
        <f aca="false">IFERROR(1/Q50,"")</f>
        <v>2.13242449499632</v>
      </c>
      <c r="S50" s="36" t="n">
        <v>0.596457449632208</v>
      </c>
      <c r="T50" s="37" t="n">
        <f aca="false">IFERROR(1/S50,"")</f>
        <v>1.67656552972325</v>
      </c>
      <c r="U50" s="36" t="n">
        <v>0.658304507625185</v>
      </c>
      <c r="V50" s="37" t="n">
        <f aca="false">IFERROR(1/U50,"")</f>
        <v>1.51905385489076</v>
      </c>
      <c r="W50" s="36" t="n">
        <v>0.337809740566861</v>
      </c>
      <c r="X50" s="37" t="n">
        <f aca="false">IFERROR(1/W50,"")</f>
        <v>2.96024619752513</v>
      </c>
      <c r="Y50" s="36" t="n">
        <v>0.399656798559838</v>
      </c>
      <c r="Z50" s="37" t="n">
        <f aca="false">IFERROR(1/Y50,"")</f>
        <v>2.50214685100691</v>
      </c>
      <c r="AA50" s="36" t="n">
        <v>0.424655677871945</v>
      </c>
      <c r="AB50" s="37" t="n">
        <f aca="false">IFERROR(1/AA50,"")</f>
        <v>2.35484900381233</v>
      </c>
    </row>
    <row r="51" customFormat="false" ht="18.75" hidden="false" customHeight="true" outlineLevel="0" collapsed="false">
      <c r="A51" s="42" t="n">
        <v>33</v>
      </c>
      <c r="B51" s="40" t="n">
        <v>46323</v>
      </c>
      <c r="C51" s="41" t="s">
        <v>91</v>
      </c>
      <c r="D51" s="41" t="s">
        <v>83</v>
      </c>
      <c r="E51" s="43" t="n">
        <v>0.219450050120319</v>
      </c>
      <c r="F51" s="44" t="n">
        <f aca="false">IFERROR(1/E51,"")</f>
        <v>4.55684562136908</v>
      </c>
      <c r="G51" s="43" t="n">
        <v>0.451346826127195</v>
      </c>
      <c r="H51" s="44" t="n">
        <f aca="false">IFERROR(1/G51,"")</f>
        <v>2.21559107567135</v>
      </c>
      <c r="I51" s="43" t="n">
        <v>0.674809126915016</v>
      </c>
      <c r="J51" s="44" t="n">
        <f aca="false">IFERROR(1/I51,"")</f>
        <v>1.48190052581482</v>
      </c>
      <c r="K51" s="43" t="n">
        <v>0.396166137687971</v>
      </c>
      <c r="L51" s="44" t="n">
        <f aca="false">IFERROR(1/K51,"")</f>
        <v>2.52419352606966</v>
      </c>
      <c r="M51" s="43" t="n">
        <v>0.619628438475793</v>
      </c>
      <c r="N51" s="44" t="n">
        <f aca="false">IFERROR(1/M51,"")</f>
        <v>1.61387040669062</v>
      </c>
      <c r="O51" s="43" t="n">
        <v>0.78034441483681</v>
      </c>
      <c r="P51" s="44" t="n">
        <f aca="false">IFERROR(1/O51,"")</f>
        <v>1.28148543256906</v>
      </c>
      <c r="Q51" s="43" t="n">
        <v>0.455359076794697</v>
      </c>
      <c r="R51" s="44" t="n">
        <f aca="false">IFERROR(1/Q51,"")</f>
        <v>2.19606910449456</v>
      </c>
      <c r="S51" s="43" t="n">
        <v>0.616075053155714</v>
      </c>
      <c r="T51" s="44" t="n">
        <f aca="false">IFERROR(1/S51,"")</f>
        <v>1.62317885601391</v>
      </c>
      <c r="U51" s="43" t="n">
        <v>0.70854568454763</v>
      </c>
      <c r="V51" s="44" t="n">
        <f aca="false">IFERROR(1/U51,"")</f>
        <v>1.41134159985527</v>
      </c>
      <c r="W51" s="43" t="n">
        <v>0.384178277148839</v>
      </c>
      <c r="X51" s="44" t="n">
        <f aca="false">IFERROR(1/W51,"")</f>
        <v>2.60295820841682</v>
      </c>
      <c r="Y51" s="43" t="n">
        <v>0.476648908540755</v>
      </c>
      <c r="Z51" s="44" t="n">
        <f aca="false">IFERROR(1/Y51,"")</f>
        <v>2.09798025775716</v>
      </c>
      <c r="AA51" s="43" t="n">
        <v>0.520986015236834</v>
      </c>
      <c r="AB51" s="44" t="n">
        <f aca="false">IFERROR(1/AA51,"")</f>
        <v>1.91943731838063</v>
      </c>
    </row>
    <row r="52" customFormat="false" ht="18.75" hidden="false" customHeight="true" outlineLevel="0" collapsed="false">
      <c r="A52" s="35" t="n">
        <v>33</v>
      </c>
      <c r="B52" s="33" t="n">
        <v>46323</v>
      </c>
      <c r="C52" s="34" t="s">
        <v>101</v>
      </c>
      <c r="D52" s="34" t="s">
        <v>95</v>
      </c>
      <c r="E52" s="36" t="n">
        <v>0.302221642312672</v>
      </c>
      <c r="F52" s="37" t="n">
        <f aca="false">IFERROR(1/E52,"")</f>
        <v>3.3088298784553</v>
      </c>
      <c r="G52" s="36" t="n">
        <v>0.560370886137125</v>
      </c>
      <c r="H52" s="37" t="n">
        <f aca="false">IFERROR(1/G52,"")</f>
        <v>1.78453239584488</v>
      </c>
      <c r="I52" s="36" t="n">
        <v>0.77119695954153</v>
      </c>
      <c r="J52" s="37" t="n">
        <f aca="false">IFERROR(1/I52,"")</f>
        <v>1.29668561011248</v>
      </c>
      <c r="K52" s="36" t="n">
        <v>0.474352299834193</v>
      </c>
      <c r="L52" s="37" t="n">
        <f aca="false">IFERROR(1/K52,"")</f>
        <v>2.10813777091319</v>
      </c>
      <c r="M52" s="36" t="n">
        <v>0.685178373238598</v>
      </c>
      <c r="N52" s="37" t="n">
        <f aca="false">IFERROR(1/M52,"")</f>
        <v>1.45947396919922</v>
      </c>
      <c r="O52" s="36" t="n">
        <v>0.81356357802561</v>
      </c>
      <c r="P52" s="37" t="n">
        <f aca="false">IFERROR(1/O52,"")</f>
        <v>1.22916023653227</v>
      </c>
      <c r="Q52" s="36" t="n">
        <v>0.468975317228858</v>
      </c>
      <c r="R52" s="37" t="n">
        <f aca="false">IFERROR(1/Q52,"")</f>
        <v>2.13230838225971</v>
      </c>
      <c r="S52" s="36" t="n">
        <v>0.597360522015869</v>
      </c>
      <c r="T52" s="37" t="n">
        <f aca="false">IFERROR(1/S52,"")</f>
        <v>1.67403094637954</v>
      </c>
      <c r="U52" s="36" t="n">
        <v>0.659905957851354</v>
      </c>
      <c r="V52" s="37" t="n">
        <f aca="false">IFERROR(1/U52,"")</f>
        <v>1.51536743698449</v>
      </c>
      <c r="W52" s="36" t="n">
        <v>0.339211278191417</v>
      </c>
      <c r="X52" s="37" t="n">
        <f aca="false">IFERROR(1/W52,"")</f>
        <v>2.94801518785499</v>
      </c>
      <c r="Y52" s="36" t="n">
        <v>0.401756714026901</v>
      </c>
      <c r="Z52" s="37" t="n">
        <f aca="false">IFERROR(1/Y52,"")</f>
        <v>2.48906854592862</v>
      </c>
      <c r="AA52" s="36" t="n">
        <v>0.427148603681298</v>
      </c>
      <c r="AB52" s="37" t="n">
        <f aca="false">IFERROR(1/AA52,"")</f>
        <v>2.34110562783465</v>
      </c>
    </row>
    <row r="53" customFormat="false" ht="18.75" hidden="false" customHeight="true" outlineLevel="0" collapsed="false">
      <c r="A53" s="42" t="n">
        <v>33</v>
      </c>
      <c r="B53" s="40" t="n">
        <v>46323</v>
      </c>
      <c r="C53" s="41" t="s">
        <v>99</v>
      </c>
      <c r="D53" s="41" t="s">
        <v>106</v>
      </c>
      <c r="E53" s="43" t="n">
        <v>0.26477204553235</v>
      </c>
      <c r="F53" s="44" t="n">
        <f aca="false">IFERROR(1/E53,"")</f>
        <v>3.77683375897709</v>
      </c>
      <c r="G53" s="43" t="n">
        <v>0.513145243651683</v>
      </c>
      <c r="H53" s="44" t="n">
        <f aca="false">IFERROR(1/G53,"")</f>
        <v>1.94876599241908</v>
      </c>
      <c r="I53" s="43" t="n">
        <v>0.731403487845033</v>
      </c>
      <c r="J53" s="44" t="n">
        <f aca="false">IFERROR(1/I53,"")</f>
        <v>1.36723438788396</v>
      </c>
      <c r="K53" s="43" t="n">
        <v>0.44185826459077</v>
      </c>
      <c r="L53" s="44" t="n">
        <f aca="false">IFERROR(1/K53,"")</f>
        <v>2.26316916562862</v>
      </c>
      <c r="M53" s="43" t="n">
        <v>0.66011650878412</v>
      </c>
      <c r="N53" s="44" t="n">
        <f aca="false">IFERROR(1/M53,"")</f>
        <v>1.51488409499395</v>
      </c>
      <c r="O53" s="43" t="n">
        <v>0.803135807045643</v>
      </c>
      <c r="P53" s="44" t="n">
        <f aca="false">IFERROR(1/O53,"")</f>
        <v>1.24511943214004</v>
      </c>
      <c r="Q53" s="43" t="n">
        <v>0.466631442312683</v>
      </c>
      <c r="R53" s="44" t="n">
        <f aca="false">IFERROR(1/Q53,"")</f>
        <v>2.14301889954924</v>
      </c>
      <c r="S53" s="43" t="n">
        <v>0.609650740574206</v>
      </c>
      <c r="T53" s="44" t="n">
        <f aca="false">IFERROR(1/S53,"")</f>
        <v>1.64028341712197</v>
      </c>
      <c r="U53" s="43" t="n">
        <v>0.684624383840934</v>
      </c>
      <c r="V53" s="44" t="n">
        <f aca="false">IFERROR(1/U53,"")</f>
        <v>1.46065495708716</v>
      </c>
      <c r="W53" s="43" t="n">
        <v>0.361277542454874</v>
      </c>
      <c r="X53" s="44" t="n">
        <f aca="false">IFERROR(1/W53,"")</f>
        <v>2.76795505528802</v>
      </c>
      <c r="Y53" s="43" t="n">
        <v>0.436251185721602</v>
      </c>
      <c r="Z53" s="44" t="n">
        <f aca="false">IFERROR(1/Y53,"")</f>
        <v>2.29225737999062</v>
      </c>
      <c r="AA53" s="43" t="n">
        <v>0.469003450934604</v>
      </c>
      <c r="AB53" s="44" t="n">
        <f aca="false">IFERROR(1/AA53,"")</f>
        <v>2.13218047331476</v>
      </c>
    </row>
    <row r="54" customFormat="false" ht="18.75" hidden="false" customHeight="true" outlineLevel="0" collapsed="false">
      <c r="A54" s="35" t="n">
        <v>33</v>
      </c>
      <c r="B54" s="33" t="n">
        <v>46323</v>
      </c>
      <c r="C54" s="34" t="s">
        <v>98</v>
      </c>
      <c r="D54" s="34" t="s">
        <v>100</v>
      </c>
      <c r="E54" s="36" t="n">
        <v>0.316389447811329</v>
      </c>
      <c r="F54" s="37" t="n">
        <f aca="false">IFERROR(1/E54,"")</f>
        <v>3.16066166845212</v>
      </c>
      <c r="G54" s="36" t="n">
        <v>0.577432124134003</v>
      </c>
      <c r="H54" s="37" t="n">
        <f aca="false">IFERROR(1/G54,"")</f>
        <v>1.73180527754624</v>
      </c>
      <c r="I54" s="36" t="n">
        <v>0.784863743334404</v>
      </c>
      <c r="J54" s="37" t="n">
        <f aca="false">IFERROR(1/I54,"")</f>
        <v>1.27410650382653</v>
      </c>
      <c r="K54" s="36" t="n">
        <v>0.485471516655481</v>
      </c>
      <c r="L54" s="37" t="n">
        <f aca="false">IFERROR(1/K54,"")</f>
        <v>2.0598530823996</v>
      </c>
      <c r="M54" s="36" t="n">
        <v>0.692903135855882</v>
      </c>
      <c r="N54" s="37" t="n">
        <f aca="false">IFERROR(1/M54,"")</f>
        <v>1.44320316686803</v>
      </c>
      <c r="O54" s="36" t="n">
        <v>0.815832856021549</v>
      </c>
      <c r="P54" s="37" t="n">
        <f aca="false">IFERROR(1/O54,"")</f>
        <v>1.22574126871594</v>
      </c>
      <c r="Q54" s="36" t="n">
        <v>0.468474295523076</v>
      </c>
      <c r="R54" s="37" t="n">
        <f aca="false">IFERROR(1/Q54,"")</f>
        <v>2.13458883348861</v>
      </c>
      <c r="S54" s="36" t="n">
        <v>0.591404015688743</v>
      </c>
      <c r="T54" s="37" t="n">
        <f aca="false">IFERROR(1/S54,"")</f>
        <v>1.69089146078153</v>
      </c>
      <c r="U54" s="36" t="n">
        <v>0.649685260016918</v>
      </c>
      <c r="V54" s="37" t="n">
        <f aca="false">IFERROR(1/U54,"")</f>
        <v>1.53920684605644</v>
      </c>
      <c r="W54" s="36" t="n">
        <v>0.330361339366069</v>
      </c>
      <c r="X54" s="37" t="n">
        <f aca="false">IFERROR(1/W54,"")</f>
        <v>3.0269885753548</v>
      </c>
      <c r="Y54" s="36" t="n">
        <v>0.388642583694243</v>
      </c>
      <c r="Z54" s="37" t="n">
        <f aca="false">IFERROR(1/Y54,"")</f>
        <v>2.57305823385203</v>
      </c>
      <c r="AA54" s="36" t="n">
        <v>0.41166863627577</v>
      </c>
      <c r="AB54" s="37" t="n">
        <f aca="false">IFERROR(1/AA54,"")</f>
        <v>2.42913817541863</v>
      </c>
    </row>
    <row r="55" customFormat="false" ht="18.75" hidden="false" customHeight="true" outlineLevel="0" collapsed="false">
      <c r="A55" s="42" t="n">
        <v>33</v>
      </c>
      <c r="B55" s="40" t="n">
        <v>46323</v>
      </c>
      <c r="C55" s="41" t="s">
        <v>105</v>
      </c>
      <c r="D55" s="41" t="s">
        <v>92</v>
      </c>
      <c r="E55" s="43" t="n">
        <v>0.294196133937892</v>
      </c>
      <c r="F55" s="44" t="n">
        <f aca="false">IFERROR(1/E55,"")</f>
        <v>3.3990929337335</v>
      </c>
      <c r="G55" s="43" t="n">
        <v>0.550529206522361</v>
      </c>
      <c r="H55" s="44" t="n">
        <f aca="false">IFERROR(1/G55,"")</f>
        <v>1.81643405681762</v>
      </c>
      <c r="I55" s="43" t="n">
        <v>0.76314369678338</v>
      </c>
      <c r="J55" s="44" t="n">
        <f aca="false">IFERROR(1/I55,"")</f>
        <v>1.31036920597649</v>
      </c>
      <c r="K55" s="43" t="n">
        <v>0.467769898134464</v>
      </c>
      <c r="L55" s="44" t="n">
        <f aca="false">IFERROR(1/K55,"")</f>
        <v>2.13780323186282</v>
      </c>
      <c r="M55" s="43" t="n">
        <v>0.680384388395483</v>
      </c>
      <c r="N55" s="44" t="n">
        <f aca="false">IFERROR(1/M55,"")</f>
        <v>1.46975741515506</v>
      </c>
      <c r="O55" s="43" t="n">
        <v>0.81188038578858</v>
      </c>
      <c r="P55" s="44" t="n">
        <f aca="false">IFERROR(1/O55,"")</f>
        <v>1.23170853429191</v>
      </c>
      <c r="Q55" s="43" t="n">
        <v>0.468947562845488</v>
      </c>
      <c r="R55" s="44" t="n">
        <f aca="false">IFERROR(1/Q55,"")</f>
        <v>2.13243458166662</v>
      </c>
      <c r="S55" s="43" t="n">
        <v>0.600443560238586</v>
      </c>
      <c r="T55" s="44" t="n">
        <f aca="false">IFERROR(1/S55,"")</f>
        <v>1.6654354650796</v>
      </c>
      <c r="U55" s="43" t="n">
        <v>0.665504779007552</v>
      </c>
      <c r="V55" s="44" t="n">
        <f aca="false">IFERROR(1/U55,"")</f>
        <v>1.50261881137994</v>
      </c>
      <c r="W55" s="43" t="n">
        <v>0.344110487654116</v>
      </c>
      <c r="X55" s="44" t="n">
        <f aca="false">IFERROR(1/W55,"")</f>
        <v>2.90604336652812</v>
      </c>
      <c r="Y55" s="43" t="n">
        <v>0.409171706423082</v>
      </c>
      <c r="Z55" s="44" t="n">
        <f aca="false">IFERROR(1/Y55,"")</f>
        <v>2.44396175078148</v>
      </c>
      <c r="AA55" s="43" t="n">
        <v>0.435997378380287</v>
      </c>
      <c r="AB55" s="44" t="n">
        <f aca="false">IFERROR(1/AA55,"")</f>
        <v>2.29359177276469</v>
      </c>
    </row>
    <row r="56" customFormat="false" ht="18.75" hidden="false" customHeight="true" outlineLevel="0" collapsed="false">
      <c r="A56" s="35" t="n">
        <v>33</v>
      </c>
      <c r="B56" s="33" t="n">
        <v>46323</v>
      </c>
      <c r="C56" s="34" t="s">
        <v>104</v>
      </c>
      <c r="D56" s="34" t="s">
        <v>93</v>
      </c>
      <c r="E56" s="36" t="n">
        <v>0.240311763507</v>
      </c>
      <c r="F56" s="37" t="n">
        <f aca="false">IFERROR(1/E56,"")</f>
        <v>4.16126112765541</v>
      </c>
      <c r="G56" s="36" t="n">
        <v>0.480324630495064</v>
      </c>
      <c r="H56" s="37" t="n">
        <f aca="false">IFERROR(1/G56,"")</f>
        <v>2.08192529908223</v>
      </c>
      <c r="I56" s="36" t="n">
        <v>0.702001551076228</v>
      </c>
      <c r="J56" s="37" t="n">
        <f aca="false">IFERROR(1/I56,"")</f>
        <v>1.42449827705782</v>
      </c>
      <c r="K56" s="36" t="n">
        <v>0.418100677807323</v>
      </c>
      <c r="L56" s="37" t="n">
        <f aca="false">IFERROR(1/K56,"")</f>
        <v>2.39176842583556</v>
      </c>
      <c r="M56" s="36" t="n">
        <v>0.639777598388487</v>
      </c>
      <c r="N56" s="37" t="n">
        <f aca="false">IFERROR(1/M56,"")</f>
        <v>1.56304316143433</v>
      </c>
      <c r="O56" s="36" t="n">
        <v>0.792440264810426</v>
      </c>
      <c r="P56" s="37" t="n">
        <f aca="false">IFERROR(1/O56,"")</f>
        <v>1.26192477137596</v>
      </c>
      <c r="Q56" s="36" t="n">
        <v>0.461689787569228</v>
      </c>
      <c r="R56" s="37" t="n">
        <f aca="false">IFERROR(1/Q56,"")</f>
        <v>2.16595650786418</v>
      </c>
      <c r="S56" s="36" t="n">
        <v>0.614352453991167</v>
      </c>
      <c r="T56" s="37" t="n">
        <f aca="false">IFERROR(1/S56,"")</f>
        <v>1.62773013032414</v>
      </c>
      <c r="U56" s="36" t="n">
        <v>0.698460045013114</v>
      </c>
      <c r="V56" s="37" t="n">
        <f aca="false">IFERROR(1/U56,"")</f>
        <v>1.43172112297594</v>
      </c>
      <c r="W56" s="36" t="n">
        <v>0.374339587003103</v>
      </c>
      <c r="X56" s="37" t="n">
        <f aca="false">IFERROR(1/W56,"")</f>
        <v>2.67137122206557</v>
      </c>
      <c r="Y56" s="36" t="n">
        <v>0.45844717802505</v>
      </c>
      <c r="Z56" s="37" t="n">
        <f aca="false">IFERROR(1/Y56,"")</f>
        <v>2.18127637802879</v>
      </c>
      <c r="AA56" s="36" t="n">
        <v>0.497062201119843</v>
      </c>
      <c r="AB56" s="37" t="n">
        <f aca="false">IFERROR(1/AA56,"")</f>
        <v>2.01182064889882</v>
      </c>
    </row>
    <row r="57" customFormat="false" ht="18.75" hidden="false" customHeight="true" outlineLevel="0" collapsed="false">
      <c r="A57" s="42" t="n">
        <v>33</v>
      </c>
      <c r="B57" s="40" t="n">
        <v>46323</v>
      </c>
      <c r="C57" s="41" t="s">
        <v>88</v>
      </c>
      <c r="D57" s="41" t="s">
        <v>102</v>
      </c>
      <c r="E57" s="43" t="n">
        <v>0.293032166315999</v>
      </c>
      <c r="F57" s="44" t="n">
        <f aca="false">IFERROR(1/E57,"")</f>
        <v>3.41259463959879</v>
      </c>
      <c r="G57" s="43" t="n">
        <v>0.549123563255714</v>
      </c>
      <c r="H57" s="44" t="n">
        <f aca="false">IFERROR(1/G57,"")</f>
        <v>1.82108375402992</v>
      </c>
      <c r="I57" s="43" t="n">
        <v>0.761983335202056</v>
      </c>
      <c r="J57" s="44" t="n">
        <f aca="false">IFERROR(1/I57,"")</f>
        <v>1.31236465917569</v>
      </c>
      <c r="K57" s="43" t="n">
        <v>0.466793802906745</v>
      </c>
      <c r="L57" s="44" t="n">
        <f aca="false">IFERROR(1/K57,"")</f>
        <v>2.14227351300072</v>
      </c>
      <c r="M57" s="43" t="n">
        <v>0.679653574853087</v>
      </c>
      <c r="N57" s="44" t="n">
        <f aca="false">IFERROR(1/M57,"")</f>
        <v>1.47133780649378</v>
      </c>
      <c r="O57" s="43" t="n">
        <v>0.811591560087066</v>
      </c>
      <c r="P57" s="44" t="n">
        <f aca="false">IFERROR(1/O57,"")</f>
        <v>1.23214686940895</v>
      </c>
      <c r="Q57" s="43" t="n">
        <v>0.468951168886057</v>
      </c>
      <c r="R57" s="44" t="n">
        <f aca="false">IFERROR(1/Q57,"")</f>
        <v>2.13241818412649</v>
      </c>
      <c r="S57" s="43" t="n">
        <v>0.600889154120035</v>
      </c>
      <c r="T57" s="44" t="n">
        <f aca="false">IFERROR(1/S57,"")</f>
        <v>1.66420044885722</v>
      </c>
      <c r="U57" s="43" t="n">
        <v>0.666313003026497</v>
      </c>
      <c r="V57" s="44" t="n">
        <f aca="false">IFERROR(1/U57,"")</f>
        <v>1.50079616555259</v>
      </c>
      <c r="W57" s="43" t="n">
        <v>0.34479775718032</v>
      </c>
      <c r="X57" s="44" t="n">
        <f aca="false">IFERROR(1/W57,"")</f>
        <v>2.900250883816</v>
      </c>
      <c r="Y57" s="43" t="n">
        <v>0.410221606086782</v>
      </c>
      <c r="Z57" s="44" t="n">
        <f aca="false">IFERROR(1/Y57,"")</f>
        <v>2.43770680325515</v>
      </c>
      <c r="AA57" s="43" t="n">
        <v>0.437256276947141</v>
      </c>
      <c r="AB57" s="44" t="n">
        <f aca="false">IFERROR(1/AA57,"")</f>
        <v>2.28698832405987</v>
      </c>
    </row>
    <row r="58" customFormat="false" ht="18.75" hidden="false" customHeight="true" outlineLevel="0" collapsed="false">
      <c r="A58" s="35" t="n">
        <v>33</v>
      </c>
      <c r="B58" s="33" t="n">
        <v>46323</v>
      </c>
      <c r="C58" s="34" t="s">
        <v>84</v>
      </c>
      <c r="D58" s="34" t="s">
        <v>8</v>
      </c>
      <c r="E58" s="36" t="n">
        <v>0.223410087459502</v>
      </c>
      <c r="F58" s="37" t="n">
        <f aca="false">IFERROR(1/E58,"")</f>
        <v>4.47607362483698</v>
      </c>
      <c r="G58" s="36" t="n">
        <v>0.456758811364714</v>
      </c>
      <c r="H58" s="37" t="n">
        <f aca="false">IFERROR(1/G58,"")</f>
        <v>2.1893392642217</v>
      </c>
      <c r="I58" s="36" t="n">
        <v>0.679976170632305</v>
      </c>
      <c r="J58" s="37" t="n">
        <f aca="false">IFERROR(1/I58,"")</f>
        <v>1.47063977119979</v>
      </c>
      <c r="K58" s="36" t="n">
        <v>0.400440851013774</v>
      </c>
      <c r="L58" s="37" t="n">
        <f aca="false">IFERROR(1/K58,"")</f>
        <v>2.49724771453351</v>
      </c>
      <c r="M58" s="36" t="n">
        <v>0.623658210281365</v>
      </c>
      <c r="N58" s="37" t="n">
        <f aca="false">IFERROR(1/M58,"")</f>
        <v>1.60344237198264</v>
      </c>
      <c r="O58" s="36" t="n">
        <v>0.782905714894701</v>
      </c>
      <c r="P58" s="37" t="n">
        <f aca="false">IFERROR(1/O58,"")</f>
        <v>1.27729301367343</v>
      </c>
      <c r="Q58" s="36" t="n">
        <v>0.456566083172803</v>
      </c>
      <c r="R58" s="37" t="n">
        <f aca="false">IFERROR(1/Q58,"")</f>
        <v>2.19026344018094</v>
      </c>
      <c r="S58" s="36" t="n">
        <v>0.615813587786139</v>
      </c>
      <c r="T58" s="37" t="n">
        <f aca="false">IFERROR(1/S58,"")</f>
        <v>1.62386803382338</v>
      </c>
      <c r="U58" s="36" t="n">
        <v>0.706701743828423</v>
      </c>
      <c r="V58" s="37" t="n">
        <f aca="false">IFERROR(1/U58,"")</f>
        <v>1.41502410137364</v>
      </c>
      <c r="W58" s="36" t="n">
        <v>0.382464863880927</v>
      </c>
      <c r="X58" s="37" t="n">
        <f aca="false">IFERROR(1/W58,"")</f>
        <v>2.61461926163061</v>
      </c>
      <c r="Y58" s="36" t="n">
        <v>0.473353019923211</v>
      </c>
      <c r="Z58" s="37" t="n">
        <f aca="false">IFERROR(1/Y58,"")</f>
        <v>2.11258819086487</v>
      </c>
      <c r="AA58" s="36" t="n">
        <v>0.516580578019146</v>
      </c>
      <c r="AB58" s="37" t="n">
        <f aca="false">IFERROR(1/AA58,"")</f>
        <v>1.93580642120645</v>
      </c>
    </row>
    <row r="59" customFormat="false" ht="18.75" hidden="false" customHeight="true" outlineLevel="0" collapsed="false">
      <c r="A59" s="42" t="n">
        <v>34</v>
      </c>
      <c r="B59" s="40" t="n">
        <v>46330</v>
      </c>
      <c r="C59" s="41" t="s">
        <v>92</v>
      </c>
      <c r="D59" s="41" t="s">
        <v>84</v>
      </c>
      <c r="E59" s="43" t="n">
        <v>0.248508735032034</v>
      </c>
      <c r="F59" s="44" t="n">
        <f aca="false">IFERROR(1/E59,"")</f>
        <v>4.02400342133283</v>
      </c>
      <c r="G59" s="43" t="n">
        <v>0.491643893258934</v>
      </c>
      <c r="H59" s="44" t="n">
        <f aca="false">IFERROR(1/G59,"")</f>
        <v>2.03399251716797</v>
      </c>
      <c r="I59" s="43" t="n">
        <v>0.712307608267739</v>
      </c>
      <c r="J59" s="44" t="n">
        <f aca="false">IFERROR(1/I59,"")</f>
        <v>1.4038878546193</v>
      </c>
      <c r="K59" s="43" t="n">
        <v>0.426293822504638</v>
      </c>
      <c r="L59" s="44" t="n">
        <f aca="false">IFERROR(1/K59,"")</f>
        <v>2.34579988545136</v>
      </c>
      <c r="M59" s="43" t="n">
        <v>0.646957537513443</v>
      </c>
      <c r="N59" s="44" t="n">
        <f aca="false">IFERROR(1/M59,"")</f>
        <v>1.54569649786207</v>
      </c>
      <c r="O59" s="43" t="n">
        <v>0.796352310445417</v>
      </c>
      <c r="P59" s="44" t="n">
        <f aca="false">IFERROR(1/O59,"")</f>
        <v>1.2557256215414</v>
      </c>
      <c r="Q59" s="43" t="n">
        <v>0.463798873235705</v>
      </c>
      <c r="R59" s="44" t="n">
        <f aca="false">IFERROR(1/Q59,"")</f>
        <v>2.15610700608967</v>
      </c>
      <c r="S59" s="43" t="n">
        <v>0.613193646167679</v>
      </c>
      <c r="T59" s="44" t="n">
        <f aca="false">IFERROR(1/S59,"")</f>
        <v>1.63080620004753</v>
      </c>
      <c r="U59" s="43" t="n">
        <v>0.694108800445782</v>
      </c>
      <c r="V59" s="44" t="n">
        <f aca="false">IFERROR(1/U59,"")</f>
        <v>1.44069632794997</v>
      </c>
      <c r="W59" s="43" t="n">
        <v>0.37005848794078</v>
      </c>
      <c r="X59" s="44" t="n">
        <f aca="false">IFERROR(1/W59,"")</f>
        <v>2.70227553910351</v>
      </c>
      <c r="Y59" s="43" t="n">
        <v>0.450973642218883</v>
      </c>
      <c r="Z59" s="44" t="n">
        <f aca="false">IFERROR(1/Y59,"")</f>
        <v>2.21742449310295</v>
      </c>
      <c r="AA59" s="43" t="n">
        <v>0.487494677857964</v>
      </c>
      <c r="AB59" s="44" t="n">
        <f aca="false">IFERROR(1/AA59,"")</f>
        <v>2.05130444581255</v>
      </c>
    </row>
    <row r="60" customFormat="false" ht="18.75" hidden="false" customHeight="true" outlineLevel="0" collapsed="false">
      <c r="A60" s="35" t="n">
        <v>34</v>
      </c>
      <c r="B60" s="33" t="n">
        <v>46330</v>
      </c>
      <c r="C60" s="34" t="s">
        <v>93</v>
      </c>
      <c r="D60" s="34" t="s">
        <v>90</v>
      </c>
      <c r="E60" s="36" t="n">
        <v>0.284703468309491</v>
      </c>
      <c r="F60" s="37" t="n">
        <f aca="false">IFERROR(1/E60,"")</f>
        <v>3.51242647635376</v>
      </c>
      <c r="G60" s="36" t="n">
        <v>0.538748023990493</v>
      </c>
      <c r="H60" s="37" t="n">
        <f aca="false">IFERROR(1/G60,"")</f>
        <v>1.85615529982463</v>
      </c>
      <c r="I60" s="36" t="n">
        <v>0.75333871018707</v>
      </c>
      <c r="J60" s="37" t="n">
        <f aca="false">IFERROR(1/I60,"")</f>
        <v>1.32742415393957</v>
      </c>
      <c r="K60" s="36" t="n">
        <v>0.459713382024787</v>
      </c>
      <c r="L60" s="37" t="n">
        <f aca="false">IFERROR(1/K60,"")</f>
        <v>2.17526841527985</v>
      </c>
      <c r="M60" s="36" t="n">
        <v>0.674304068221364</v>
      </c>
      <c r="N60" s="37" t="n">
        <f aca="false">IFERROR(1/M60,"")</f>
        <v>1.48301048017957</v>
      </c>
      <c r="O60" s="36" t="n">
        <v>0.809484746602207</v>
      </c>
      <c r="P60" s="37" t="n">
        <f aca="false">IFERROR(1/O60,"")</f>
        <v>1.23535372864958</v>
      </c>
      <c r="Q60" s="36" t="n">
        <v>0.468635241877579</v>
      </c>
      <c r="R60" s="37" t="n">
        <f aca="false">IFERROR(1/Q60,"")</f>
        <v>2.13385573819314</v>
      </c>
      <c r="S60" s="36" t="n">
        <v>0.603815920258421</v>
      </c>
      <c r="T60" s="37" t="n">
        <f aca="false">IFERROR(1/S60,"")</f>
        <v>1.65613387532415</v>
      </c>
      <c r="U60" s="36" t="n">
        <v>0.671941209874262</v>
      </c>
      <c r="V60" s="37" t="n">
        <f aca="false">IFERROR(1/U60,"")</f>
        <v>1.48822543595313</v>
      </c>
      <c r="W60" s="36" t="n">
        <v>0.34977136457742</v>
      </c>
      <c r="X60" s="37" t="n">
        <f aca="false">IFERROR(1/W60,"")</f>
        <v>2.85901048877503</v>
      </c>
      <c r="Y60" s="36" t="n">
        <v>0.417896654193261</v>
      </c>
      <c r="Z60" s="37" t="n">
        <f aca="false">IFERROR(1/Y60,"")</f>
        <v>2.39293612419672</v>
      </c>
      <c r="AA60" s="36" t="n">
        <v>0.44650685167631</v>
      </c>
      <c r="AB60" s="37" t="n">
        <f aca="false">IFERROR(1/AA60,"")</f>
        <v>2.23960728988978</v>
      </c>
    </row>
    <row r="61" customFormat="false" ht="18.75" hidden="false" customHeight="true" outlineLevel="0" collapsed="false">
      <c r="A61" s="42" t="n">
        <v>34</v>
      </c>
      <c r="B61" s="40" t="n">
        <v>46330</v>
      </c>
      <c r="C61" s="41" t="s">
        <v>91</v>
      </c>
      <c r="D61" s="41" t="s">
        <v>88</v>
      </c>
      <c r="E61" s="43" t="n">
        <v>0.267225931595133</v>
      </c>
      <c r="F61" s="44" t="n">
        <f aca="false">IFERROR(1/E61,"")</f>
        <v>3.742151796537</v>
      </c>
      <c r="G61" s="43" t="n">
        <v>0.516371820221025</v>
      </c>
      <c r="H61" s="44" t="n">
        <f aca="false">IFERROR(1/G61,"")</f>
        <v>1.93658902527246</v>
      </c>
      <c r="I61" s="43" t="n">
        <v>0.734215656858833</v>
      </c>
      <c r="J61" s="44" t="n">
        <f aca="false">IFERROR(1/I61,"")</f>
        <v>1.36199765104202</v>
      </c>
      <c r="K61" s="43" t="n">
        <v>0.444126734600315</v>
      </c>
      <c r="L61" s="44" t="n">
        <f aca="false">IFERROR(1/K61,"")</f>
        <v>2.25160955667291</v>
      </c>
      <c r="M61" s="43" t="n">
        <v>0.661970571238123</v>
      </c>
      <c r="N61" s="44" t="n">
        <f aca="false">IFERROR(1/M61,"")</f>
        <v>1.51064117265763</v>
      </c>
      <c r="O61" s="43" t="n">
        <v>0.804015977316446</v>
      </c>
      <c r="P61" s="44" t="n">
        <f aca="false">IFERROR(1/O61,"")</f>
        <v>1.24375637824722</v>
      </c>
      <c r="Q61" s="43" t="n">
        <v>0.4669897252637</v>
      </c>
      <c r="R61" s="44" t="n">
        <f aca="false">IFERROR(1/Q61,"")</f>
        <v>2.14137473674677</v>
      </c>
      <c r="S61" s="43" t="n">
        <v>0.609035131342023</v>
      </c>
      <c r="T61" s="44" t="n">
        <f aca="false">IFERROR(1/S61,"")</f>
        <v>1.64194140623132</v>
      </c>
      <c r="U61" s="43" t="n">
        <v>0.683131870361552</v>
      </c>
      <c r="V61" s="44" t="n">
        <f aca="false">IFERROR(1/U61,"")</f>
        <v>1.46384621093837</v>
      </c>
      <c r="W61" s="43" t="n">
        <v>0.359889242716131</v>
      </c>
      <c r="X61" s="44" t="n">
        <f aca="false">IFERROR(1/W61,"")</f>
        <v>2.77863264945868</v>
      </c>
      <c r="Y61" s="43" t="n">
        <v>0.43398598173566</v>
      </c>
      <c r="Z61" s="44" t="n">
        <f aca="false">IFERROR(1/Y61,"")</f>
        <v>2.3042218921465</v>
      </c>
      <c r="AA61" s="43" t="n">
        <v>0.46619590956149</v>
      </c>
      <c r="AB61" s="44" t="n">
        <f aca="false">IFERROR(1/AA61,"")</f>
        <v>2.14502096541476</v>
      </c>
    </row>
    <row r="62" customFormat="false" ht="18.75" hidden="false" customHeight="true" outlineLevel="0" collapsed="false">
      <c r="A62" s="35" t="n">
        <v>34</v>
      </c>
      <c r="B62" s="33" t="n">
        <v>46330</v>
      </c>
      <c r="C62" s="34" t="s">
        <v>83</v>
      </c>
      <c r="D62" s="34" t="s">
        <v>95</v>
      </c>
      <c r="E62" s="36" t="n">
        <v>0.230266410422377</v>
      </c>
      <c r="F62" s="37" t="n">
        <f aca="false">IFERROR(1/E62,"")</f>
        <v>4.34279579972477</v>
      </c>
      <c r="G62" s="36" t="n">
        <v>0.466418798509464</v>
      </c>
      <c r="H62" s="37" t="n">
        <f aca="false">IFERROR(1/G62,"")</f>
        <v>2.14399591782257</v>
      </c>
      <c r="I62" s="36" t="n">
        <v>0.689098792758931</v>
      </c>
      <c r="J62" s="37" t="n">
        <f aca="false">IFERROR(1/I62,"")</f>
        <v>1.45117073271355</v>
      </c>
      <c r="K62" s="36" t="n">
        <v>0.407730694700089</v>
      </c>
      <c r="L62" s="37" t="n">
        <f aca="false">IFERROR(1/K62,"")</f>
        <v>2.45259925975296</v>
      </c>
      <c r="M62" s="36" t="n">
        <v>0.630410688949556</v>
      </c>
      <c r="N62" s="37" t="n">
        <f aca="false">IFERROR(1/M62,"")</f>
        <v>1.58626751977554</v>
      </c>
      <c r="O62" s="36" t="n">
        <v>0.78699690589814</v>
      </c>
      <c r="P62" s="37" t="n">
        <f aca="false">IFERROR(1/O62,"")</f>
        <v>1.27065302608627</v>
      </c>
      <c r="Q62" s="36" t="n">
        <v>0.458832382336553</v>
      </c>
      <c r="R62" s="37" t="n">
        <f aca="false">IFERROR(1/Q62,"")</f>
        <v>2.17944512745071</v>
      </c>
      <c r="S62" s="36" t="n">
        <v>0.615418599285138</v>
      </c>
      <c r="T62" s="37" t="n">
        <f aca="false">IFERROR(1/S62,"")</f>
        <v>1.62491026621813</v>
      </c>
      <c r="U62" s="36" t="n">
        <v>0.703506416678561</v>
      </c>
      <c r="V62" s="37" t="n">
        <f aca="false">IFERROR(1/U62,"")</f>
        <v>1.42145114286415</v>
      </c>
      <c r="W62" s="36" t="n">
        <v>0.379266211198052</v>
      </c>
      <c r="X62" s="37" t="n">
        <f aca="false">IFERROR(1/W62,"")</f>
        <v>2.63667041902081</v>
      </c>
      <c r="Y62" s="36" t="n">
        <v>0.467354028591474</v>
      </c>
      <c r="Z62" s="37" t="n">
        <f aca="false">IFERROR(1/Y62,"")</f>
        <v>2.13970553118763</v>
      </c>
      <c r="AA62" s="36" t="n">
        <v>0.508648976322436</v>
      </c>
      <c r="AB62" s="37" t="n">
        <f aca="false">IFERROR(1/AA62,"")</f>
        <v>1.96599235730319</v>
      </c>
    </row>
    <row r="63" customFormat="false" ht="18.75" hidden="false" customHeight="true" outlineLevel="0" collapsed="false">
      <c r="A63" s="42" t="n">
        <v>34</v>
      </c>
      <c r="B63" s="40" t="n">
        <v>46330</v>
      </c>
      <c r="C63" s="41" t="s">
        <v>96</v>
      </c>
      <c r="D63" s="41" t="s">
        <v>103</v>
      </c>
      <c r="E63" s="43" t="n">
        <v>0.293536816497602</v>
      </c>
      <c r="F63" s="44" t="n">
        <f aca="false">IFERROR(1/E63,"")</f>
        <v>3.40672768728542</v>
      </c>
      <c r="G63" s="43" t="n">
        <v>0.54980390524643</v>
      </c>
      <c r="H63" s="44" t="n">
        <f aca="false">IFERROR(1/G63,"")</f>
        <v>1.81883029650687</v>
      </c>
      <c r="I63" s="43" t="n">
        <v>0.762545394077766</v>
      </c>
      <c r="J63" s="44" t="n">
        <f aca="false">IFERROR(1/I63,"")</f>
        <v>1.3113973381341</v>
      </c>
      <c r="K63" s="43" t="n">
        <v>0.467208178576919</v>
      </c>
      <c r="L63" s="44" t="n">
        <f aca="false">IFERROR(1/K63,"")</f>
        <v>2.14037349056244</v>
      </c>
      <c r="M63" s="43" t="n">
        <v>0.679949667408256</v>
      </c>
      <c r="N63" s="44" t="n">
        <f aca="false">IFERROR(1/M63,"")</f>
        <v>1.47069709411238</v>
      </c>
      <c r="O63" s="43" t="n">
        <v>0.81167391761352</v>
      </c>
      <c r="P63" s="44" t="n">
        <f aca="false">IFERROR(1/O63,"")</f>
        <v>1.23202184805962</v>
      </c>
      <c r="Q63" s="43" t="n">
        <v>0.469008577580164</v>
      </c>
      <c r="R63" s="44" t="n">
        <f aca="false">IFERROR(1/Q63,"")</f>
        <v>2.13215716684644</v>
      </c>
      <c r="S63" s="43" t="n">
        <v>0.600732827785429</v>
      </c>
      <c r="T63" s="44" t="n">
        <f aca="false">IFERROR(1/S63,"")</f>
        <v>1.66463351717676</v>
      </c>
      <c r="U63" s="43" t="n">
        <v>0.665981137130093</v>
      </c>
      <c r="V63" s="44" t="n">
        <f aca="false">IFERROR(1/U63,"")</f>
        <v>1.5015440291737</v>
      </c>
      <c r="W63" s="43" t="n">
        <v>0.344465739036602</v>
      </c>
      <c r="X63" s="44" t="n">
        <f aca="false">IFERROR(1/W63,"")</f>
        <v>2.90304633139072</v>
      </c>
      <c r="Y63" s="43" t="n">
        <v>0.409714048381265</v>
      </c>
      <c r="Z63" s="44" t="n">
        <f aca="false">IFERROR(1/Y63,"")</f>
        <v>2.44072665789931</v>
      </c>
      <c r="AA63" s="43" t="n">
        <v>0.436647470952171</v>
      </c>
      <c r="AB63" s="44" t="n">
        <f aca="false">IFERROR(1/AA63,"")</f>
        <v>2.29017701126119</v>
      </c>
    </row>
    <row r="64" customFormat="false" ht="18.75" hidden="false" customHeight="true" outlineLevel="0" collapsed="false">
      <c r="A64" s="35" t="n">
        <v>34</v>
      </c>
      <c r="B64" s="33" t="n">
        <v>46330</v>
      </c>
      <c r="C64" s="34" t="s">
        <v>8</v>
      </c>
      <c r="D64" s="34" t="s">
        <v>105</v>
      </c>
      <c r="E64" s="36" t="n">
        <v>0.204704194761496</v>
      </c>
      <c r="F64" s="37" t="n">
        <f aca="false">IFERROR(1/E64,"")</f>
        <v>4.88509774391832</v>
      </c>
      <c r="G64" s="36" t="n">
        <v>0.42990974058563</v>
      </c>
      <c r="H64" s="37" t="n">
        <f aca="false">IFERROR(1/G64,"")</f>
        <v>2.32606965042891</v>
      </c>
      <c r="I64" s="36" t="n">
        <v>0.653921881021177</v>
      </c>
      <c r="J64" s="37" t="n">
        <f aca="false">IFERROR(1/I64,"")</f>
        <v>1.52923465175746</v>
      </c>
      <c r="K64" s="36" t="n">
        <v>0.379670268956957</v>
      </c>
      <c r="L64" s="37" t="n">
        <f aca="false">IFERROR(1/K64,"")</f>
        <v>2.63386438645099</v>
      </c>
      <c r="M64" s="36" t="n">
        <v>0.603682409392504</v>
      </c>
      <c r="N64" s="37" t="n">
        <f aca="false">IFERROR(1/M64,"")</f>
        <v>1.65650014716565</v>
      </c>
      <c r="O64" s="36" t="n">
        <v>0.770021884955852</v>
      </c>
      <c r="P64" s="37" t="n">
        <f aca="false">IFERROR(1/O64,"")</f>
        <v>1.29866438803533</v>
      </c>
      <c r="Q64" s="36" t="n">
        <v>0.449217686259681</v>
      </c>
      <c r="R64" s="37" t="n">
        <f aca="false">IFERROR(1/Q64,"")</f>
        <v>2.22609222786016</v>
      </c>
      <c r="S64" s="36" t="n">
        <v>0.615557161823028</v>
      </c>
      <c r="T64" s="37" t="n">
        <f aca="false">IFERROR(1/S64,"")</f>
        <v>1.62454449727855</v>
      </c>
      <c r="U64" s="36" t="n">
        <v>0.71436902470472</v>
      </c>
      <c r="V64" s="37" t="n">
        <f aca="false">IFERROR(1/U64,"")</f>
        <v>1.39983673062161</v>
      </c>
      <c r="W64" s="36" t="n">
        <v>0.390351615998895</v>
      </c>
      <c r="X64" s="37" t="n">
        <f aca="false">IFERROR(1/W64,"")</f>
        <v>2.56179290417702</v>
      </c>
      <c r="Y64" s="36" t="n">
        <v>0.489163478880586</v>
      </c>
      <c r="Z64" s="37" t="n">
        <f aca="false">IFERROR(1/Y64,"")</f>
        <v>2.04430633760399</v>
      </c>
      <c r="AA64" s="36" t="n">
        <v>0.538078427327044</v>
      </c>
      <c r="AB64" s="37" t="n">
        <f aca="false">IFERROR(1/AA64,"")</f>
        <v>1.85846514042125</v>
      </c>
    </row>
    <row r="65" customFormat="false" ht="18.75" hidden="false" customHeight="true" outlineLevel="0" collapsed="false">
      <c r="A65" s="42" t="n">
        <v>34</v>
      </c>
      <c r="B65" s="40" t="n">
        <v>46330</v>
      </c>
      <c r="C65" s="41" t="s">
        <v>100</v>
      </c>
      <c r="D65" s="41" t="s">
        <v>99</v>
      </c>
      <c r="E65" s="43" t="n">
        <v>0.235472587770971</v>
      </c>
      <c r="F65" s="44" t="n">
        <f aca="false">IFERROR(1/E65,"")</f>
        <v>4.24677882664048</v>
      </c>
      <c r="G65" s="43" t="n">
        <v>0.473852099692879</v>
      </c>
      <c r="H65" s="44" t="n">
        <f aca="false">IFERROR(1/G65,"")</f>
        <v>2.11036312944089</v>
      </c>
      <c r="I65" s="43" t="n">
        <v>0.696030243755316</v>
      </c>
      <c r="J65" s="44" t="n">
        <f aca="false">IFERROR(1/I65,"")</f>
        <v>1.43671917847228</v>
      </c>
      <c r="K65" s="43" t="n">
        <v>0.413155539026374</v>
      </c>
      <c r="L65" s="44" t="n">
        <f aca="false">IFERROR(1/K65,"")</f>
        <v>2.42039596602423</v>
      </c>
      <c r="M65" s="43" t="n">
        <v>0.63533368308881</v>
      </c>
      <c r="N65" s="44" t="n">
        <f aca="false">IFERROR(1/M65,"")</f>
        <v>1.57397604852034</v>
      </c>
      <c r="O65" s="43" t="n">
        <v>0.789836655481569</v>
      </c>
      <c r="P65" s="44" t="n">
        <f aca="false">IFERROR(1/O65,"")</f>
        <v>1.26608456705557</v>
      </c>
      <c r="Q65" s="43" t="n">
        <v>0.460557655984345</v>
      </c>
      <c r="R65" s="44" t="n">
        <f aca="false">IFERROR(1/Q65,"")</f>
        <v>2.17128080926743</v>
      </c>
      <c r="S65" s="43" t="n">
        <v>0.615060628377104</v>
      </c>
      <c r="T65" s="44" t="n">
        <f aca="false">IFERROR(1/S65,"")</f>
        <v>1.6258559788465</v>
      </c>
      <c r="U65" s="43" t="n">
        <v>0.701013883874601</v>
      </c>
      <c r="V65" s="44" t="n">
        <f aca="false">IFERROR(1/U65,"")</f>
        <v>1.42650527044181</v>
      </c>
      <c r="W65" s="43" t="n">
        <v>0.376681116455196</v>
      </c>
      <c r="X65" s="44" t="n">
        <f aca="false">IFERROR(1/W65,"")</f>
        <v>2.65476541380843</v>
      </c>
      <c r="Y65" s="43" t="n">
        <v>0.462634371952692</v>
      </c>
      <c r="Z65" s="44" t="n">
        <f aca="false">IFERROR(1/Y65,"")</f>
        <v>2.16153416309988</v>
      </c>
      <c r="AA65" s="43" t="n">
        <v>0.502482376256439</v>
      </c>
      <c r="AB65" s="44" t="n">
        <f aca="false">IFERROR(1/AA65,"")</f>
        <v>1.99011954896833</v>
      </c>
    </row>
    <row r="66" customFormat="false" ht="18.75" hidden="false" customHeight="true" outlineLevel="0" collapsed="false">
      <c r="A66" s="35" t="n">
        <v>34</v>
      </c>
      <c r="B66" s="33" t="n">
        <v>46330</v>
      </c>
      <c r="C66" s="34" t="s">
        <v>102</v>
      </c>
      <c r="D66" s="34" t="s">
        <v>104</v>
      </c>
      <c r="E66" s="36" t="n">
        <v>0.179693936034717</v>
      </c>
      <c r="F66" s="37" t="n">
        <f aca="false">IFERROR(1/E66,"")</f>
        <v>5.56501806386389</v>
      </c>
      <c r="G66" s="36" t="n">
        <v>0.392044930506783</v>
      </c>
      <c r="H66" s="37" t="n">
        <f aca="false">IFERROR(1/G66,"")</f>
        <v>2.55072804718412</v>
      </c>
      <c r="I66" s="36" t="n">
        <v>0.615364944096109</v>
      </c>
      <c r="J66" s="37" t="n">
        <f aca="false">IFERROR(1/I66,"")</f>
        <v>1.62505194615672</v>
      </c>
      <c r="K66" s="36" t="n">
        <v>0.349708934424404</v>
      </c>
      <c r="L66" s="37" t="n">
        <f aca="false">IFERROR(1/K66,"")</f>
        <v>2.85952088025983</v>
      </c>
      <c r="M66" s="36" t="n">
        <v>0.57302894801373</v>
      </c>
      <c r="N66" s="37" t="n">
        <f aca="false">IFERROR(1/M66,"")</f>
        <v>1.74511253483138</v>
      </c>
      <c r="O66" s="36" t="n">
        <v>0.748477407462069</v>
      </c>
      <c r="P66" s="37" t="n">
        <f aca="false">IFERROR(1/O66,"")</f>
        <v>1.33604567089178</v>
      </c>
      <c r="Q66" s="36" t="n">
        <v>0.435671008061392</v>
      </c>
      <c r="R66" s="37" t="n">
        <f aca="false">IFERROR(1/Q66,"")</f>
        <v>2.29530995062009</v>
      </c>
      <c r="S66" s="36" t="n">
        <v>0.611119467509732</v>
      </c>
      <c r="T66" s="37" t="n">
        <f aca="false">IFERROR(1/S66,"")</f>
        <v>1.63634126085842</v>
      </c>
      <c r="U66" s="36" t="n">
        <v>0.721390504764467</v>
      </c>
      <c r="V66" s="37" t="n">
        <f aca="false">IFERROR(1/U66,"")</f>
        <v>1.38621175825775</v>
      </c>
      <c r="W66" s="36" t="n">
        <v>0.398768473037665</v>
      </c>
      <c r="X66" s="37" t="n">
        <f aca="false">IFERROR(1/W66,"")</f>
        <v>2.50772081449264</v>
      </c>
      <c r="Y66" s="36" t="n">
        <v>0.5090395102924</v>
      </c>
      <c r="Z66" s="37" t="n">
        <f aca="false">IFERROR(1/Y66,"")</f>
        <v>1.96448405237854</v>
      </c>
      <c r="AA66" s="36" t="n">
        <v>0.56679484622538</v>
      </c>
      <c r="AB66" s="37" t="n">
        <f aca="false">IFERROR(1/AA66,"")</f>
        <v>1.76430679752928</v>
      </c>
    </row>
    <row r="67" customFormat="false" ht="18.75" hidden="false" customHeight="true" outlineLevel="0" collapsed="false">
      <c r="A67" s="42" t="n">
        <v>34</v>
      </c>
      <c r="B67" s="40" t="n">
        <v>46330</v>
      </c>
      <c r="C67" s="41" t="s">
        <v>87</v>
      </c>
      <c r="D67" s="41" t="s">
        <v>101</v>
      </c>
      <c r="E67" s="43" t="n">
        <v>0.367774834565259</v>
      </c>
      <c r="F67" s="44" t="n">
        <f aca="false">IFERROR(1/E67,"")</f>
        <v>2.7190549923898</v>
      </c>
      <c r="G67" s="43" t="n">
        <v>0.635425921967804</v>
      </c>
      <c r="H67" s="44" t="n">
        <f aca="false">IFERROR(1/G67,"")</f>
        <v>1.57374756903712</v>
      </c>
      <c r="I67" s="43" t="n">
        <v>0.828574420119051</v>
      </c>
      <c r="J67" s="44" t="n">
        <f aca="false">IFERROR(1/I67,"")</f>
        <v>1.20689219425374</v>
      </c>
      <c r="K67" s="43" t="n">
        <v>0.520776366159052</v>
      </c>
      <c r="L67" s="44" t="n">
        <f aca="false">IFERROR(1/K67,"")</f>
        <v>1.92021002676336</v>
      </c>
      <c r="M67" s="43" t="n">
        <v>0.713924864310299</v>
      </c>
      <c r="N67" s="44" t="n">
        <f aca="false">IFERROR(1/M67,"")</f>
        <v>1.40070762343607</v>
      </c>
      <c r="O67" s="43" t="n">
        <v>0.817871916372911</v>
      </c>
      <c r="P67" s="44" t="n">
        <f aca="false">IFERROR(1/O67,"")</f>
        <v>1.22268533737506</v>
      </c>
      <c r="Q67" s="43" t="n">
        <v>0.460799585553792</v>
      </c>
      <c r="R67" s="44" t="n">
        <f aca="false">IFERROR(1/Q67,"")</f>
        <v>2.17014084072622</v>
      </c>
      <c r="S67" s="43" t="n">
        <v>0.564746637616404</v>
      </c>
      <c r="T67" s="44" t="n">
        <f aca="false">IFERROR(1/S67,"")</f>
        <v>1.77070554013504</v>
      </c>
      <c r="U67" s="43" t="n">
        <v>0.609499725467167</v>
      </c>
      <c r="V67" s="44" t="n">
        <f aca="false">IFERROR(1/U67,"")</f>
        <v>1.64068982842203</v>
      </c>
      <c r="W67" s="43" t="n">
        <v>0.297095550213858</v>
      </c>
      <c r="X67" s="44" t="n">
        <f aca="false">IFERROR(1/W67,"")</f>
        <v>3.36592049015938</v>
      </c>
      <c r="Y67" s="43" t="n">
        <v>0.341848638064622</v>
      </c>
      <c r="Z67" s="44" t="n">
        <f aca="false">IFERROR(1/Y67,"")</f>
        <v>2.92527127111433</v>
      </c>
      <c r="AA67" s="43" t="n">
        <v>0.357905201097083</v>
      </c>
      <c r="AB67" s="44" t="n">
        <f aca="false">IFERROR(1/AA67,"")</f>
        <v>2.79403595403115</v>
      </c>
    </row>
    <row r="68" customFormat="false" ht="18.75" hidden="false" customHeight="true" outlineLevel="0" collapsed="false">
      <c r="A68" s="35" t="n">
        <v>34</v>
      </c>
      <c r="B68" s="33" t="n">
        <v>46330</v>
      </c>
      <c r="C68" s="34" t="s">
        <v>106</v>
      </c>
      <c r="D68" s="34" t="s">
        <v>98</v>
      </c>
      <c r="E68" s="36" t="n">
        <v>0.332380722749707</v>
      </c>
      <c r="F68" s="37" t="n">
        <f aca="false">IFERROR(1/E68,"")</f>
        <v>3.00859806708174</v>
      </c>
      <c r="G68" s="36" t="n">
        <v>0.596006664416002</v>
      </c>
      <c r="H68" s="37" t="n">
        <f aca="false">IFERROR(1/G68,"")</f>
        <v>1.67783358761576</v>
      </c>
      <c r="I68" s="36" t="n">
        <v>0.799322423542505</v>
      </c>
      <c r="J68" s="37" t="n">
        <f aca="false">IFERROR(1/I68,"")</f>
        <v>1.25105961067389</v>
      </c>
      <c r="K68" s="36" t="n">
        <v>0.497314511205919</v>
      </c>
      <c r="L68" s="37" t="n">
        <f aca="false">IFERROR(1/K68,"")</f>
        <v>2.01079996152764</v>
      </c>
      <c r="M68" s="36" t="n">
        <v>0.700630270332421</v>
      </c>
      <c r="N68" s="37" t="n">
        <f aca="false">IFERROR(1/M68,"")</f>
        <v>1.42728631968119</v>
      </c>
      <c r="O68" s="36" t="n">
        <v>0.817543006461994</v>
      </c>
      <c r="P68" s="37" t="n">
        <f aca="false">IFERROR(1/O68,"")</f>
        <v>1.22317724217055</v>
      </c>
      <c r="Q68" s="36" t="n">
        <v>0.466941700792798</v>
      </c>
      <c r="R68" s="37" t="n">
        <f aca="false">IFERROR(1/Q68,"")</f>
        <v>2.14159497492331</v>
      </c>
      <c r="S68" s="36" t="n">
        <v>0.58385443692237</v>
      </c>
      <c r="T68" s="37" t="n">
        <f aca="false">IFERROR(1/S68,"")</f>
        <v>1.71275567463567</v>
      </c>
      <c r="U68" s="36" t="n">
        <v>0.637637136022633</v>
      </c>
      <c r="V68" s="37" t="n">
        <f aca="false">IFERROR(1/U68,"")</f>
        <v>1.56829008774123</v>
      </c>
      <c r="W68" s="36" t="n">
        <v>0.320228495256075</v>
      </c>
      <c r="X68" s="37" t="n">
        <f aca="false">IFERROR(1/W68,"")</f>
        <v>3.12277019320325</v>
      </c>
      <c r="Y68" s="36" t="n">
        <v>0.374011194356338</v>
      </c>
      <c r="Z68" s="37" t="n">
        <f aca="false">IFERROR(1/Y68,"")</f>
        <v>2.67371676326686</v>
      </c>
      <c r="AA68" s="36" t="n">
        <v>0.394628984586536</v>
      </c>
      <c r="AB68" s="37" t="n">
        <f aca="false">IFERROR(1/AA68,"")</f>
        <v>2.53402572810948</v>
      </c>
    </row>
    <row r="69" customFormat="false" ht="18.75" hidden="false" customHeight="true" outlineLevel="0" collapsed="false">
      <c r="A69" s="42" t="n">
        <v>35</v>
      </c>
      <c r="B69" s="40" t="n">
        <v>46344</v>
      </c>
      <c r="C69" s="41" t="s">
        <v>101</v>
      </c>
      <c r="D69" s="41" t="s">
        <v>93</v>
      </c>
      <c r="E69" s="43" t="n">
        <v>0.324941322680932</v>
      </c>
      <c r="F69" s="44" t="n">
        <f aca="false">IFERROR(1/E69,"")</f>
        <v>3.07747870215302</v>
      </c>
      <c r="G69" s="43" t="n">
        <v>0.587409036235681</v>
      </c>
      <c r="H69" s="44" t="n">
        <f aca="false">IFERROR(1/G69,"")</f>
        <v>1.70239124411218</v>
      </c>
      <c r="I69" s="43" t="n">
        <v>0.792684047593728</v>
      </c>
      <c r="J69" s="44" t="n">
        <f aca="false">IFERROR(1/I69,"")</f>
        <v>1.26153667786756</v>
      </c>
      <c r="K69" s="43" t="n">
        <v>0.49190596171843</v>
      </c>
      <c r="L69" s="44" t="n">
        <f aca="false">IFERROR(1/K69,"")</f>
        <v>2.03290888467094</v>
      </c>
      <c r="M69" s="43" t="n">
        <v>0.697180973076476</v>
      </c>
      <c r="N69" s="44" t="n">
        <f aca="false">IFERROR(1/M69,"")</f>
        <v>1.43434780726626</v>
      </c>
      <c r="O69" s="43" t="n">
        <v>0.816887829063282</v>
      </c>
      <c r="P69" s="44" t="n">
        <f aca="false">IFERROR(1/O69,"")</f>
        <v>1.22415828027049</v>
      </c>
      <c r="Q69" s="43" t="n">
        <v>0.467742724912796</v>
      </c>
      <c r="R69" s="44" t="n">
        <f aca="false">IFERROR(1/Q69,"")</f>
        <v>2.13792742620729</v>
      </c>
      <c r="S69" s="43" t="n">
        <v>0.587449580899602</v>
      </c>
      <c r="T69" s="44" t="n">
        <f aca="false">IFERROR(1/S69,"")</f>
        <v>1.70227374827408</v>
      </c>
      <c r="U69" s="43" t="n">
        <v>0.643295565368706</v>
      </c>
      <c r="V69" s="44" t="n">
        <f aca="false">IFERROR(1/U69,"")</f>
        <v>1.55449540434318</v>
      </c>
      <c r="W69" s="43" t="n">
        <v>0.324981867344852</v>
      </c>
      <c r="X69" s="44" t="n">
        <f aca="false">IFERROR(1/W69,"")</f>
        <v>3.07709475660947</v>
      </c>
      <c r="Y69" s="43" t="n">
        <v>0.380827851813957</v>
      </c>
      <c r="Z69" s="44" t="n">
        <f aca="false">IFERROR(1/Y69,"")</f>
        <v>2.62585836418426</v>
      </c>
      <c r="AA69" s="43" t="n">
        <v>0.40253904200724</v>
      </c>
      <c r="AB69" s="44" t="n">
        <f aca="false">IFERROR(1/AA69,"")</f>
        <v>2.48423108231577</v>
      </c>
    </row>
    <row r="70" customFormat="false" ht="18.75" hidden="false" customHeight="true" outlineLevel="0" collapsed="false">
      <c r="A70" s="35" t="n">
        <v>35</v>
      </c>
      <c r="B70" s="33" t="n">
        <v>46344</v>
      </c>
      <c r="C70" s="34" t="s">
        <v>99</v>
      </c>
      <c r="D70" s="34" t="s">
        <v>88</v>
      </c>
      <c r="E70" s="36" t="n">
        <v>0.233702499869568</v>
      </c>
      <c r="F70" s="37" t="n">
        <f aca="false">IFERROR(1/E70,"")</f>
        <v>4.2789443868085</v>
      </c>
      <c r="G70" s="36" t="n">
        <v>0.471163850344657</v>
      </c>
      <c r="H70" s="37" t="n">
        <f aca="false">IFERROR(1/G70,"")</f>
        <v>2.12240391377331</v>
      </c>
      <c r="I70" s="36" t="n">
        <v>0.693531692043117</v>
      </c>
      <c r="J70" s="37" t="n">
        <f aca="false">IFERROR(1/I70,"")</f>
        <v>1.44189517432728</v>
      </c>
      <c r="K70" s="36" t="n">
        <v>0.4113176433781</v>
      </c>
      <c r="L70" s="37" t="n">
        <f aca="false">IFERROR(1/K70,"")</f>
        <v>2.4312110508733</v>
      </c>
      <c r="M70" s="36" t="n">
        <v>0.63368548507656</v>
      </c>
      <c r="N70" s="37" t="n">
        <f aca="false">IFERROR(1/M70,"")</f>
        <v>1.5780699156762</v>
      </c>
      <c r="O70" s="36" t="n">
        <v>0.788944613855901</v>
      </c>
      <c r="P70" s="37" t="n">
        <f aca="false">IFERROR(1/O70,"")</f>
        <v>1.26751609991047</v>
      </c>
      <c r="Q70" s="36" t="n">
        <v>0.459829192173549</v>
      </c>
      <c r="R70" s="37" t="n">
        <f aca="false">IFERROR(1/Q70,"")</f>
        <v>2.17472056367961</v>
      </c>
      <c r="S70" s="36" t="n">
        <v>0.61508832095289</v>
      </c>
      <c r="T70" s="37" t="n">
        <f aca="false">IFERROR(1/S70,"")</f>
        <v>1.62578277937518</v>
      </c>
      <c r="U70" s="36" t="n">
        <v>0.701810922153501</v>
      </c>
      <c r="V70" s="37" t="n">
        <f aca="false">IFERROR(1/U70,"")</f>
        <v>1.42488520545036</v>
      </c>
      <c r="W70" s="36" t="n">
        <v>0.3776269704778</v>
      </c>
      <c r="X70" s="37" t="n">
        <f aca="false">IFERROR(1/W70,"")</f>
        <v>2.64811594027495</v>
      </c>
      <c r="Y70" s="36" t="n">
        <v>0.464349571678411</v>
      </c>
      <c r="Z70" s="37" t="n">
        <f aca="false">IFERROR(1/Y70,"")</f>
        <v>2.1535499567394</v>
      </c>
      <c r="AA70" s="36" t="n">
        <v>0.504716546222459</v>
      </c>
      <c r="AB70" s="37" t="n">
        <f aca="false">IFERROR(1/AA70,"")</f>
        <v>1.98131011849023</v>
      </c>
    </row>
    <row r="71" customFormat="false" ht="18.75" hidden="false" customHeight="true" outlineLevel="0" collapsed="false">
      <c r="A71" s="42" t="n">
        <v>35</v>
      </c>
      <c r="B71" s="40" t="n">
        <v>46344</v>
      </c>
      <c r="C71" s="41" t="s">
        <v>96</v>
      </c>
      <c r="D71" s="41" t="s">
        <v>102</v>
      </c>
      <c r="E71" s="43" t="n">
        <v>0.358743754562847</v>
      </c>
      <c r="F71" s="44" t="n">
        <f aca="false">IFERROR(1/E71,"")</f>
        <v>2.7875049733439</v>
      </c>
      <c r="G71" s="43" t="n">
        <v>0.625568524849888</v>
      </c>
      <c r="H71" s="44" t="n">
        <f aca="false">IFERROR(1/G71,"")</f>
        <v>1.59854589909229</v>
      </c>
      <c r="I71" s="43" t="n">
        <v>0.821440879668821</v>
      </c>
      <c r="J71" s="44" t="n">
        <f aca="false">IFERROR(1/I71,"")</f>
        <v>1.21737306329723</v>
      </c>
      <c r="K71" s="43" t="n">
        <v>0.515152093092397</v>
      </c>
      <c r="L71" s="44" t="n">
        <f aca="false">IFERROR(1/K71,"")</f>
        <v>1.94117429281344</v>
      </c>
      <c r="M71" s="43" t="n">
        <v>0.71102444791133</v>
      </c>
      <c r="N71" s="44" t="n">
        <f aca="false">IFERROR(1/M71,"")</f>
        <v>1.40642140075148</v>
      </c>
      <c r="O71" s="43" t="n">
        <v>0.81823316171905</v>
      </c>
      <c r="P71" s="44" t="n">
        <f aca="false">IFERROR(1/O71,"")</f>
        <v>1.22214552866456</v>
      </c>
      <c r="Q71" s="43" t="n">
        <v>0.462697125105973</v>
      </c>
      <c r="R71" s="44" t="n">
        <f aca="false">IFERROR(1/Q71,"")</f>
        <v>2.16124100570317</v>
      </c>
      <c r="S71" s="43" t="n">
        <v>0.569905838913693</v>
      </c>
      <c r="T71" s="44" t="n">
        <f aca="false">IFERROR(1/S71,"")</f>
        <v>1.75467582838968</v>
      </c>
      <c r="U71" s="43" t="n">
        <v>0.616849506188967</v>
      </c>
      <c r="V71" s="44" t="n">
        <f aca="false">IFERROR(1/U71,"")</f>
        <v>1.62114095896456</v>
      </c>
      <c r="W71" s="43" t="n">
        <v>0.303081068626653</v>
      </c>
      <c r="X71" s="44" t="n">
        <f aca="false">IFERROR(1/W71,"")</f>
        <v>3.29944725525513</v>
      </c>
      <c r="Y71" s="43" t="n">
        <v>0.350024735901927</v>
      </c>
      <c r="Z71" s="44" t="n">
        <f aca="false">IFERROR(1/Y71,"")</f>
        <v>2.85694094568273</v>
      </c>
      <c r="AA71" s="43" t="n">
        <v>0.367154157405886</v>
      </c>
      <c r="AB71" s="44" t="n">
        <f aca="false">IFERROR(1/AA71,"")</f>
        <v>2.7236515774885</v>
      </c>
    </row>
    <row r="72" customFormat="false" ht="18.75" hidden="false" customHeight="true" outlineLevel="0" collapsed="false">
      <c r="A72" s="35" t="n">
        <v>35</v>
      </c>
      <c r="B72" s="33" t="n">
        <v>46344</v>
      </c>
      <c r="C72" s="34" t="s">
        <v>8</v>
      </c>
      <c r="D72" s="34" t="s">
        <v>92</v>
      </c>
      <c r="E72" s="36" t="n">
        <v>0.243090662375253</v>
      </c>
      <c r="F72" s="37" t="n">
        <f aca="false">IFERROR(1/E72,"")</f>
        <v>4.11369153479177</v>
      </c>
      <c r="G72" s="36" t="n">
        <v>0.484430011516507</v>
      </c>
      <c r="H72" s="37" t="n">
        <f aca="false">IFERROR(1/G72,"")</f>
        <v>2.06428168409613</v>
      </c>
      <c r="I72" s="36" t="n">
        <v>0.705760930626939</v>
      </c>
      <c r="J72" s="37" t="n">
        <f aca="false">IFERROR(1/I72,"")</f>
        <v>1.41691039643082</v>
      </c>
      <c r="K72" s="36" t="n">
        <v>0.420907225085362</v>
      </c>
      <c r="L72" s="37" t="n">
        <f aca="false">IFERROR(1/K72,"")</f>
        <v>2.37582046684324</v>
      </c>
      <c r="M72" s="36" t="n">
        <v>0.642238144195795</v>
      </c>
      <c r="N72" s="37" t="n">
        <f aca="false">IFERROR(1/M72,"")</f>
        <v>1.55705482310178</v>
      </c>
      <c r="O72" s="36" t="n">
        <v>0.793724304856651</v>
      </c>
      <c r="P72" s="37" t="n">
        <f aca="false">IFERROR(1/O72,"")</f>
        <v>1.25988330441841</v>
      </c>
      <c r="Q72" s="36" t="n">
        <v>0.462670268251686</v>
      </c>
      <c r="R72" s="37" t="n">
        <f aca="false">IFERROR(1/Q72,"")</f>
        <v>2.16136646034928</v>
      </c>
      <c r="S72" s="36" t="n">
        <v>0.614156428912542</v>
      </c>
      <c r="T72" s="37" t="n">
        <f aca="false">IFERROR(1/S72,"")</f>
        <v>1.62824966559522</v>
      </c>
      <c r="U72" s="36" t="n">
        <v>0.697102117527576</v>
      </c>
      <c r="V72" s="37" t="n">
        <f aca="false">IFERROR(1/U72,"")</f>
        <v>1.43451005936794</v>
      </c>
      <c r="W72" s="36" t="n">
        <v>0.372817079771288</v>
      </c>
      <c r="X72" s="37" t="n">
        <f aca="false">IFERROR(1/W72,"")</f>
        <v>2.68228054523004</v>
      </c>
      <c r="Y72" s="36" t="n">
        <v>0.455762768386322</v>
      </c>
      <c r="Z72" s="37" t="n">
        <f aca="false">IFERROR(1/Y72,"")</f>
        <v>2.1941239376367</v>
      </c>
      <c r="AA72" s="36" t="n">
        <v>0.49360993997947</v>
      </c>
      <c r="AB72" s="37" t="n">
        <f aca="false">IFERROR(1/AA72,"")</f>
        <v>2.02589113185523</v>
      </c>
    </row>
    <row r="73" customFormat="false" ht="18.75" hidden="false" customHeight="true" outlineLevel="0" collapsed="false">
      <c r="A73" s="42" t="n">
        <v>35</v>
      </c>
      <c r="B73" s="40" t="n">
        <v>46344</v>
      </c>
      <c r="C73" s="41" t="s">
        <v>105</v>
      </c>
      <c r="D73" s="41" t="s">
        <v>103</v>
      </c>
      <c r="E73" s="43" t="n">
        <v>0.252824112855636</v>
      </c>
      <c r="F73" s="44" t="n">
        <f aca="false">IFERROR(1/E73,"")</f>
        <v>3.95531893182596</v>
      </c>
      <c r="G73" s="43" t="n">
        <v>0.497323936403663</v>
      </c>
      <c r="H73" s="44" t="n">
        <f aca="false">IFERROR(1/G73,"")</f>
        <v>2.01076185319246</v>
      </c>
      <c r="I73" s="43" t="n">
        <v>0.717412571099666</v>
      </c>
      <c r="J73" s="44" t="n">
        <f aca="false">IFERROR(1/I73,"")</f>
        <v>1.39389807243993</v>
      </c>
      <c r="K73" s="43" t="n">
        <v>0.430513623283449</v>
      </c>
      <c r="L73" s="44" t="n">
        <f aca="false">IFERROR(1/K73,"")</f>
        <v>2.32280686583895</v>
      </c>
      <c r="M73" s="43" t="n">
        <v>0.650602257979452</v>
      </c>
      <c r="N73" s="44" t="n">
        <f aca="false">IFERROR(1/M73,"")</f>
        <v>1.53703739532915</v>
      </c>
      <c r="O73" s="43" t="n">
        <v>0.798332835461199</v>
      </c>
      <c r="P73" s="44" t="n">
        <f aca="false">IFERROR(1/O73,"")</f>
        <v>1.2526103845175</v>
      </c>
      <c r="Q73" s="43" t="n">
        <v>0.464588458244031</v>
      </c>
      <c r="R73" s="44" t="n">
        <f aca="false">IFERROR(1/Q73,"")</f>
        <v>2.15244262369243</v>
      </c>
      <c r="S73" s="43" t="n">
        <v>0.612319035725777</v>
      </c>
      <c r="T73" s="44" t="n">
        <f aca="false">IFERROR(1/S73,"")</f>
        <v>1.63313557419411</v>
      </c>
      <c r="U73" s="43" t="n">
        <v>0.691648251623673</v>
      </c>
      <c r="V73" s="44" t="n">
        <f aca="false">IFERROR(1/U73,"")</f>
        <v>1.44582162631433</v>
      </c>
      <c r="W73" s="43" t="n">
        <v>0.36781921217775</v>
      </c>
      <c r="X73" s="44" t="n">
        <f aca="false">IFERROR(1/W73,"")</f>
        <v>2.71872693674507</v>
      </c>
      <c r="Y73" s="43" t="n">
        <v>0.447148428075645</v>
      </c>
      <c r="Z73" s="44" t="n">
        <f aca="false">IFERROR(1/Y73,"")</f>
        <v>2.23639386210886</v>
      </c>
      <c r="AA73" s="43" t="n">
        <v>0.482647310581043</v>
      </c>
      <c r="AB73" s="44" t="n">
        <f aca="false">IFERROR(1/AA73,"")</f>
        <v>2.07190629280858</v>
      </c>
    </row>
    <row r="74" customFormat="false" ht="18.75" hidden="false" customHeight="true" outlineLevel="0" collapsed="false">
      <c r="A74" s="35" t="n">
        <v>35</v>
      </c>
      <c r="B74" s="33" t="n">
        <v>46344</v>
      </c>
      <c r="C74" s="34" t="s">
        <v>95</v>
      </c>
      <c r="D74" s="34" t="s">
        <v>90</v>
      </c>
      <c r="E74" s="36" t="n">
        <v>0.266828837379244</v>
      </c>
      <c r="F74" s="37" t="n">
        <f aca="false">IFERROR(1/E74,"")</f>
        <v>3.74772086039074</v>
      </c>
      <c r="G74" s="36" t="n">
        <v>0.515844792288792</v>
      </c>
      <c r="H74" s="37" t="n">
        <f aca="false">IFERROR(1/G74,"")</f>
        <v>1.9385675981394</v>
      </c>
      <c r="I74" s="36" t="n">
        <v>0.733757252171721</v>
      </c>
      <c r="J74" s="37" t="n">
        <f aca="false">IFERROR(1/I74,"")</f>
        <v>1.36284854022263</v>
      </c>
      <c r="K74" s="36" t="n">
        <v>0.443761385951123</v>
      </c>
      <c r="L74" s="37" t="n">
        <f aca="false">IFERROR(1/K74,"")</f>
        <v>2.25346330631422</v>
      </c>
      <c r="M74" s="36" t="n">
        <v>0.661673845834052</v>
      </c>
      <c r="N74" s="37" t="n">
        <f aca="false">IFERROR(1/M74,"")</f>
        <v>1.51131861459551</v>
      </c>
      <c r="O74" s="36" t="n">
        <v>0.803878603641571</v>
      </c>
      <c r="P74" s="37" t="n">
        <f aca="false">IFERROR(1/O74,"")</f>
        <v>1.24396892201136</v>
      </c>
      <c r="Q74" s="36" t="n">
        <v>0.466928414792477</v>
      </c>
      <c r="R74" s="37" t="n">
        <f aca="false">IFERROR(1/Q74,"")</f>
        <v>2.14165591195482</v>
      </c>
      <c r="S74" s="36" t="n">
        <v>0.609133172599996</v>
      </c>
      <c r="T74" s="37" t="n">
        <f aca="false">IFERROR(1/S74,"")</f>
        <v>1.6416771323283</v>
      </c>
      <c r="U74" s="36" t="n">
        <v>0.683372867398391</v>
      </c>
      <c r="V74" s="37" t="n">
        <f aca="false">IFERROR(1/U74,"")</f>
        <v>1.46332997358677</v>
      </c>
      <c r="W74" s="36" t="n">
        <v>0.360117217690448</v>
      </c>
      <c r="X74" s="37" t="n">
        <f aca="false">IFERROR(1/W74,"")</f>
        <v>2.7768736146895</v>
      </c>
      <c r="Y74" s="36" t="n">
        <v>0.434356912488843</v>
      </c>
      <c r="Z74" s="37" t="n">
        <f aca="false">IFERROR(1/Y74,"")</f>
        <v>2.30225413996534</v>
      </c>
      <c r="AA74" s="36" t="n">
        <v>0.466655013063057</v>
      </c>
      <c r="AB74" s="37" t="n">
        <f aca="false">IFERROR(1/AA74,"")</f>
        <v>2.14291065563861</v>
      </c>
    </row>
    <row r="75" customFormat="false" ht="18.75" hidden="false" customHeight="true" outlineLevel="0" collapsed="false">
      <c r="A75" s="42" t="n">
        <v>35</v>
      </c>
      <c r="B75" s="40" t="n">
        <v>46344</v>
      </c>
      <c r="C75" s="41" t="s">
        <v>104</v>
      </c>
      <c r="D75" s="41" t="s">
        <v>83</v>
      </c>
      <c r="E75" s="43" t="n">
        <v>0.206340308353245</v>
      </c>
      <c r="F75" s="44" t="n">
        <f aca="false">IFERROR(1/E75,"")</f>
        <v>4.84636282644324</v>
      </c>
      <c r="G75" s="43" t="n">
        <v>0.432070128745918</v>
      </c>
      <c r="H75" s="44" t="n">
        <f aca="false">IFERROR(1/G75,"")</f>
        <v>2.31443910020463</v>
      </c>
      <c r="I75" s="43" t="n">
        <v>0.656054639991946</v>
      </c>
      <c r="J75" s="44" t="n">
        <f aca="false">IFERROR(1/I75,"")</f>
        <v>1.52426328394275</v>
      </c>
      <c r="K75" s="43" t="n">
        <v>0.381516779184915</v>
      </c>
      <c r="L75" s="44" t="n">
        <f aca="false">IFERROR(1/K75,"")</f>
        <v>2.62111669671891</v>
      </c>
      <c r="M75" s="43" t="n">
        <v>0.605501290430943</v>
      </c>
      <c r="N75" s="44" t="n">
        <f aca="false">IFERROR(1/M75,"")</f>
        <v>1.65152414338917</v>
      </c>
      <c r="O75" s="43" t="n">
        <v>0.77128515142024</v>
      </c>
      <c r="P75" s="44" t="n">
        <f aca="false">IFERROR(1/O75,"")</f>
        <v>1.2965373418101</v>
      </c>
      <c r="Q75" s="43" t="n">
        <v>0.449714331638701</v>
      </c>
      <c r="R75" s="44" t="n">
        <f aca="false">IFERROR(1/Q75,"")</f>
        <v>2.22363382629174</v>
      </c>
      <c r="S75" s="43" t="n">
        <v>0.615498192627999</v>
      </c>
      <c r="T75" s="44" t="n">
        <f aca="false">IFERROR(1/S75,"")</f>
        <v>1.62470014043468</v>
      </c>
      <c r="U75" s="43" t="n">
        <v>0.713663153809014</v>
      </c>
      <c r="V75" s="44" t="n">
        <f aca="false">IFERROR(1/U75,"")</f>
        <v>1.40122128298586</v>
      </c>
      <c r="W75" s="43" t="n">
        <v>0.389768372235325</v>
      </c>
      <c r="X75" s="44" t="n">
        <f aca="false">IFERROR(1/W75,"")</f>
        <v>2.56562633408399</v>
      </c>
      <c r="Y75" s="43" t="n">
        <v>0.48793333341634</v>
      </c>
      <c r="Z75" s="44" t="n">
        <f aca="false">IFERROR(1/Y75,"")</f>
        <v>2.0494603084367</v>
      </c>
      <c r="AA75" s="43" t="n">
        <v>0.536371701432413</v>
      </c>
      <c r="AB75" s="44" t="n">
        <f aca="false">IFERROR(1/AA75,"")</f>
        <v>1.86437874580154</v>
      </c>
    </row>
    <row r="76" customFormat="false" ht="18.75" hidden="false" customHeight="true" outlineLevel="0" collapsed="false">
      <c r="A76" s="35" t="n">
        <v>35</v>
      </c>
      <c r="B76" s="33" t="n">
        <v>46344</v>
      </c>
      <c r="C76" s="34" t="s">
        <v>87</v>
      </c>
      <c r="D76" s="34" t="s">
        <v>98</v>
      </c>
      <c r="E76" s="36" t="n">
        <v>0.348524626632591</v>
      </c>
      <c r="F76" s="37" t="n">
        <f aca="false">IFERROR(1/E76,"")</f>
        <v>2.86923770541524</v>
      </c>
      <c r="G76" s="36" t="n">
        <v>0.61430919413595</v>
      </c>
      <c r="H76" s="37" t="n">
        <f aca="false">IFERROR(1/G76,"")</f>
        <v>1.62784475561454</v>
      </c>
      <c r="I76" s="36" t="n">
        <v>0.81314517318971</v>
      </c>
      <c r="J76" s="37" t="n">
        <f aca="false">IFERROR(1/I76,"")</f>
        <v>1.22979270242399</v>
      </c>
      <c r="K76" s="36" t="n">
        <v>0.508471257020831</v>
      </c>
      <c r="L76" s="37" t="n">
        <f aca="false">IFERROR(1/K76,"")</f>
        <v>1.96667950487324</v>
      </c>
      <c r="M76" s="36" t="n">
        <v>0.70730723607459</v>
      </c>
      <c r="N76" s="37" t="n">
        <f aca="false">IFERROR(1/M76,"")</f>
        <v>1.41381276621712</v>
      </c>
      <c r="O76" s="36" t="n">
        <v>0.818227419757298</v>
      </c>
      <c r="P76" s="37" t="n">
        <f aca="false">IFERROR(1/O76,"")</f>
        <v>1.22215410514673</v>
      </c>
      <c r="Q76" s="36" t="n">
        <v>0.464620546557119</v>
      </c>
      <c r="R76" s="37" t="n">
        <f aca="false">IFERROR(1/Q76,"")</f>
        <v>2.15229396850848</v>
      </c>
      <c r="S76" s="36" t="n">
        <v>0.575540730239827</v>
      </c>
      <c r="T76" s="37" t="n">
        <f aca="false">IFERROR(1/S76,"")</f>
        <v>1.7374964923565</v>
      </c>
      <c r="U76" s="36" t="n">
        <v>0.625041981298134</v>
      </c>
      <c r="V76" s="37" t="n">
        <f aca="false">IFERROR(1/U76,"")</f>
        <v>1.5998925350952</v>
      </c>
      <c r="W76" s="36" t="n">
        <v>0.309756162736467</v>
      </c>
      <c r="X76" s="37" t="n">
        <f aca="false">IFERROR(1/W76,"")</f>
        <v>3.22834577741969</v>
      </c>
      <c r="Y76" s="36" t="n">
        <v>0.359257413794775</v>
      </c>
      <c r="Z76" s="37" t="n">
        <f aca="false">IFERROR(1/Y76,"")</f>
        <v>2.78351945318865</v>
      </c>
      <c r="AA76" s="36" t="n">
        <v>0.377666851516731</v>
      </c>
      <c r="AB76" s="37" t="n">
        <f aca="false">IFERROR(1/AA76,"")</f>
        <v>2.64783630330262</v>
      </c>
    </row>
    <row r="77" customFormat="false" ht="18.75" hidden="false" customHeight="true" outlineLevel="0" collapsed="false">
      <c r="A77" s="42" t="n">
        <v>35</v>
      </c>
      <c r="B77" s="40" t="n">
        <v>46344</v>
      </c>
      <c r="C77" s="41" t="s">
        <v>84</v>
      </c>
      <c r="D77" s="41" t="s">
        <v>100</v>
      </c>
      <c r="E77" s="43" t="n">
        <v>0.270460602855078</v>
      </c>
      <c r="F77" s="44" t="n">
        <f aca="false">IFERROR(1/E77,"")</f>
        <v>3.69739618060318</v>
      </c>
      <c r="G77" s="43" t="n">
        <v>0.520512600198002</v>
      </c>
      <c r="H77" s="44" t="n">
        <f aca="false">IFERROR(1/G77,"")</f>
        <v>1.92118307917926</v>
      </c>
      <c r="I77" s="43" t="n">
        <v>0.737804143874251</v>
      </c>
      <c r="J77" s="44" t="n">
        <f aca="false">IFERROR(1/I77,"")</f>
        <v>1.35537324953062</v>
      </c>
      <c r="K77" s="43" t="n">
        <v>0.44709167207575</v>
      </c>
      <c r="L77" s="44" t="n">
        <f aca="false">IFERROR(1/K77,"")</f>
        <v>2.2366777608655</v>
      </c>
      <c r="M77" s="43" t="n">
        <v>0.664383215752</v>
      </c>
      <c r="N77" s="44" t="n">
        <f aca="false">IFERROR(1/M77,"")</f>
        <v>1.50515542279033</v>
      </c>
      <c r="O77" s="43" t="n">
        <v>0.805172443928332</v>
      </c>
      <c r="P77" s="44" t="n">
        <f aca="false">IFERROR(1/O77,"")</f>
        <v>1.24196997493</v>
      </c>
      <c r="Q77" s="43" t="n">
        <v>0.467343541019174</v>
      </c>
      <c r="R77" s="44" t="n">
        <f aca="false">IFERROR(1/Q77,"")</f>
        <v>2.1397535479344</v>
      </c>
      <c r="S77" s="43" t="n">
        <v>0.608132769195506</v>
      </c>
      <c r="T77" s="44" t="n">
        <f aca="false">IFERROR(1/S77,"")</f>
        <v>1.64437775869715</v>
      </c>
      <c r="U77" s="43" t="n">
        <v>0.681109771190652</v>
      </c>
      <c r="V77" s="44" t="n">
        <f aca="false">IFERROR(1/U77,"")</f>
        <v>1.46819212158988</v>
      </c>
      <c r="W77" s="43" t="n">
        <v>0.358080771852582</v>
      </c>
      <c r="X77" s="44" t="n">
        <f aca="false">IFERROR(1/W77,"")</f>
        <v>2.79266600891848</v>
      </c>
      <c r="Y77" s="43" t="n">
        <v>0.431057773847728</v>
      </c>
      <c r="Z77" s="44" t="n">
        <f aca="false">IFERROR(1/Y77,"")</f>
        <v>2.3198746448156</v>
      </c>
      <c r="AA77" s="43" t="n">
        <v>0.462580325260121</v>
      </c>
      <c r="AB77" s="44" t="n">
        <f aca="false">IFERROR(1/AA77,"")</f>
        <v>2.16178671117859</v>
      </c>
    </row>
    <row r="78" customFormat="false" ht="18.75" hidden="false" customHeight="true" outlineLevel="0" collapsed="false">
      <c r="A78" s="35" t="n">
        <v>35</v>
      </c>
      <c r="B78" s="33" t="n">
        <v>46344</v>
      </c>
      <c r="C78" s="34" t="s">
        <v>106</v>
      </c>
      <c r="D78" s="34" t="s">
        <v>91</v>
      </c>
      <c r="E78" s="36" t="n">
        <v>0.313671292241831</v>
      </c>
      <c r="F78" s="37" t="n">
        <f aca="false">IFERROR(1/E78,"")</f>
        <v>3.18805075482977</v>
      </c>
      <c r="G78" s="36" t="n">
        <v>0.574125797979136</v>
      </c>
      <c r="H78" s="37" t="n">
        <f aca="false">IFERROR(1/G78,"")</f>
        <v>1.74177855013639</v>
      </c>
      <c r="I78" s="36" t="n">
        <v>0.782244157948908</v>
      </c>
      <c r="J78" s="37" t="n">
        <f aca="false">IFERROR(1/I78,"")</f>
        <v>1.27837324170251</v>
      </c>
      <c r="K78" s="36" t="n">
        <v>0.483399671992775</v>
      </c>
      <c r="L78" s="37" t="n">
        <f aca="false">IFERROR(1/K78,"")</f>
        <v>2.06868158573129</v>
      </c>
      <c r="M78" s="36" t="n">
        <v>0.691518031962547</v>
      </c>
      <c r="N78" s="37" t="n">
        <f aca="false">IFERROR(1/M78,"")</f>
        <v>1.4460938887768</v>
      </c>
      <c r="O78" s="36" t="n">
        <v>0.815510660319285</v>
      </c>
      <c r="P78" s="37" t="n">
        <f aca="false">IFERROR(1/O78,"")</f>
        <v>1.22622554021364</v>
      </c>
      <c r="Q78" s="36" t="n">
        <v>0.468572865707078</v>
      </c>
      <c r="R78" s="37" t="n">
        <f aca="false">IFERROR(1/Q78,"")</f>
        <v>2.13413979593333</v>
      </c>
      <c r="S78" s="36" t="n">
        <v>0.592565494063815</v>
      </c>
      <c r="T78" s="37" t="n">
        <f aca="false">IFERROR(1/S78,"")</f>
        <v>1.68757717082376</v>
      </c>
      <c r="U78" s="36" t="n">
        <v>0.651663295484296</v>
      </c>
      <c r="V78" s="37" t="n">
        <f aca="false">IFERROR(1/U78,"")</f>
        <v>1.53453479262911</v>
      </c>
      <c r="W78" s="36" t="n">
        <v>0.33211098832651</v>
      </c>
      <c r="X78" s="37" t="n">
        <f aca="false">IFERROR(1/W78,"")</f>
        <v>3.01104159497687</v>
      </c>
      <c r="Y78" s="36" t="n">
        <v>0.391208789746991</v>
      </c>
      <c r="Z78" s="37" t="n">
        <f aca="false">IFERROR(1/Y78,"")</f>
        <v>2.55617978483238</v>
      </c>
      <c r="AA78" s="36" t="n">
        <v>0.414681624241408</v>
      </c>
      <c r="AB78" s="37" t="n">
        <f aca="false">IFERROR(1/AA78,"")</f>
        <v>2.41148857712066</v>
      </c>
    </row>
    <row r="79" customFormat="false" ht="18.75" hidden="false" customHeight="true" outlineLevel="0" collapsed="false">
      <c r="A79" s="42" t="n">
        <v>36</v>
      </c>
      <c r="B79" s="40" t="n">
        <v>46348</v>
      </c>
      <c r="C79" s="41" t="s">
        <v>92</v>
      </c>
      <c r="D79" s="41" t="s">
        <v>104</v>
      </c>
      <c r="E79" s="43" t="n">
        <v>0.229003387543096</v>
      </c>
      <c r="F79" s="44" t="n">
        <f aca="false">IFERROR(1/E79,"")</f>
        <v>4.36674763080442</v>
      </c>
      <c r="G79" s="43" t="n">
        <v>0.464855535504723</v>
      </c>
      <c r="H79" s="44" t="n">
        <f aca="false">IFERROR(1/G79,"")</f>
        <v>2.15120596319077</v>
      </c>
      <c r="I79" s="43" t="n">
        <v>0.687632553823219</v>
      </c>
      <c r="J79" s="44" t="n">
        <f aca="false">IFERROR(1/I79,"")</f>
        <v>1.45426506415385</v>
      </c>
      <c r="K79" s="43" t="n">
        <v>0.406409663737244</v>
      </c>
      <c r="L79" s="44" t="n">
        <f aca="false">IFERROR(1/K79,"")</f>
        <v>2.46057141162502</v>
      </c>
      <c r="M79" s="43" t="n">
        <v>0.629186682055739</v>
      </c>
      <c r="N79" s="44" t="n">
        <f aca="false">IFERROR(1/M79,"")</f>
        <v>1.58935341214265</v>
      </c>
      <c r="O79" s="43" t="n">
        <v>0.786208567761444</v>
      </c>
      <c r="P79" s="44" t="n">
        <f aca="false">IFERROR(1/O79,"")</f>
        <v>1.27192712087491</v>
      </c>
      <c r="Q79" s="43" t="n">
        <v>0.458629166280123</v>
      </c>
      <c r="R79" s="44" t="n">
        <f aca="false">IFERROR(1/Q79,"")</f>
        <v>2.18041082757745</v>
      </c>
      <c r="S79" s="43" t="n">
        <v>0.615651051985828</v>
      </c>
      <c r="T79" s="44" t="n">
        <f aca="false">IFERROR(1/S79,"")</f>
        <v>1.6242967453307</v>
      </c>
      <c r="U79" s="43" t="n">
        <v>0.704191145669373</v>
      </c>
      <c r="V79" s="44" t="n">
        <f aca="false">IFERROR(1/U79,"")</f>
        <v>1.42006897722272</v>
      </c>
      <c r="W79" s="43" t="n">
        <v>0.3797989040242</v>
      </c>
      <c r="X79" s="44" t="n">
        <f aca="false">IFERROR(1/W79,"")</f>
        <v>2.63297231615045</v>
      </c>
      <c r="Y79" s="43" t="n">
        <v>0.468338997707745</v>
      </c>
      <c r="Z79" s="44" t="n">
        <f aca="false">IFERROR(1/Y79,"")</f>
        <v>2.13520549195014</v>
      </c>
      <c r="AA79" s="43" t="n">
        <v>0.509943326483627</v>
      </c>
      <c r="AB79" s="44" t="n">
        <f aca="false">IFERROR(1/AA79,"")</f>
        <v>1.96100222919989</v>
      </c>
    </row>
    <row r="80" customFormat="false" ht="18.75" hidden="false" customHeight="true" outlineLevel="0" collapsed="false">
      <c r="A80" s="35" t="n">
        <v>36</v>
      </c>
      <c r="B80" s="33" t="n">
        <v>46348</v>
      </c>
      <c r="C80" s="34" t="s">
        <v>90</v>
      </c>
      <c r="D80" s="34" t="s">
        <v>101</v>
      </c>
      <c r="E80" s="36" t="n">
        <v>0.333048143976696</v>
      </c>
      <c r="F80" s="37" t="n">
        <f aca="false">IFERROR(1/E80,"")</f>
        <v>3.00256890208034</v>
      </c>
      <c r="G80" s="36" t="n">
        <v>0.596853990159347</v>
      </c>
      <c r="H80" s="37" t="n">
        <f aca="false">IFERROR(1/G80,"")</f>
        <v>1.6754516456077</v>
      </c>
      <c r="I80" s="36" t="n">
        <v>0.799971689383058</v>
      </c>
      <c r="J80" s="37" t="n">
        <f aca="false">IFERROR(1/I80,"")</f>
        <v>1.25004423690444</v>
      </c>
      <c r="K80" s="36" t="n">
        <v>0.497771278914179</v>
      </c>
      <c r="L80" s="37" t="n">
        <f aca="false">IFERROR(1/K80,"")</f>
        <v>2.00895479984575</v>
      </c>
      <c r="M80" s="36" t="n">
        <v>0.70088897813789</v>
      </c>
      <c r="N80" s="37" t="n">
        <f aca="false">IFERROR(1/M80,"")</f>
        <v>1.42675948858089</v>
      </c>
      <c r="O80" s="36" t="n">
        <v>0.817525625138665</v>
      </c>
      <c r="P80" s="37" t="n">
        <f aca="false">IFERROR(1/O80,"")</f>
        <v>1.22320324800875</v>
      </c>
      <c r="Q80" s="36" t="n">
        <v>0.466923545406363</v>
      </c>
      <c r="R80" s="37" t="n">
        <f aca="false">IFERROR(1/Q80,"")</f>
        <v>2.14167824655255</v>
      </c>
      <c r="S80" s="36" t="n">
        <v>0.583560192407137</v>
      </c>
      <c r="T80" s="37" t="n">
        <f aca="false">IFERROR(1/S80,"")</f>
        <v>1.71361928557033</v>
      </c>
      <c r="U80" s="36" t="n">
        <v>0.637141372089958</v>
      </c>
      <c r="V80" s="37" t="n">
        <f aca="false">IFERROR(1/U80,"")</f>
        <v>1.56951038467301</v>
      </c>
      <c r="W80" s="36" t="n">
        <v>0.319754346224486</v>
      </c>
      <c r="X80" s="37" t="n">
        <f aca="false">IFERROR(1/W80,"")</f>
        <v>3.12740080567331</v>
      </c>
      <c r="Y80" s="36" t="n">
        <v>0.373335525907306</v>
      </c>
      <c r="Z80" s="37" t="n">
        <f aca="false">IFERROR(1/Y80,"")</f>
        <v>2.67855569750489</v>
      </c>
      <c r="AA80" s="36" t="n">
        <v>0.393847538283825</v>
      </c>
      <c r="AB80" s="37" t="n">
        <f aca="false">IFERROR(1/AA80,"")</f>
        <v>2.53905357478546</v>
      </c>
    </row>
    <row r="81" customFormat="false" ht="18.75" hidden="false" customHeight="true" outlineLevel="0" collapsed="false">
      <c r="A81" s="42" t="n">
        <v>36</v>
      </c>
      <c r="B81" s="40" t="n">
        <v>46348</v>
      </c>
      <c r="C81" s="41" t="s">
        <v>103</v>
      </c>
      <c r="D81" s="41" t="s">
        <v>99</v>
      </c>
      <c r="E81" s="43" t="n">
        <v>0.20008200702493</v>
      </c>
      <c r="F81" s="44" t="n">
        <f aca="false">IFERROR(1/E81,"")</f>
        <v>4.99795066467622</v>
      </c>
      <c r="G81" s="43" t="n">
        <v>0.422839295292959</v>
      </c>
      <c r="H81" s="44" t="n">
        <f aca="false">IFERROR(1/G81,"")</f>
        <v>2.36496468311244</v>
      </c>
      <c r="I81" s="43" t="n">
        <v>0.646882892434876</v>
      </c>
      <c r="J81" s="44" t="n">
        <f aca="false">IFERROR(1/I81,"")</f>
        <v>1.54587485879552</v>
      </c>
      <c r="K81" s="43" t="n">
        <v>0.374298735657533</v>
      </c>
      <c r="L81" s="44" t="n">
        <f aca="false">IFERROR(1/K81,"")</f>
        <v>2.67166277824394</v>
      </c>
      <c r="M81" s="43" t="n">
        <v>0.59834233279945</v>
      </c>
      <c r="N81" s="44" t="n">
        <f aca="false">IFERROR(1/M81,"")</f>
        <v>1.67128405460019</v>
      </c>
      <c r="O81" s="43" t="n">
        <v>0.766463639594856</v>
      </c>
      <c r="P81" s="44" t="n">
        <f aca="false">IFERROR(1/O81,"")</f>
        <v>1.30469333226112</v>
      </c>
      <c r="Q81" s="43" t="n">
        <v>0.446800885409946</v>
      </c>
      <c r="R81" s="44" t="n">
        <f aca="false">IFERROR(1/Q81,"")</f>
        <v>2.23813343405192</v>
      </c>
      <c r="S81" s="43" t="n">
        <v>0.614922192205351</v>
      </c>
      <c r="T81" s="44" t="n">
        <f aca="false">IFERROR(1/S81,"")</f>
        <v>1.62622200446793</v>
      </c>
      <c r="U81" s="43" t="n">
        <v>0.715848169681748</v>
      </c>
      <c r="V81" s="44" t="n">
        <f aca="false">IFERROR(1/U81,"")</f>
        <v>1.39694427163875</v>
      </c>
      <c r="W81" s="43" t="n">
        <v>0.392164903937323</v>
      </c>
      <c r="X81" s="44" t="n">
        <f aca="false">IFERROR(1/W81,"")</f>
        <v>2.5499477132197</v>
      </c>
      <c r="Y81" s="43" t="n">
        <v>0.493090881413719</v>
      </c>
      <c r="Z81" s="44" t="n">
        <f aca="false">IFERROR(1/Y81,"")</f>
        <v>2.02802371265302</v>
      </c>
      <c r="AA81" s="43" t="n">
        <v>0.543580480876772</v>
      </c>
      <c r="AB81" s="44" t="n">
        <f aca="false">IFERROR(1/AA81,"")</f>
        <v>1.83965398902301</v>
      </c>
    </row>
    <row r="82" customFormat="false" ht="18.75" hidden="false" customHeight="true" outlineLevel="0" collapsed="false">
      <c r="A82" s="35" t="n">
        <v>36</v>
      </c>
      <c r="B82" s="33" t="n">
        <v>46348</v>
      </c>
      <c r="C82" s="34" t="s">
        <v>93</v>
      </c>
      <c r="D82" s="34" t="s">
        <v>87</v>
      </c>
      <c r="E82" s="36" t="n">
        <v>0.312891147934278</v>
      </c>
      <c r="F82" s="37" t="n">
        <f aca="false">IFERROR(1/E82,"")</f>
        <v>3.19599965228178</v>
      </c>
      <c r="G82" s="36" t="n">
        <v>0.573283578418211</v>
      </c>
      <c r="H82" s="37" t="n">
        <f aca="false">IFERROR(1/G82,"")</f>
        <v>1.7443374233031</v>
      </c>
      <c r="I82" s="36" t="n">
        <v>0.781574767530649</v>
      </c>
      <c r="J82" s="37" t="n">
        <f aca="false">IFERROR(1/I82,"")</f>
        <v>1.27946812198077</v>
      </c>
      <c r="K82" s="36" t="n">
        <v>0.482779932112433</v>
      </c>
      <c r="L82" s="37" t="n">
        <f aca="false">IFERROR(1/K82,"")</f>
        <v>2.07133713206437</v>
      </c>
      <c r="M82" s="36" t="n">
        <v>0.691071121224871</v>
      </c>
      <c r="N82" s="37" t="n">
        <f aca="false">IFERROR(1/M82,"")</f>
        <v>1.44702906732317</v>
      </c>
      <c r="O82" s="36" t="n">
        <v>0.815334192867596</v>
      </c>
      <c r="P82" s="37" t="n">
        <f aca="false">IFERROR(1/O82,"")</f>
        <v>1.22649093923428</v>
      </c>
      <c r="Q82" s="36" t="n">
        <v>0.468683619596372</v>
      </c>
      <c r="R82" s="37" t="n">
        <f aca="false">IFERROR(1/Q82,"")</f>
        <v>2.1336354807134</v>
      </c>
      <c r="S82" s="36" t="n">
        <v>0.592946691239096</v>
      </c>
      <c r="T82" s="37" t="n">
        <f aca="false">IFERROR(1/S82,"")</f>
        <v>1.68649225094801</v>
      </c>
      <c r="U82" s="36" t="n">
        <v>0.652253322652101</v>
      </c>
      <c r="V82" s="37" t="n">
        <f aca="false">IFERROR(1/U82,"")</f>
        <v>1.53314665525036</v>
      </c>
      <c r="W82" s="36" t="n">
        <v>0.332554260755163</v>
      </c>
      <c r="X82" s="37" t="n">
        <f aca="false">IFERROR(1/W82,"")</f>
        <v>3.00702807935525</v>
      </c>
      <c r="Y82" s="36" t="n">
        <v>0.391860892168167</v>
      </c>
      <c r="Z82" s="37" t="n">
        <f aca="false">IFERROR(1/Y82,"")</f>
        <v>2.55192600227851</v>
      </c>
      <c r="AA82" s="36" t="n">
        <v>0.415448461152933</v>
      </c>
      <c r="AB82" s="37" t="n">
        <f aca="false">IFERROR(1/AA82,"")</f>
        <v>2.4070374390721</v>
      </c>
    </row>
    <row r="83" customFormat="false" ht="18.75" hidden="false" customHeight="true" outlineLevel="0" collapsed="false">
      <c r="A83" s="42" t="n">
        <v>36</v>
      </c>
      <c r="B83" s="40" t="n">
        <v>46348</v>
      </c>
      <c r="C83" s="41" t="s">
        <v>91</v>
      </c>
      <c r="D83" s="41" t="s">
        <v>84</v>
      </c>
      <c r="E83" s="43" t="n">
        <v>0.241167613204868</v>
      </c>
      <c r="F83" s="44" t="n">
        <f aca="false">IFERROR(1/E83,"")</f>
        <v>4.14649374644894</v>
      </c>
      <c r="G83" s="43" t="n">
        <v>0.481589637268927</v>
      </c>
      <c r="H83" s="44" t="n">
        <f aca="false">IFERROR(1/G83,"")</f>
        <v>2.07645663987073</v>
      </c>
      <c r="I83" s="43" t="n">
        <v>0.703162311693278</v>
      </c>
      <c r="J83" s="44" t="n">
        <f aca="false">IFERROR(1/I83,"")</f>
        <v>1.42214675526609</v>
      </c>
      <c r="K83" s="43" t="n">
        <v>0.418968374415337</v>
      </c>
      <c r="L83" s="44" t="n">
        <f aca="false">IFERROR(1/K83,"")</f>
        <v>2.3868149986153</v>
      </c>
      <c r="M83" s="43" t="n">
        <v>0.640541048839689</v>
      </c>
      <c r="N83" s="44" t="n">
        <f aca="false">IFERROR(1/M83,"")</f>
        <v>1.56118019572899</v>
      </c>
      <c r="O83" s="43" t="n">
        <v>0.792842002562072</v>
      </c>
      <c r="P83" s="44" t="n">
        <f aca="false">IFERROR(1/O83,"")</f>
        <v>1.26128534659932</v>
      </c>
      <c r="Q83" s="43" t="n">
        <v>0.46199469848841</v>
      </c>
      <c r="R83" s="44" t="n">
        <f aca="false">IFERROR(1/Q83,"")</f>
        <v>2.16452700273808</v>
      </c>
      <c r="S83" s="43" t="n">
        <v>0.614295652210794</v>
      </c>
      <c r="T83" s="44" t="n">
        <f aca="false">IFERROR(1/S83,"")</f>
        <v>1.62788064086258</v>
      </c>
      <c r="U83" s="43" t="n">
        <v>0.698044537094762</v>
      </c>
      <c r="V83" s="44" t="n">
        <f aca="false">IFERROR(1/U83,"")</f>
        <v>1.43257334863183</v>
      </c>
      <c r="W83" s="43" t="n">
        <v>0.373873628146735</v>
      </c>
      <c r="X83" s="44" t="n">
        <f aca="false">IFERROR(1/W83,"")</f>
        <v>2.67470055311719</v>
      </c>
      <c r="Y83" s="43" t="n">
        <v>0.457622513030704</v>
      </c>
      <c r="Z83" s="44" t="n">
        <f aca="false">IFERROR(1/Y83,"")</f>
        <v>2.18520717736827</v>
      </c>
      <c r="AA83" s="43" t="n">
        <v>0.495999793605132</v>
      </c>
      <c r="AB83" s="44" t="n">
        <f aca="false">IFERROR(1/AA83,"")</f>
        <v>2.01612987120738</v>
      </c>
    </row>
    <row r="84" customFormat="false" ht="18.75" hidden="false" customHeight="true" outlineLevel="0" collapsed="false">
      <c r="A84" s="35" t="n">
        <v>36</v>
      </c>
      <c r="B84" s="33" t="n">
        <v>46348</v>
      </c>
      <c r="C84" s="34" t="s">
        <v>83</v>
      </c>
      <c r="D84" s="34" t="s">
        <v>96</v>
      </c>
      <c r="E84" s="36" t="n">
        <v>0.294441165842684</v>
      </c>
      <c r="F84" s="37" t="n">
        <f aca="false">IFERROR(1/E84,"")</f>
        <v>3.3962642320683</v>
      </c>
      <c r="G84" s="36" t="n">
        <v>0.550889474339797</v>
      </c>
      <c r="H84" s="37" t="n">
        <f aca="false">IFERROR(1/G84,"")</f>
        <v>1.81524615477257</v>
      </c>
      <c r="I84" s="36" t="n">
        <v>0.763440783868039</v>
      </c>
      <c r="J84" s="37" t="n">
        <f aca="false">IFERROR(1/I84,"")</f>
        <v>1.30985928592053</v>
      </c>
      <c r="K84" s="36" t="n">
        <v>0.467966127309011</v>
      </c>
      <c r="L84" s="37" t="n">
        <f aca="false">IFERROR(1/K84,"")</f>
        <v>2.13690680081995</v>
      </c>
      <c r="M84" s="36" t="n">
        <v>0.680517436837253</v>
      </c>
      <c r="N84" s="37" t="n">
        <f aca="false">IFERROR(1/M84,"")</f>
        <v>1.46947006185112</v>
      </c>
      <c r="O84" s="36" t="n">
        <v>0.811900149705938</v>
      </c>
      <c r="P84" s="37" t="n">
        <f aca="false">IFERROR(1/O84,"")</f>
        <v>1.2316785510659</v>
      </c>
      <c r="Q84" s="36" t="n">
        <v>0.468999618025355</v>
      </c>
      <c r="R84" s="37" t="n">
        <f aca="false">IFERROR(1/Q84,"")</f>
        <v>2.13219789860455</v>
      </c>
      <c r="S84" s="36" t="n">
        <v>0.60038233089404</v>
      </c>
      <c r="T84" s="37" t="n">
        <f aca="false">IFERROR(1/S84,"")</f>
        <v>1.66560531271945</v>
      </c>
      <c r="U84" s="36" t="n">
        <v>0.665350802851412</v>
      </c>
      <c r="V84" s="37" t="n">
        <f aca="false">IFERROR(1/U84,"")</f>
        <v>1.50296654894595</v>
      </c>
      <c r="W84" s="36" t="n">
        <v>0.343934022396927</v>
      </c>
      <c r="X84" s="37" t="n">
        <f aca="false">IFERROR(1/W84,"")</f>
        <v>2.90753439578572</v>
      </c>
      <c r="Y84" s="36" t="n">
        <v>0.408902494354299</v>
      </c>
      <c r="Z84" s="37" t="n">
        <f aca="false">IFERROR(1/Y84,"")</f>
        <v>2.44557079941297</v>
      </c>
      <c r="AA84" s="36" t="n">
        <v>0.435674803640114</v>
      </c>
      <c r="AB84" s="37" t="n">
        <f aca="false">IFERROR(1/AA84,"")</f>
        <v>2.29528995398606</v>
      </c>
    </row>
    <row r="85" customFormat="false" ht="18.75" hidden="false" customHeight="true" outlineLevel="0" collapsed="false">
      <c r="A85" s="42" t="n">
        <v>36</v>
      </c>
      <c r="B85" s="40" t="n">
        <v>46348</v>
      </c>
      <c r="C85" s="41" t="s">
        <v>98</v>
      </c>
      <c r="D85" s="41" t="s">
        <v>95</v>
      </c>
      <c r="E85" s="43" t="n">
        <v>0.274471063238249</v>
      </c>
      <c r="F85" s="44" t="n">
        <f aca="false">IFERROR(1/E85,"")</f>
        <v>3.6433713201015</v>
      </c>
      <c r="G85" s="43" t="n">
        <v>0.525728887652824</v>
      </c>
      <c r="H85" s="44" t="n">
        <f aca="false">IFERROR(1/G85,"")</f>
        <v>1.90212108081908</v>
      </c>
      <c r="I85" s="43" t="n">
        <v>0.742292594591141</v>
      </c>
      <c r="J85" s="44" t="n">
        <f aca="false">IFERROR(1/I85,"")</f>
        <v>1.3471776591693</v>
      </c>
      <c r="K85" s="43" t="n">
        <v>0.45071127699203</v>
      </c>
      <c r="L85" s="44" t="n">
        <f aca="false">IFERROR(1/K85,"")</f>
        <v>2.21871528636654</v>
      </c>
      <c r="M85" s="43" t="n">
        <v>0.667274983930347</v>
      </c>
      <c r="N85" s="44" t="n">
        <f aca="false">IFERROR(1/M85,"")</f>
        <v>1.49863253393654</v>
      </c>
      <c r="O85" s="43" t="n">
        <v>0.806472465331955</v>
      </c>
      <c r="P85" s="44" t="n">
        <f aca="false">IFERROR(1/O85,"")</f>
        <v>1.23996793813461</v>
      </c>
      <c r="Q85" s="43" t="n">
        <v>0.467821531352892</v>
      </c>
      <c r="R85" s="44" t="n">
        <f aca="false">IFERROR(1/Q85,"")</f>
        <v>2.13756728363507</v>
      </c>
      <c r="S85" s="43" t="n">
        <v>0.607019012754501</v>
      </c>
      <c r="T85" s="44" t="n">
        <f aca="false">IFERROR(1/S85,"")</f>
        <v>1.64739485747283</v>
      </c>
      <c r="U85" s="43" t="n">
        <v>0.678594953534162</v>
      </c>
      <c r="V85" s="44" t="n">
        <f aca="false">IFERROR(1/U85,"")</f>
        <v>1.47363312207369</v>
      </c>
      <c r="W85" s="43" t="n">
        <v>0.355761188339926</v>
      </c>
      <c r="X85" s="44" t="n">
        <f aca="false">IFERROR(1/W85,"")</f>
        <v>2.81087435272594</v>
      </c>
      <c r="Y85" s="43" t="n">
        <v>0.427337129119587</v>
      </c>
      <c r="Z85" s="44" t="n">
        <f aca="false">IFERROR(1/Y85,"")</f>
        <v>2.34007281805873</v>
      </c>
      <c r="AA85" s="43" t="n">
        <v>0.458007675064504</v>
      </c>
      <c r="AB85" s="44" t="n">
        <f aca="false">IFERROR(1/AA85,"")</f>
        <v>2.18336952510493</v>
      </c>
    </row>
    <row r="86" customFormat="false" ht="18.75" hidden="false" customHeight="true" outlineLevel="0" collapsed="false">
      <c r="A86" s="35" t="n">
        <v>36</v>
      </c>
      <c r="B86" s="33" t="n">
        <v>46348</v>
      </c>
      <c r="C86" s="34" t="s">
        <v>100</v>
      </c>
      <c r="D86" s="34" t="s">
        <v>106</v>
      </c>
      <c r="E86" s="36" t="n">
        <v>0.302398147679733</v>
      </c>
      <c r="F86" s="37" t="n">
        <f aca="false">IFERROR(1/E86,"")</f>
        <v>3.30689856294719</v>
      </c>
      <c r="G86" s="36" t="n">
        <v>0.560753994439806</v>
      </c>
      <c r="H86" s="37" t="n">
        <f aca="false">IFERROR(1/G86,"")</f>
        <v>1.78331319957694</v>
      </c>
      <c r="I86" s="36" t="n">
        <v>0.771508200918843</v>
      </c>
      <c r="J86" s="37" t="n">
        <f aca="false">IFERROR(1/I86,"")</f>
        <v>1.29616250197863</v>
      </c>
      <c r="K86" s="36" t="n">
        <v>0.474468268424322</v>
      </c>
      <c r="L86" s="37" t="n">
        <f aca="false">IFERROR(1/K86,"")</f>
        <v>2.10762250407374</v>
      </c>
      <c r="M86" s="36" t="n">
        <v>0.685222474903359</v>
      </c>
      <c r="N86" s="37" t="n">
        <f aca="false">IFERROR(1/M86,"")</f>
        <v>1.45938003586505</v>
      </c>
      <c r="O86" s="36" t="n">
        <v>0.813486283268034</v>
      </c>
      <c r="P86" s="37" t="n">
        <f aca="false">IFERROR(1/O86,"")</f>
        <v>1.22927702724462</v>
      </c>
      <c r="Q86" s="36" t="n">
        <v>0.46911005323911</v>
      </c>
      <c r="R86" s="37" t="n">
        <f aca="false">IFERROR(1/Q86,"")</f>
        <v>2.13169594873357</v>
      </c>
      <c r="S86" s="36" t="n">
        <v>0.597373861603785</v>
      </c>
      <c r="T86" s="37" t="n">
        <f aca="false">IFERROR(1/S86,"")</f>
        <v>1.67399356462513</v>
      </c>
      <c r="U86" s="36" t="n">
        <v>0.659822359542911</v>
      </c>
      <c r="V86" s="37" t="n">
        <f aca="false">IFERROR(1/U86,"")</f>
        <v>1.51555943131837</v>
      </c>
      <c r="W86" s="36" t="n">
        <v>0.339018014843713</v>
      </c>
      <c r="X86" s="37" t="n">
        <f aca="false">IFERROR(1/W86,"")</f>
        <v>2.94969575720335</v>
      </c>
      <c r="Y86" s="36" t="n">
        <v>0.401466512782838</v>
      </c>
      <c r="Z86" s="37" t="n">
        <f aca="false">IFERROR(1/Y86,"")</f>
        <v>2.49086777641382</v>
      </c>
      <c r="AA86" s="36" t="n">
        <v>0.426803712630132</v>
      </c>
      <c r="AB86" s="37" t="n">
        <f aca="false">IFERROR(1/AA86,"")</f>
        <v>2.34299742576653</v>
      </c>
    </row>
    <row r="87" customFormat="false" ht="18.75" hidden="false" customHeight="true" outlineLevel="0" collapsed="false">
      <c r="A87" s="42" t="n">
        <v>36</v>
      </c>
      <c r="B87" s="40" t="n">
        <v>46348</v>
      </c>
      <c r="C87" s="41" t="s">
        <v>102</v>
      </c>
      <c r="D87" s="41" t="s">
        <v>8</v>
      </c>
      <c r="E87" s="43" t="n">
        <v>0.288101431013452</v>
      </c>
      <c r="F87" s="44" t="n">
        <f aca="false">IFERROR(1/E87,"")</f>
        <v>3.47099976727747</v>
      </c>
      <c r="G87" s="43" t="n">
        <v>0.542992261755171</v>
      </c>
      <c r="H87" s="44" t="n">
        <f aca="false">IFERROR(1/G87,"")</f>
        <v>1.8416468712972</v>
      </c>
      <c r="I87" s="43" t="n">
        <v>0.756891790981948</v>
      </c>
      <c r="J87" s="44" t="n">
        <f aca="false">IFERROR(1/I87,"")</f>
        <v>1.32119282031406</v>
      </c>
      <c r="K87" s="43" t="n">
        <v>0.462629910356224</v>
      </c>
      <c r="L87" s="44" t="n">
        <f aca="false">IFERROR(1/K87,"")</f>
        <v>2.1615550089055</v>
      </c>
      <c r="M87" s="43" t="n">
        <v>0.676529439583001</v>
      </c>
      <c r="N87" s="44" t="n">
        <f aca="false">IFERROR(1/M87,"")</f>
        <v>1.47813227553908</v>
      </c>
      <c r="O87" s="43" t="n">
        <v>0.810387873219712</v>
      </c>
      <c r="P87" s="44" t="n">
        <f aca="false">IFERROR(1/O87,"")</f>
        <v>1.23397700415598</v>
      </c>
      <c r="Q87" s="43" t="n">
        <v>0.468790359968496</v>
      </c>
      <c r="R87" s="44" t="n">
        <f aca="false">IFERROR(1/Q87,"")</f>
        <v>2.13314966644622</v>
      </c>
      <c r="S87" s="43" t="n">
        <v>0.602648793605207</v>
      </c>
      <c r="T87" s="44" t="n">
        <f aca="false">IFERROR(1/S87,"")</f>
        <v>1.65934124586516</v>
      </c>
      <c r="U87" s="43" t="n">
        <v>0.669663734013708</v>
      </c>
      <c r="V87" s="44" t="n">
        <f aca="false">IFERROR(1/U87,"")</f>
        <v>1.49328677843488</v>
      </c>
      <c r="W87" s="43" t="n">
        <v>0.347757962863488</v>
      </c>
      <c r="X87" s="44" t="n">
        <f aca="false">IFERROR(1/W87,"")</f>
        <v>2.87556319851272</v>
      </c>
      <c r="Y87" s="43" t="n">
        <v>0.41477290327199</v>
      </c>
      <c r="Z87" s="44" t="n">
        <f aca="false">IFERROR(1/Y87,"")</f>
        <v>2.41095788107509</v>
      </c>
      <c r="AA87" s="43" t="n">
        <v>0.442731559019595</v>
      </c>
      <c r="AB87" s="44" t="n">
        <f aca="false">IFERROR(1/AA87,"")</f>
        <v>2.25870503158719</v>
      </c>
    </row>
    <row r="88" customFormat="false" ht="18.75" hidden="false" customHeight="true" outlineLevel="0" collapsed="false">
      <c r="A88" s="35" t="n">
        <v>36</v>
      </c>
      <c r="B88" s="33" t="n">
        <v>46348</v>
      </c>
      <c r="C88" s="34" t="s">
        <v>88</v>
      </c>
      <c r="D88" s="34" t="s">
        <v>105</v>
      </c>
      <c r="E88" s="36" t="n">
        <v>0.258503979579303</v>
      </c>
      <c r="F88" s="37" t="n">
        <f aca="false">IFERROR(1/E88,"")</f>
        <v>3.86841239979141</v>
      </c>
      <c r="G88" s="36" t="n">
        <v>0.504898073921137</v>
      </c>
      <c r="H88" s="37" t="n">
        <f aca="false">IFERROR(1/G88,"")</f>
        <v>1.98059777141514</v>
      </c>
      <c r="I88" s="36" t="n">
        <v>0.7241524617197</v>
      </c>
      <c r="J88" s="37" t="n">
        <f aca="false">IFERROR(1/I88,"")</f>
        <v>1.38092467106336</v>
      </c>
      <c r="K88" s="36" t="n">
        <v>0.435967467833173</v>
      </c>
      <c r="L88" s="37" t="n">
        <f aca="false">IFERROR(1/K88,"")</f>
        <v>2.29374912988384</v>
      </c>
      <c r="M88" s="36" t="n">
        <v>0.655221855631736</v>
      </c>
      <c r="N88" s="37" t="n">
        <f aca="false">IFERROR(1/M88,"")</f>
        <v>1.52620061648561</v>
      </c>
      <c r="O88" s="36" t="n">
        <v>0.800710738168361</v>
      </c>
      <c r="P88" s="37" t="n">
        <f aca="false">IFERROR(1/O88,"")</f>
        <v>1.24889045735482</v>
      </c>
      <c r="Q88" s="36" t="n">
        <v>0.465648482140398</v>
      </c>
      <c r="R88" s="37" t="n">
        <f aca="false">IFERROR(1/Q88,"")</f>
        <v>2.14754270303514</v>
      </c>
      <c r="S88" s="36" t="n">
        <v>0.611137364677023</v>
      </c>
      <c r="T88" s="37" t="n">
        <f aca="false">IFERROR(1/S88,"")</f>
        <v>1.63629334057898</v>
      </c>
      <c r="U88" s="36" t="n">
        <v>0.688370081082051</v>
      </c>
      <c r="V88" s="37" t="n">
        <f aca="false">IFERROR(1/U88,"")</f>
        <v>1.45270694860546</v>
      </c>
      <c r="W88" s="36" t="n">
        <v>0.364743270335188</v>
      </c>
      <c r="X88" s="37" t="n">
        <f aca="false">IFERROR(1/W88,"")</f>
        <v>2.74165442197475</v>
      </c>
      <c r="Y88" s="36" t="n">
        <v>0.441975986740217</v>
      </c>
      <c r="Z88" s="37" t="n">
        <f aca="false">IFERROR(1/Y88,"")</f>
        <v>2.26256636107196</v>
      </c>
      <c r="AA88" s="36" t="n">
        <v>0.4761417844934</v>
      </c>
      <c r="AB88" s="37" t="n">
        <f aca="false">IFERROR(1/AA88,"")</f>
        <v>2.10021475234308</v>
      </c>
    </row>
    <row r="89" customFormat="false" ht="18.75" hidden="false" customHeight="true" outlineLevel="0" collapsed="false">
      <c r="A89" s="42" t="n">
        <v>37</v>
      </c>
      <c r="B89" s="40" t="n">
        <v>46355</v>
      </c>
      <c r="C89" s="41" t="s">
        <v>90</v>
      </c>
      <c r="D89" s="41" t="s">
        <v>84</v>
      </c>
      <c r="E89" s="43" t="n">
        <v>0.241338549671982</v>
      </c>
      <c r="F89" s="44" t="n">
        <f aca="false">IFERROR(1/E89,"")</f>
        <v>4.14355684725529</v>
      </c>
      <c r="G89" s="43" t="n">
        <v>0.481894721536566</v>
      </c>
      <c r="H89" s="44" t="n">
        <f aca="false">IFERROR(1/G89,"")</f>
        <v>2.0751420493078</v>
      </c>
      <c r="I89" s="43" t="n">
        <v>0.703442152478485</v>
      </c>
      <c r="J89" s="44" t="n">
        <f aca="false">IFERROR(1/I89,"")</f>
        <v>1.4215810020435</v>
      </c>
      <c r="K89" s="43" t="n">
        <v>0.419141867530856</v>
      </c>
      <c r="L89" s="44" t="n">
        <f aca="false">IFERROR(1/K89,"")</f>
        <v>2.3858270372534</v>
      </c>
      <c r="M89" s="43" t="n">
        <v>0.640689298472775</v>
      </c>
      <c r="N89" s="44" t="n">
        <f aca="false">IFERROR(1/M89,"")</f>
        <v>1.56081895293666</v>
      </c>
      <c r="O89" s="43" t="n">
        <v>0.792903145804836</v>
      </c>
      <c r="P89" s="44" t="n">
        <f aca="false">IFERROR(1/O89,"")</f>
        <v>1.26118808493937</v>
      </c>
      <c r="Q89" s="43" t="n">
        <v>0.462103602806503</v>
      </c>
      <c r="R89" s="44" t="n">
        <f aca="false">IFERROR(1/Q89,"")</f>
        <v>2.16401688696362</v>
      </c>
      <c r="S89" s="43" t="n">
        <v>0.614317450138565</v>
      </c>
      <c r="T89" s="44" t="n">
        <f aca="false">IFERROR(1/S89,"")</f>
        <v>1.62782287850433</v>
      </c>
      <c r="U89" s="43" t="n">
        <v>0.697980095996831</v>
      </c>
      <c r="V89" s="44" t="n">
        <f aca="false">IFERROR(1/U89,"")</f>
        <v>1.43270561114187</v>
      </c>
      <c r="W89" s="43" t="n">
        <v>0.37376127827398</v>
      </c>
      <c r="X89" s="44" t="n">
        <f aca="false">IFERROR(1/W89,"")</f>
        <v>2.67550454829878</v>
      </c>
      <c r="Y89" s="43" t="n">
        <v>0.457423924132247</v>
      </c>
      <c r="Z89" s="44" t="n">
        <f aca="false">IFERROR(1/Y89,"")</f>
        <v>2.18615587695166</v>
      </c>
      <c r="AA89" s="43" t="n">
        <v>0.495744125363874</v>
      </c>
      <c r="AB89" s="44" t="n">
        <f aca="false">IFERROR(1/AA89,"")</f>
        <v>2.0171696422343</v>
      </c>
    </row>
    <row r="90" customFormat="false" ht="18.75" hidden="false" customHeight="true" outlineLevel="0" collapsed="false">
      <c r="A90" s="35" t="n">
        <v>37</v>
      </c>
      <c r="B90" s="33" t="n">
        <v>46355</v>
      </c>
      <c r="C90" s="34" t="s">
        <v>93</v>
      </c>
      <c r="D90" s="34" t="s">
        <v>103</v>
      </c>
      <c r="E90" s="36" t="n">
        <v>0.246343235669207</v>
      </c>
      <c r="F90" s="37" t="n">
        <f aca="false">IFERROR(1/E90,"")</f>
        <v>4.059376736217</v>
      </c>
      <c r="G90" s="36" t="n">
        <v>0.488659426638213</v>
      </c>
      <c r="H90" s="37" t="n">
        <f aca="false">IFERROR(1/G90,"")</f>
        <v>2.04641503977445</v>
      </c>
      <c r="I90" s="36" t="n">
        <v>0.709607277326105</v>
      </c>
      <c r="J90" s="37" t="n">
        <f aca="false">IFERROR(1/I90,"")</f>
        <v>1.40923019246383</v>
      </c>
      <c r="K90" s="36" t="n">
        <v>0.424153121269771</v>
      </c>
      <c r="L90" s="37" t="n">
        <f aca="false">IFERROR(1/K90,"")</f>
        <v>2.35763913986142</v>
      </c>
      <c r="M90" s="36" t="n">
        <v>0.645100971957663</v>
      </c>
      <c r="N90" s="37" t="n">
        <f aca="false">IFERROR(1/M90,"")</f>
        <v>1.55014492842158</v>
      </c>
      <c r="O90" s="36" t="n">
        <v>0.795363508730971</v>
      </c>
      <c r="P90" s="37" t="n">
        <f aca="false">IFERROR(1/O90,"")</f>
        <v>1.2572867487918</v>
      </c>
      <c r="Q90" s="36" t="n">
        <v>0.463264041656898</v>
      </c>
      <c r="R90" s="37" t="n">
        <f aca="false">IFERROR(1/Q90,"")</f>
        <v>2.15859620017868</v>
      </c>
      <c r="S90" s="36" t="n">
        <v>0.613526578430206</v>
      </c>
      <c r="T90" s="37" t="n">
        <f aca="false">IFERROR(1/S90,"")</f>
        <v>1.62992123757481</v>
      </c>
      <c r="U90" s="36" t="n">
        <v>0.695279190686007</v>
      </c>
      <c r="V90" s="37" t="n">
        <f aca="false">IFERROR(1/U90,"")</f>
        <v>1.438271148333</v>
      </c>
      <c r="W90" s="36" t="n">
        <v>0.3712103874612</v>
      </c>
      <c r="X90" s="37" t="n">
        <f aca="false">IFERROR(1/W90,"")</f>
        <v>2.69389013286845</v>
      </c>
      <c r="Y90" s="36" t="n">
        <v>0.452962999717001</v>
      </c>
      <c r="Z90" s="37" t="n">
        <f aca="false">IFERROR(1/Y90,"")</f>
        <v>2.20768583885389</v>
      </c>
      <c r="AA90" s="36" t="n">
        <v>0.490028623625253</v>
      </c>
      <c r="AB90" s="37" t="n">
        <f aca="false">IFERROR(1/AA90,"")</f>
        <v>2.04069711806212</v>
      </c>
    </row>
    <row r="91" customFormat="false" ht="18.75" hidden="false" customHeight="true" outlineLevel="0" collapsed="false">
      <c r="A91" s="42" t="n">
        <v>37</v>
      </c>
      <c r="B91" s="40" t="n">
        <v>46355</v>
      </c>
      <c r="C91" s="41" t="s">
        <v>83</v>
      </c>
      <c r="D91" s="41" t="s">
        <v>102</v>
      </c>
      <c r="E91" s="43" t="n">
        <v>0.245257888142994</v>
      </c>
      <c r="F91" s="44" t="n">
        <f aca="false">IFERROR(1/E91,"")</f>
        <v>4.0773408250868</v>
      </c>
      <c r="G91" s="43" t="n">
        <v>0.487387060286407</v>
      </c>
      <c r="H91" s="44" t="n">
        <f aca="false">IFERROR(1/G91,"")</f>
        <v>2.05175738439253</v>
      </c>
      <c r="I91" s="43" t="n">
        <v>0.708453417100477</v>
      </c>
      <c r="J91" s="44" t="n">
        <f aca="false">IFERROR(1/I91,"")</f>
        <v>1.41152540994544</v>
      </c>
      <c r="K91" s="43" t="n">
        <v>0.423073850920449</v>
      </c>
      <c r="L91" s="44" t="n">
        <f aca="false">IFERROR(1/K91,"")</f>
        <v>2.36365352721369</v>
      </c>
      <c r="M91" s="43" t="n">
        <v>0.644140207734519</v>
      </c>
      <c r="N91" s="44" t="n">
        <f aca="false">IFERROR(1/M91,"")</f>
        <v>1.5524570396204</v>
      </c>
      <c r="O91" s="43" t="n">
        <v>0.794772546549076</v>
      </c>
      <c r="P91" s="44" t="n">
        <f aca="false">IFERROR(1/O91,"")</f>
        <v>1.25822161867823</v>
      </c>
      <c r="Q91" s="43" t="n">
        <v>0.463195528957483</v>
      </c>
      <c r="R91" s="44" t="n">
        <f aca="false">IFERROR(1/Q91,"")</f>
        <v>2.15891548489405</v>
      </c>
      <c r="S91" s="43" t="n">
        <v>0.61382786777204</v>
      </c>
      <c r="T91" s="44" t="n">
        <f aca="false">IFERROR(1/S91,"")</f>
        <v>1.62912121215613</v>
      </c>
      <c r="U91" s="43" t="n">
        <v>0.695939327240572</v>
      </c>
      <c r="V91" s="44" t="n">
        <f aca="false">IFERROR(1/U91,"")</f>
        <v>1.43690686940346</v>
      </c>
      <c r="W91" s="43" t="n">
        <v>0.371698695628627</v>
      </c>
      <c r="X91" s="44" t="n">
        <f aca="false">IFERROR(1/W91,"")</f>
        <v>2.6903511143852</v>
      </c>
      <c r="Y91" s="43" t="n">
        <v>0.45381015509716</v>
      </c>
      <c r="Z91" s="44" t="n">
        <f aca="false">IFERROR(1/Y91,"")</f>
        <v>2.20356461566159</v>
      </c>
      <c r="AA91" s="43" t="n">
        <v>0.491110090318644</v>
      </c>
      <c r="AB91" s="44" t="n">
        <f aca="false">IFERROR(1/AA91,"")</f>
        <v>2.03620332734596</v>
      </c>
    </row>
    <row r="92" customFormat="false" ht="18.75" hidden="false" customHeight="true" outlineLevel="0" collapsed="false">
      <c r="A92" s="35" t="n">
        <v>37</v>
      </c>
      <c r="B92" s="33" t="n">
        <v>46355</v>
      </c>
      <c r="C92" s="34" t="s">
        <v>101</v>
      </c>
      <c r="D92" s="34" t="s">
        <v>105</v>
      </c>
      <c r="E92" s="36" t="n">
        <v>0.313366939066674</v>
      </c>
      <c r="F92" s="37" t="n">
        <f aca="false">IFERROR(1/E92,"")</f>
        <v>3.19114710370654</v>
      </c>
      <c r="G92" s="36" t="n">
        <v>0.573827541357515</v>
      </c>
      <c r="H92" s="37" t="n">
        <f aca="false">IFERROR(1/G92,"")</f>
        <v>1.74268386915393</v>
      </c>
      <c r="I92" s="36" t="n">
        <v>0.782007242071329</v>
      </c>
      <c r="J92" s="37" t="n">
        <f aca="false">IFERROR(1/I92,"")</f>
        <v>1.27876053596546</v>
      </c>
      <c r="K92" s="36" t="n">
        <v>0.483152351914978</v>
      </c>
      <c r="L92" s="37" t="n">
        <f aca="false">IFERROR(1/K92,"")</f>
        <v>2.06974051981014</v>
      </c>
      <c r="M92" s="36" t="n">
        <v>0.691332052628792</v>
      </c>
      <c r="N92" s="37" t="n">
        <f aca="false">IFERROR(1/M92,"")</f>
        <v>1.44648291106639</v>
      </c>
      <c r="O92" s="36" t="n">
        <v>0.815420504773993</v>
      </c>
      <c r="P92" s="37" t="n">
        <f aca="false">IFERROR(1/O92,"")</f>
        <v>1.22636111570087</v>
      </c>
      <c r="Q92" s="36" t="n">
        <v>0.468640303004655</v>
      </c>
      <c r="R92" s="37" t="n">
        <f aca="false">IFERROR(1/Q92,"")</f>
        <v>2.13383269340808</v>
      </c>
      <c r="S92" s="36" t="n">
        <v>0.592728755149856</v>
      </c>
      <c r="T92" s="37" t="n">
        <f aca="false">IFERROR(1/S92,"")</f>
        <v>1.68711234491597</v>
      </c>
      <c r="U92" s="36" t="n">
        <v>0.651900495345446</v>
      </c>
      <c r="V92" s="37" t="n">
        <f aca="false">IFERROR(1/U92,"")</f>
        <v>1.5339764383368</v>
      </c>
      <c r="W92" s="36" t="n">
        <v>0.332268152859015</v>
      </c>
      <c r="X92" s="37" t="n">
        <f aca="false">IFERROR(1/W92,"")</f>
        <v>3.00961735693132</v>
      </c>
      <c r="Y92" s="36" t="n">
        <v>0.391439893054605</v>
      </c>
      <c r="Z92" s="37" t="n">
        <f aca="false">IFERROR(1/Y92,"")</f>
        <v>2.55467063460623</v>
      </c>
      <c r="AA92" s="36" t="n">
        <v>0.414953327606364</v>
      </c>
      <c r="AB92" s="37" t="n">
        <f aca="false">IFERROR(1/AA92,"")</f>
        <v>2.40990958132194</v>
      </c>
    </row>
    <row r="93" customFormat="false" ht="18.75" hidden="false" customHeight="true" outlineLevel="0" collapsed="false">
      <c r="A93" s="42" t="n">
        <v>37</v>
      </c>
      <c r="B93" s="40" t="n">
        <v>46355</v>
      </c>
      <c r="C93" s="41" t="s">
        <v>99</v>
      </c>
      <c r="D93" s="41" t="s">
        <v>8</v>
      </c>
      <c r="E93" s="43" t="n">
        <v>0.208596478644739</v>
      </c>
      <c r="F93" s="44" t="n">
        <f aca="false">IFERROR(1/E93,"")</f>
        <v>4.79394478035796</v>
      </c>
      <c r="G93" s="43" t="n">
        <v>0.435414837532678</v>
      </c>
      <c r="H93" s="44" t="n">
        <f aca="false">IFERROR(1/G93,"")</f>
        <v>2.29666036570228</v>
      </c>
      <c r="I93" s="43" t="n">
        <v>0.659347363010518</v>
      </c>
      <c r="J93" s="44" t="n">
        <f aca="false">IFERROR(1/I93,"")</f>
        <v>1.51665124652064</v>
      </c>
      <c r="K93" s="43" t="n">
        <v>0.384085653330567</v>
      </c>
      <c r="L93" s="44" t="n">
        <f aca="false">IFERROR(1/K93,"")</f>
        <v>2.60358592238107</v>
      </c>
      <c r="M93" s="43" t="n">
        <v>0.608018178808407</v>
      </c>
      <c r="N93" s="44" t="n">
        <f aca="false">IFERROR(1/M93,"")</f>
        <v>1.64468766700331</v>
      </c>
      <c r="O93" s="43" t="n">
        <v>0.772940559387439</v>
      </c>
      <c r="P93" s="44" t="n">
        <f aca="false">IFERROR(1/O93,"")</f>
        <v>1.29376054582064</v>
      </c>
      <c r="Q93" s="43" t="n">
        <v>0.450750884365778</v>
      </c>
      <c r="R93" s="44" t="n">
        <f aca="false">IFERROR(1/Q93,"")</f>
        <v>2.21852032837835</v>
      </c>
      <c r="S93" s="43" t="n">
        <v>0.61567326494481</v>
      </c>
      <c r="T93" s="44" t="n">
        <f aca="false">IFERROR(1/S93,"")</f>
        <v>1.62423814210877</v>
      </c>
      <c r="U93" s="43" t="n">
        <v>0.71284321935966</v>
      </c>
      <c r="V93" s="44" t="n">
        <f aca="false">IFERROR(1/U93,"")</f>
        <v>1.40283301130127</v>
      </c>
      <c r="W93" s="43" t="n">
        <v>0.388854906056872</v>
      </c>
      <c r="X93" s="44" t="n">
        <f aca="false">IFERROR(1/W93,"")</f>
        <v>2.57165329387344</v>
      </c>
      <c r="Y93" s="43" t="n">
        <v>0.486024860471722</v>
      </c>
      <c r="Z93" s="44" t="n">
        <f aca="false">IFERROR(1/Y93,"")</f>
        <v>2.05750792054017</v>
      </c>
      <c r="AA93" s="43" t="n">
        <v>0.53373417281527</v>
      </c>
      <c r="AB93" s="44" t="n">
        <f aca="false">IFERROR(1/AA93,"")</f>
        <v>1.87359185702001</v>
      </c>
    </row>
    <row r="94" customFormat="false" ht="18.75" hidden="false" customHeight="true" outlineLevel="0" collapsed="false">
      <c r="A94" s="35" t="n">
        <v>37</v>
      </c>
      <c r="B94" s="33" t="n">
        <v>46355</v>
      </c>
      <c r="C94" s="34" t="s">
        <v>98</v>
      </c>
      <c r="D94" s="34" t="s">
        <v>96</v>
      </c>
      <c r="E94" s="36" t="n">
        <v>0.347063775232623</v>
      </c>
      <c r="F94" s="37" t="n">
        <f aca="false">IFERROR(1/E94,"")</f>
        <v>2.88131482270006</v>
      </c>
      <c r="G94" s="36" t="n">
        <v>0.612682641327083</v>
      </c>
      <c r="H94" s="37" t="n">
        <f aca="false">IFERROR(1/G94,"")</f>
        <v>1.6321663656636</v>
      </c>
      <c r="I94" s="36" t="n">
        <v>0.811933702470049</v>
      </c>
      <c r="J94" s="37" t="n">
        <f aca="false">IFERROR(1/I94,"")</f>
        <v>1.23162765255072</v>
      </c>
      <c r="K94" s="36" t="n">
        <v>0.507491329308745</v>
      </c>
      <c r="L94" s="37" t="n">
        <f aca="false">IFERROR(1/K94,"")</f>
        <v>1.97047701556222</v>
      </c>
      <c r="M94" s="36" t="n">
        <v>0.706742390451711</v>
      </c>
      <c r="N94" s="37" t="n">
        <f aca="false">IFERROR(1/M94,"")</f>
        <v>1.41494271959668</v>
      </c>
      <c r="O94" s="36" t="n">
        <v>0.818197312008934</v>
      </c>
      <c r="P94" s="37" t="n">
        <f aca="false">IFERROR(1/O94,"")</f>
        <v>1.22219907756075</v>
      </c>
      <c r="Q94" s="36" t="n">
        <v>0.464869927237426</v>
      </c>
      <c r="R94" s="37" t="n">
        <f aca="false">IFERROR(1/Q94,"")</f>
        <v>2.15113936481691</v>
      </c>
      <c r="S94" s="36" t="n">
        <v>0.576324848794648</v>
      </c>
      <c r="T94" s="37" t="n">
        <f aca="false">IFERROR(1/S94,"")</f>
        <v>1.73513254216167</v>
      </c>
      <c r="U94" s="36" t="n">
        <v>0.626200415702324</v>
      </c>
      <c r="V94" s="37" t="n">
        <f aca="false">IFERROR(1/U94,"")</f>
        <v>1.59693282681462</v>
      </c>
      <c r="W94" s="36" t="n">
        <v>0.310705982700189</v>
      </c>
      <c r="X94" s="37" t="n">
        <f aca="false">IFERROR(1/W94,"")</f>
        <v>3.21847680984288</v>
      </c>
      <c r="Y94" s="36" t="n">
        <v>0.360581549607864</v>
      </c>
      <c r="Z94" s="37" t="n">
        <f aca="false">IFERROR(1/Y94,"")</f>
        <v>2.77329774939264</v>
      </c>
      <c r="AA94" s="36" t="n">
        <v>0.379180789399209</v>
      </c>
      <c r="AB94" s="37" t="n">
        <f aca="false">IFERROR(1/AA94,"")</f>
        <v>2.63726440778934</v>
      </c>
    </row>
    <row r="95" customFormat="false" ht="18.75" hidden="false" customHeight="true" outlineLevel="0" collapsed="false">
      <c r="A95" s="42" t="n">
        <v>37</v>
      </c>
      <c r="B95" s="40" t="n">
        <v>46355</v>
      </c>
      <c r="C95" s="41" t="s">
        <v>100</v>
      </c>
      <c r="D95" s="41" t="s">
        <v>91</v>
      </c>
      <c r="E95" s="43" t="n">
        <v>0.299091593345303</v>
      </c>
      <c r="F95" s="44" t="n">
        <f aca="false">IFERROR(1/E95,"")</f>
        <v>3.34345739649558</v>
      </c>
      <c r="G95" s="43" t="n">
        <v>0.556602267769734</v>
      </c>
      <c r="H95" s="44" t="n">
        <f aca="false">IFERROR(1/G95,"")</f>
        <v>1.79661502998708</v>
      </c>
      <c r="I95" s="43" t="n">
        <v>0.768127977794584</v>
      </c>
      <c r="J95" s="44" t="n">
        <f aca="false">IFERROR(1/I95,"")</f>
        <v>1.30186639324238</v>
      </c>
      <c r="K95" s="43" t="n">
        <v>0.471801577846804</v>
      </c>
      <c r="L95" s="44" t="n">
        <f aca="false">IFERROR(1/K95,"")</f>
        <v>2.11953509050091</v>
      </c>
      <c r="M95" s="43" t="n">
        <v>0.683327287871654</v>
      </c>
      <c r="N95" s="44" t="n">
        <f aca="false">IFERROR(1/M95,"")</f>
        <v>1.46342758111517</v>
      </c>
      <c r="O95" s="43" t="n">
        <v>0.812907100379441</v>
      </c>
      <c r="P95" s="44" t="n">
        <f aca="false">IFERROR(1/O95,"")</f>
        <v>1.23015286683218</v>
      </c>
      <c r="Q95" s="43" t="n">
        <v>0.469036384449281</v>
      </c>
      <c r="R95" s="44" t="n">
        <f aca="false">IFERROR(1/Q95,"")</f>
        <v>2.13203076169485</v>
      </c>
      <c r="S95" s="43" t="n">
        <v>0.598616196957068</v>
      </c>
      <c r="T95" s="44" t="n">
        <f aca="false">IFERROR(1/S95,"")</f>
        <v>1.67051944982992</v>
      </c>
      <c r="U95" s="43" t="n">
        <v>0.662120261054357</v>
      </c>
      <c r="V95" s="44" t="n">
        <f aca="false">IFERROR(1/U95,"")</f>
        <v>1.5102996522227</v>
      </c>
      <c r="W95" s="43" t="n">
        <v>0.341105522532636</v>
      </c>
      <c r="X95" s="44" t="n">
        <f aca="false">IFERROR(1/W95,"")</f>
        <v>2.9316441216642</v>
      </c>
      <c r="Y95" s="43" t="n">
        <v>0.404609586629925</v>
      </c>
      <c r="Z95" s="44" t="n">
        <f aca="false">IFERROR(1/Y95,"")</f>
        <v>2.47151830565658</v>
      </c>
      <c r="AA95" s="43" t="n">
        <v>0.430544478794232</v>
      </c>
      <c r="AB95" s="44" t="n">
        <f aca="false">IFERROR(1/AA95,"")</f>
        <v>2.32264039896776</v>
      </c>
    </row>
    <row r="96" customFormat="false" ht="18.75" hidden="false" customHeight="true" outlineLevel="0" collapsed="false">
      <c r="A96" s="35" t="n">
        <v>37</v>
      </c>
      <c r="B96" s="33" t="n">
        <v>46355</v>
      </c>
      <c r="C96" s="34" t="s">
        <v>95</v>
      </c>
      <c r="D96" s="34" t="s">
        <v>92</v>
      </c>
      <c r="E96" s="36" t="n">
        <v>0.271494469041891</v>
      </c>
      <c r="F96" s="37" t="n">
        <f aca="false">IFERROR(1/E96,"")</f>
        <v>3.68331628828027</v>
      </c>
      <c r="G96" s="36" t="n">
        <v>0.521903107328392</v>
      </c>
      <c r="H96" s="37" t="n">
        <f aca="false">IFERROR(1/G96,"")</f>
        <v>1.9160644685926</v>
      </c>
      <c r="I96" s="36" t="n">
        <v>0.739004231076914</v>
      </c>
      <c r="J96" s="37" t="n">
        <f aca="false">IFERROR(1/I96,"")</f>
        <v>1.35317222547258</v>
      </c>
      <c r="K96" s="36" t="n">
        <v>0.448027021863654</v>
      </c>
      <c r="L96" s="37" t="n">
        <f aca="false">IFERROR(1/K96,"")</f>
        <v>2.23200822986147</v>
      </c>
      <c r="M96" s="36" t="n">
        <v>0.665128145612175</v>
      </c>
      <c r="N96" s="37" t="n">
        <f aca="false">IFERROR(1/M96,"")</f>
        <v>1.50346967963536</v>
      </c>
      <c r="O96" s="36" t="n">
        <v>0.805494171589327</v>
      </c>
      <c r="P96" s="37" t="n">
        <f aca="false">IFERROR(1/O96,"")</f>
        <v>1.24147391163227</v>
      </c>
      <c r="Q96" s="36" t="n">
        <v>0.467509762035022</v>
      </c>
      <c r="R96" s="37" t="n">
        <f aca="false">IFERROR(1/Q96,"")</f>
        <v>2.13899276808061</v>
      </c>
      <c r="S96" s="36" t="n">
        <v>0.607875788012174</v>
      </c>
      <c r="T96" s="37" t="n">
        <f aca="false">IFERROR(1/S96,"")</f>
        <v>1.64507292397698</v>
      </c>
      <c r="U96" s="36" t="n">
        <v>0.68047834633496</v>
      </c>
      <c r="V96" s="37" t="n">
        <f aca="false">IFERROR(1/U96,"")</f>
        <v>1.46955447647376</v>
      </c>
      <c r="W96" s="36" t="n">
        <v>0.357467149725673</v>
      </c>
      <c r="X96" s="37" t="n">
        <f aca="false">IFERROR(1/W96,"")</f>
        <v>2.79745985265337</v>
      </c>
      <c r="Y96" s="36" t="n">
        <v>0.43006970804846</v>
      </c>
      <c r="Z96" s="37" t="n">
        <f aca="false">IFERROR(1/Y96,"")</f>
        <v>2.3252044524078</v>
      </c>
      <c r="AA96" s="36" t="n">
        <v>0.461363673464467</v>
      </c>
      <c r="AB96" s="37" t="n">
        <f aca="false">IFERROR(1/AA96,"")</f>
        <v>2.16748751042927</v>
      </c>
    </row>
    <row r="97" customFormat="false" ht="18.75" hidden="false" customHeight="true" outlineLevel="0" collapsed="false">
      <c r="A97" s="42" t="n">
        <v>37</v>
      </c>
      <c r="B97" s="40" t="n">
        <v>46355</v>
      </c>
      <c r="C97" s="41" t="s">
        <v>87</v>
      </c>
      <c r="D97" s="41" t="s">
        <v>104</v>
      </c>
      <c r="E97" s="43" t="n">
        <v>0.254928590212374</v>
      </c>
      <c r="F97" s="44" t="n">
        <f aca="false">IFERROR(1/E97,"")</f>
        <v>3.92266712480907</v>
      </c>
      <c r="G97" s="43" t="n">
        <v>0.50035141330151</v>
      </c>
      <c r="H97" s="44" t="n">
        <f aca="false">IFERROR(1/G97,"")</f>
        <v>1.99859533403057</v>
      </c>
      <c r="I97" s="43" t="n">
        <v>0.720116632729406</v>
      </c>
      <c r="J97" s="44" t="n">
        <f aca="false">IFERROR(1/I97,"")</f>
        <v>1.38866393935351</v>
      </c>
      <c r="K97" s="43" t="n">
        <v>0.432541956211005</v>
      </c>
      <c r="L97" s="44" t="n">
        <f aca="false">IFERROR(1/K97,"")</f>
        <v>2.31191445278472</v>
      </c>
      <c r="M97" s="43" t="n">
        <v>0.652307175638901</v>
      </c>
      <c r="N97" s="44" t="n">
        <f aca="false">IFERROR(1/M97,"")</f>
        <v>1.53302008217302</v>
      </c>
      <c r="O97" s="43" t="n">
        <v>0.799145640408442</v>
      </c>
      <c r="P97" s="44" t="n">
        <f aca="false">IFERROR(1/O97,"")</f>
        <v>1.25133636403109</v>
      </c>
      <c r="Q97" s="43" t="n">
        <v>0.465188042517032</v>
      </c>
      <c r="R97" s="44" t="n">
        <f aca="false">IFERROR(1/Q97,"")</f>
        <v>2.14966832463968</v>
      </c>
      <c r="S97" s="43" t="n">
        <v>0.612026507286573</v>
      </c>
      <c r="T97" s="44" t="n">
        <f aca="false">IFERROR(1/S97,"")</f>
        <v>1.6339161590133</v>
      </c>
      <c r="U97" s="43" t="n">
        <v>0.690515850748675</v>
      </c>
      <c r="V97" s="44" t="n">
        <f aca="false">IFERROR(1/U97,"")</f>
        <v>1.44819267930747</v>
      </c>
      <c r="W97" s="43" t="n">
        <v>0.366603684197436</v>
      </c>
      <c r="X97" s="44" t="n">
        <f aca="false">IFERROR(1/W97,"")</f>
        <v>2.72774127240207</v>
      </c>
      <c r="Y97" s="43" t="n">
        <v>0.445093027659539</v>
      </c>
      <c r="Z97" s="44" t="n">
        <f aca="false">IFERROR(1/Y97,"")</f>
        <v>2.2467213320738</v>
      </c>
      <c r="AA97" s="43" t="n">
        <v>0.480055353135025</v>
      </c>
      <c r="AB97" s="44" t="n">
        <f aca="false">IFERROR(1/AA97,"")</f>
        <v>2.08309311305343</v>
      </c>
    </row>
    <row r="98" customFormat="false" ht="18.75" hidden="false" customHeight="true" outlineLevel="0" collapsed="false">
      <c r="A98" s="35" t="n">
        <v>37</v>
      </c>
      <c r="B98" s="33" t="n">
        <v>46355</v>
      </c>
      <c r="C98" s="34" t="s">
        <v>106</v>
      </c>
      <c r="D98" s="34" t="s">
        <v>88</v>
      </c>
      <c r="E98" s="36" t="n">
        <v>0.296188349262008</v>
      </c>
      <c r="F98" s="37" t="n">
        <f aca="false">IFERROR(1/E98,"")</f>
        <v>3.37623003231434</v>
      </c>
      <c r="G98" s="36" t="n">
        <v>0.552970521204529</v>
      </c>
      <c r="H98" s="37" t="n">
        <f aca="false">IFERROR(1/G98,"")</f>
        <v>1.80841466525505</v>
      </c>
      <c r="I98" s="36" t="n">
        <v>0.76515300322437</v>
      </c>
      <c r="J98" s="37" t="n">
        <f aca="false">IFERROR(1/I98,"")</f>
        <v>1.30692815134487</v>
      </c>
      <c r="K98" s="36" t="n">
        <v>0.469425094459868</v>
      </c>
      <c r="L98" s="37" t="n">
        <f aca="false">IFERROR(1/K98,"")</f>
        <v>2.13026532199056</v>
      </c>
      <c r="M98" s="36" t="n">
        <v>0.68160757647971</v>
      </c>
      <c r="N98" s="37" t="n">
        <f aca="false">IFERROR(1/M98,"")</f>
        <v>1.4671198421307</v>
      </c>
      <c r="O98" s="36" t="n">
        <v>0.812334561999908</v>
      </c>
      <c r="P98" s="37" t="n">
        <f aca="false">IFERROR(1/O98,"")</f>
        <v>1.2310198861145</v>
      </c>
      <c r="Q98" s="36" t="n">
        <v>0.468964653962362</v>
      </c>
      <c r="R98" s="37" t="n">
        <f aca="false">IFERROR(1/Q98,"")</f>
        <v>2.13235686645215</v>
      </c>
      <c r="S98" s="36" t="n">
        <v>0.599691639482561</v>
      </c>
      <c r="T98" s="37" t="n">
        <f aca="false">IFERROR(1/S98,"")</f>
        <v>1.66752366409984</v>
      </c>
      <c r="U98" s="36" t="n">
        <v>0.664125025615164</v>
      </c>
      <c r="V98" s="37" t="n">
        <f aca="false">IFERROR(1/U98,"")</f>
        <v>1.50574057809932</v>
      </c>
      <c r="W98" s="36" t="n">
        <v>0.34290946754004</v>
      </c>
      <c r="X98" s="37" t="n">
        <f aca="false">IFERROR(1/W98,"")</f>
        <v>2.9162216114177</v>
      </c>
      <c r="Y98" s="36" t="n">
        <v>0.407342853672643</v>
      </c>
      <c r="Z98" s="37" t="n">
        <f aca="false">IFERROR(1/Y98,"")</f>
        <v>2.45493443909449</v>
      </c>
      <c r="AA98" s="36" t="n">
        <v>0.433808068129529</v>
      </c>
      <c r="AB98" s="37" t="n">
        <f aca="false">IFERROR(1/AA98,"")</f>
        <v>2.30516690091023</v>
      </c>
    </row>
    <row r="99" customFormat="false" ht="18.75" hidden="false" customHeight="true" outlineLevel="0" collapsed="false">
      <c r="A99" s="42" t="n">
        <v>38</v>
      </c>
      <c r="B99" s="40" t="n">
        <v>46358</v>
      </c>
      <c r="C99" s="41" t="s">
        <v>92</v>
      </c>
      <c r="D99" s="41" t="s">
        <v>87</v>
      </c>
      <c r="E99" s="43" t="n">
        <v>0.342242862557213</v>
      </c>
      <c r="F99" s="44" t="n">
        <f aca="false">IFERROR(1/E99,"")</f>
        <v>2.92190169439349</v>
      </c>
      <c r="G99" s="43" t="n">
        <v>0.607289602044549</v>
      </c>
      <c r="H99" s="44" t="n">
        <f aca="false">IFERROR(1/G99,"")</f>
        <v>1.64666082974798</v>
      </c>
      <c r="I99" s="43" t="n">
        <v>0.807893296508872</v>
      </c>
      <c r="J99" s="44" t="n">
        <f aca="false">IFERROR(1/I99,"")</f>
        <v>1.23778722304204</v>
      </c>
      <c r="K99" s="43" t="n">
        <v>0.504211627720559</v>
      </c>
      <c r="L99" s="44" t="n">
        <f aca="false">IFERROR(1/K99,"")</f>
        <v>1.98329420628557</v>
      </c>
      <c r="M99" s="43" t="n">
        <v>0.704815322184881</v>
      </c>
      <c r="N99" s="44" t="n">
        <f aca="false">IFERROR(1/M99,"")</f>
        <v>1.41881138012163</v>
      </c>
      <c r="O99" s="43" t="n">
        <v>0.818040378332609</v>
      </c>
      <c r="P99" s="44" t="n">
        <f aca="false">IFERROR(1/O99,"")</f>
        <v>1.22243354544219</v>
      </c>
      <c r="Q99" s="43" t="n">
        <v>0.465650433951659</v>
      </c>
      <c r="R99" s="44" t="n">
        <f aca="false">IFERROR(1/Q99,"")</f>
        <v>2.1475337014371</v>
      </c>
      <c r="S99" s="43" t="n">
        <v>0.578875490099387</v>
      </c>
      <c r="T99" s="44" t="n">
        <f aca="false">IFERROR(1/S99,"")</f>
        <v>1.72748720079392</v>
      </c>
      <c r="U99" s="43" t="n">
        <v>0.63000082305555</v>
      </c>
      <c r="V99" s="44" t="n">
        <f aca="false">IFERROR(1/U99,"")</f>
        <v>1.58729951359417</v>
      </c>
      <c r="W99" s="43" t="n">
        <v>0.313828750612051</v>
      </c>
      <c r="X99" s="44" t="n">
        <f aca="false">IFERROR(1/W99,"")</f>
        <v>3.18645120324295</v>
      </c>
      <c r="Y99" s="43" t="n">
        <v>0.364954083568214</v>
      </c>
      <c r="Z99" s="44" t="n">
        <f aca="false">IFERROR(1/Y99,"")</f>
        <v>2.74007072402874</v>
      </c>
      <c r="AA99" s="43" t="n">
        <v>0.384191578038727</v>
      </c>
      <c r="AB99" s="44" t="n">
        <f aca="false">IFERROR(1/AA99,"")</f>
        <v>2.60286809280135</v>
      </c>
    </row>
    <row r="100" customFormat="false" ht="18.75" hidden="false" customHeight="true" outlineLevel="0" collapsed="false">
      <c r="A100" s="35" t="n">
        <v>38</v>
      </c>
      <c r="B100" s="33" t="n">
        <v>46358</v>
      </c>
      <c r="C100" s="34" t="s">
        <v>103</v>
      </c>
      <c r="D100" s="34" t="s">
        <v>90</v>
      </c>
      <c r="E100" s="36" t="n">
        <v>0.275534195629297</v>
      </c>
      <c r="F100" s="37" t="n">
        <f aca="false">IFERROR(1/E100,"")</f>
        <v>3.62931358743362</v>
      </c>
      <c r="G100" s="36" t="n">
        <v>0.527063140487239</v>
      </c>
      <c r="H100" s="37" t="n">
        <f aca="false">IFERROR(1/G100,"")</f>
        <v>1.89730588839045</v>
      </c>
      <c r="I100" s="36" t="n">
        <v>0.743434827746946</v>
      </c>
      <c r="J100" s="37" t="n">
        <f aca="false">IFERROR(1/I100,"")</f>
        <v>1.34510781937752</v>
      </c>
      <c r="K100" s="36" t="n">
        <v>0.451665107149763</v>
      </c>
      <c r="L100" s="37" t="n">
        <f aca="false">IFERROR(1/K100,"")</f>
        <v>2.21402978483441</v>
      </c>
      <c r="M100" s="36" t="n">
        <v>0.66803679440947</v>
      </c>
      <c r="N100" s="37" t="n">
        <f aca="false">IFERROR(1/M100,"")</f>
        <v>1.49692353530314</v>
      </c>
      <c r="O100" s="36" t="n">
        <v>0.806825386406361</v>
      </c>
      <c r="P100" s="37" t="n">
        <f aca="false">IFERROR(1/O100,"")</f>
        <v>1.2394255521062</v>
      </c>
      <c r="Q100" s="36" t="n">
        <v>0.46790063211765</v>
      </c>
      <c r="R100" s="37" t="n">
        <f aca="false">IFERROR(1/Q100,"")</f>
        <v>2.13720591800474</v>
      </c>
      <c r="S100" s="36" t="n">
        <v>0.606689224114541</v>
      </c>
      <c r="T100" s="37" t="n">
        <f aca="false">IFERROR(1/S100,"")</f>
        <v>1.64829036061996</v>
      </c>
      <c r="U100" s="36" t="n">
        <v>0.677908424786982</v>
      </c>
      <c r="V100" s="37" t="n">
        <f aca="false">IFERROR(1/U100,"")</f>
        <v>1.47512549399903</v>
      </c>
      <c r="W100" s="36" t="n">
        <v>0.355160279256599</v>
      </c>
      <c r="X100" s="37" t="n">
        <f aca="false">IFERROR(1/W100,"")</f>
        <v>2.81563017715028</v>
      </c>
      <c r="Y100" s="36" t="n">
        <v>0.426379479929039</v>
      </c>
      <c r="Z100" s="37" t="n">
        <f aca="false">IFERROR(1/Y100,"")</f>
        <v>2.34532862643021</v>
      </c>
      <c r="AA100" s="36" t="n">
        <v>0.45683451992574</v>
      </c>
      <c r="AB100" s="37" t="n">
        <f aca="false">IFERROR(1/AA100,"")</f>
        <v>2.18897643760054</v>
      </c>
    </row>
    <row r="101" customFormat="false" ht="18.75" hidden="false" customHeight="true" outlineLevel="0" collapsed="false">
      <c r="A101" s="42" t="n">
        <v>38</v>
      </c>
      <c r="B101" s="40" t="n">
        <v>46358</v>
      </c>
      <c r="C101" s="41" t="s">
        <v>91</v>
      </c>
      <c r="D101" s="41" t="s">
        <v>98</v>
      </c>
      <c r="E101" s="43" t="n">
        <v>0.309179664140849</v>
      </c>
      <c r="F101" s="44" t="n">
        <f aca="false">IFERROR(1/E101,"")</f>
        <v>3.2343653738638</v>
      </c>
      <c r="G101" s="43" t="n">
        <v>0.568768801167328</v>
      </c>
      <c r="H101" s="44" t="n">
        <f aca="false">IFERROR(1/G101,"")</f>
        <v>1.75818363796963</v>
      </c>
      <c r="I101" s="43" t="n">
        <v>0.777970446057472</v>
      </c>
      <c r="J101" s="44" t="n">
        <f aca="false">IFERROR(1/I101,"")</f>
        <v>1.28539587212819</v>
      </c>
      <c r="K101" s="43" t="n">
        <v>0.479898100038566</v>
      </c>
      <c r="L101" s="44" t="n">
        <f aca="false">IFERROR(1/K101,"")</f>
        <v>2.08377570138252</v>
      </c>
      <c r="M101" s="43" t="n">
        <v>0.68909974492871</v>
      </c>
      <c r="N101" s="44" t="n">
        <f aca="false">IFERROR(1/M101,"")</f>
        <v>1.45116872754532</v>
      </c>
      <c r="O101" s="43" t="n">
        <v>0.814808965642173</v>
      </c>
      <c r="P101" s="44" t="n">
        <f aca="false">IFERROR(1/O101,"")</f>
        <v>1.22728153735014</v>
      </c>
      <c r="Q101" s="43" t="n">
        <v>0.468790781916623</v>
      </c>
      <c r="R101" s="44" t="n">
        <f aca="false">IFERROR(1/Q101,"")</f>
        <v>2.13314774644578</v>
      </c>
      <c r="S101" s="43" t="n">
        <v>0.594500002630086</v>
      </c>
      <c r="T101" s="44" t="n">
        <f aca="false">IFERROR(1/S101,"")</f>
        <v>1.68208577893351</v>
      </c>
      <c r="U101" s="43" t="n">
        <v>0.654930916280634</v>
      </c>
      <c r="V101" s="44" t="n">
        <f aca="false">IFERROR(1/U101,"")</f>
        <v>1.52687859916435</v>
      </c>
      <c r="W101" s="43" t="n">
        <v>0.334910865603607</v>
      </c>
      <c r="X101" s="44" t="n">
        <f aca="false">IFERROR(1/W101,"")</f>
        <v>2.98586908548849</v>
      </c>
      <c r="Y101" s="43" t="n">
        <v>0.395341779254155</v>
      </c>
      <c r="Z101" s="44" t="n">
        <f aca="false">IFERROR(1/Y101,"")</f>
        <v>2.5294569217718</v>
      </c>
      <c r="AA101" s="43" t="n">
        <v>0.419550394076478</v>
      </c>
      <c r="AB101" s="44" t="n">
        <f aca="false">IFERROR(1/AA101,"")</f>
        <v>2.38350389874193</v>
      </c>
    </row>
    <row r="102" customFormat="false" ht="18.75" hidden="false" customHeight="true" outlineLevel="0" collapsed="false">
      <c r="A102" s="35" t="n">
        <v>38</v>
      </c>
      <c r="B102" s="33" t="n">
        <v>46358</v>
      </c>
      <c r="C102" s="34" t="s">
        <v>96</v>
      </c>
      <c r="D102" s="34" t="s">
        <v>100</v>
      </c>
      <c r="E102" s="36" t="n">
        <v>0.336129836337914</v>
      </c>
      <c r="F102" s="37" t="n">
        <f aca="false">IFERROR(1/E102,"")</f>
        <v>2.97504086782314</v>
      </c>
      <c r="G102" s="36" t="n">
        <v>0.600394081443094</v>
      </c>
      <c r="H102" s="37" t="n">
        <f aca="false">IFERROR(1/G102,"")</f>
        <v>1.66557271450182</v>
      </c>
      <c r="I102" s="36" t="n">
        <v>0.802674272547007</v>
      </c>
      <c r="J102" s="37" t="n">
        <f aca="false">IFERROR(1/I102,"")</f>
        <v>1.2458353708371</v>
      </c>
      <c r="K102" s="36" t="n">
        <v>0.499951798365597</v>
      </c>
      <c r="L102" s="37" t="n">
        <f aca="false">IFERROR(1/K102,"")</f>
        <v>2.00019282512659</v>
      </c>
      <c r="M102" s="36" t="n">
        <v>0.70223198946951</v>
      </c>
      <c r="N102" s="37" t="n">
        <f aca="false">IFERROR(1/M102,"")</f>
        <v>1.42403082598877</v>
      </c>
      <c r="O102" s="36" t="n">
        <v>0.817713471977819</v>
      </c>
      <c r="P102" s="37" t="n">
        <f aca="false">IFERROR(1/O102,"")</f>
        <v>1.22292225121506</v>
      </c>
      <c r="Q102" s="36" t="n">
        <v>0.466544436209093</v>
      </c>
      <c r="R102" s="37" t="n">
        <f aca="false">IFERROR(1/Q102,"")</f>
        <v>2.14341855220802</v>
      </c>
      <c r="S102" s="36" t="n">
        <v>0.582025918717402</v>
      </c>
      <c r="T102" s="37" t="n">
        <f aca="false">IFERROR(1/S102,"")</f>
        <v>1.71813654313485</v>
      </c>
      <c r="U102" s="36" t="n">
        <v>0.634768494169947</v>
      </c>
      <c r="V102" s="37" t="n">
        <f aca="false">IFERROR(1/U102,"")</f>
        <v>1.57537749460557</v>
      </c>
      <c r="W102" s="36" t="n">
        <v>0.317761673612222</v>
      </c>
      <c r="X102" s="37" t="n">
        <f aca="false">IFERROR(1/W102,"")</f>
        <v>3.14701262940962</v>
      </c>
      <c r="Y102" s="36" t="n">
        <v>0.370504249064768</v>
      </c>
      <c r="Z102" s="37" t="n">
        <f aca="false">IFERROR(1/Y102,"")</f>
        <v>2.69902437697871</v>
      </c>
      <c r="AA102" s="36" t="n">
        <v>0.390578024855094</v>
      </c>
      <c r="AB102" s="37" t="n">
        <f aca="false">IFERROR(1/AA102,"")</f>
        <v>2.56030789333579</v>
      </c>
    </row>
    <row r="103" customFormat="false" ht="18.75" hidden="false" customHeight="true" outlineLevel="0" collapsed="false">
      <c r="A103" s="42" t="n">
        <v>38</v>
      </c>
      <c r="B103" s="40" t="n">
        <v>46358</v>
      </c>
      <c r="C103" s="41" t="s">
        <v>8</v>
      </c>
      <c r="D103" s="41" t="s">
        <v>83</v>
      </c>
      <c r="E103" s="43" t="n">
        <v>0.130877979910651</v>
      </c>
      <c r="F103" s="44" t="n">
        <f aca="false">IFERROR(1/E103,"")</f>
        <v>7.64070472880685</v>
      </c>
      <c r="G103" s="43" t="n">
        <v>0.310927170255904</v>
      </c>
      <c r="H103" s="44" t="n">
        <f aca="false">IFERROR(1/G103,"")</f>
        <v>3.21618724789141</v>
      </c>
      <c r="I103" s="43" t="n">
        <v>0.525006080692295</v>
      </c>
      <c r="J103" s="44" t="n">
        <f aca="false">IFERROR(1/I103,"")</f>
        <v>1.90473984354878</v>
      </c>
      <c r="K103" s="43" t="n">
        <v>0.282954845614277</v>
      </c>
      <c r="L103" s="44" t="n">
        <f aca="false">IFERROR(1/K103,"")</f>
        <v>3.53413279715732</v>
      </c>
      <c r="M103" s="43" t="n">
        <v>0.497033756050668</v>
      </c>
      <c r="N103" s="44" t="n">
        <f aca="false">IFERROR(1/M103,"")</f>
        <v>2.0119357846956</v>
      </c>
      <c r="O103" s="43" t="n">
        <v>0.687278258510865</v>
      </c>
      <c r="P103" s="44" t="n">
        <f aca="false">IFERROR(1/O103,"")</f>
        <v>1.45501474492546</v>
      </c>
      <c r="Q103" s="43" t="n">
        <v>0.394128100781644</v>
      </c>
      <c r="R103" s="44" t="n">
        <f aca="false">IFERROR(1/Q103,"")</f>
        <v>2.53724613397719</v>
      </c>
      <c r="S103" s="43" t="n">
        <v>0.584372603241841</v>
      </c>
      <c r="T103" s="44" t="n">
        <f aca="false">IFERROR(1/S103,"")</f>
        <v>1.71123696499877</v>
      </c>
      <c r="U103" s="43" t="n">
        <v>0.719623555865057</v>
      </c>
      <c r="V103" s="44" t="n">
        <f aca="false">IFERROR(1/U103,"")</f>
        <v>1.3896154341389</v>
      </c>
      <c r="W103" s="43" t="n">
        <v>0.404323412896588</v>
      </c>
      <c r="X103" s="44" t="n">
        <f aca="false">IFERROR(1/W103,"")</f>
        <v>2.47326760732445</v>
      </c>
      <c r="Y103" s="43" t="n">
        <v>0.539574365519804</v>
      </c>
      <c r="Z103" s="44" t="n">
        <f aca="false">IFERROR(1/Y103,"")</f>
        <v>1.85331265512705</v>
      </c>
      <c r="AA103" s="43" t="n">
        <v>0.619702919165811</v>
      </c>
      <c r="AB103" s="44" t="n">
        <f aca="false">IFERROR(1/AA103,"")</f>
        <v>1.6136764392624</v>
      </c>
    </row>
    <row r="104" customFormat="false" ht="18.75" hidden="false" customHeight="true" outlineLevel="0" collapsed="false">
      <c r="A104" s="35" t="n">
        <v>38</v>
      </c>
      <c r="B104" s="33" t="n">
        <v>46358</v>
      </c>
      <c r="C104" s="34" t="s">
        <v>105</v>
      </c>
      <c r="D104" s="34" t="s">
        <v>95</v>
      </c>
      <c r="E104" s="36" t="n">
        <v>0.250757360172482</v>
      </c>
      <c r="F104" s="37" t="n">
        <f aca="false">IFERROR(1/E104,"")</f>
        <v>3.98791883640886</v>
      </c>
      <c r="G104" s="36" t="n">
        <v>0.494527064446571</v>
      </c>
      <c r="H104" s="37" t="n">
        <f aca="false">IFERROR(1/G104,"")</f>
        <v>2.02213401832538</v>
      </c>
      <c r="I104" s="36" t="n">
        <v>0.714904081876872</v>
      </c>
      <c r="J104" s="37" t="n">
        <f aca="false">IFERROR(1/I104,"")</f>
        <v>1.39878904786031</v>
      </c>
      <c r="K104" s="36" t="n">
        <v>0.428501626870533</v>
      </c>
      <c r="L104" s="37" t="n">
        <f aca="false">IFERROR(1/K104,"")</f>
        <v>2.33371342672204</v>
      </c>
      <c r="M104" s="36" t="n">
        <v>0.648878644300834</v>
      </c>
      <c r="N104" s="37" t="n">
        <f aca="false">IFERROR(1/M104,"")</f>
        <v>1.54112022145142</v>
      </c>
      <c r="O104" s="36" t="n">
        <v>0.797430291633234</v>
      </c>
      <c r="P104" s="37" t="n">
        <f aca="false">IFERROR(1/O104,"")</f>
        <v>1.2540281081521</v>
      </c>
      <c r="Q104" s="36" t="n">
        <v>0.46414672170439</v>
      </c>
      <c r="R104" s="37" t="n">
        <f aca="false">IFERROR(1/Q104,"")</f>
        <v>2.15449114092179</v>
      </c>
      <c r="S104" s="36" t="n">
        <v>0.61269836903679</v>
      </c>
      <c r="T104" s="37" t="n">
        <f aca="false">IFERROR(1/S104,"")</f>
        <v>1.63212446863875</v>
      </c>
      <c r="U104" s="36" t="n">
        <v>0.692806874660427</v>
      </c>
      <c r="V104" s="37" t="n">
        <f aca="false">IFERROR(1/U104,"")</f>
        <v>1.44340369094943</v>
      </c>
      <c r="W104" s="36" t="n">
        <v>0.368928664762701</v>
      </c>
      <c r="X104" s="37" t="n">
        <f aca="false">IFERROR(1/W104,"")</f>
        <v>2.71055110516612</v>
      </c>
      <c r="Y104" s="36" t="n">
        <v>0.449037170386339</v>
      </c>
      <c r="Z104" s="37" t="n">
        <f aca="false">IFERROR(1/Y104,"")</f>
        <v>2.22698713146537</v>
      </c>
      <c r="AA104" s="36" t="n">
        <v>0.485036842265287</v>
      </c>
      <c r="AB104" s="37" t="n">
        <f aca="false">IFERROR(1/AA104,"")</f>
        <v>2.06169905636376</v>
      </c>
    </row>
    <row r="105" customFormat="false" ht="18.75" hidden="false" customHeight="true" outlineLevel="0" collapsed="false">
      <c r="A105" s="42" t="n">
        <v>38</v>
      </c>
      <c r="B105" s="40" t="n">
        <v>46358</v>
      </c>
      <c r="C105" s="41" t="s">
        <v>102</v>
      </c>
      <c r="D105" s="41" t="s">
        <v>99</v>
      </c>
      <c r="E105" s="43" t="n">
        <v>0.18135427151663</v>
      </c>
      <c r="F105" s="44" t="n">
        <f aca="false">IFERROR(1/E105,"")</f>
        <v>5.51406918423922</v>
      </c>
      <c r="G105" s="43" t="n">
        <v>0.394630457627446</v>
      </c>
      <c r="H105" s="44" t="n">
        <f aca="false">IFERROR(1/G105,"")</f>
        <v>2.53401626932723</v>
      </c>
      <c r="I105" s="43" t="n">
        <v>0.61806738915015</v>
      </c>
      <c r="J105" s="44" t="n">
        <f aca="false">IFERROR(1/I105,"")</f>
        <v>1.61794655009224</v>
      </c>
      <c r="K105" s="43" t="n">
        <v>0.351780099306364</v>
      </c>
      <c r="L105" s="44" t="n">
        <f aca="false">IFERROR(1/K105,"")</f>
        <v>2.8426849670342</v>
      </c>
      <c r="M105" s="43" t="n">
        <v>0.575217030829068</v>
      </c>
      <c r="N105" s="44" t="n">
        <f aca="false">IFERROR(1/M105,"")</f>
        <v>1.73847425650574</v>
      </c>
      <c r="O105" s="43" t="n">
        <v>0.750081023408082</v>
      </c>
      <c r="P105" s="44" t="n">
        <f aca="false">IFERROR(1/O105,"")</f>
        <v>1.33318930727827</v>
      </c>
      <c r="Q105" s="43" t="n">
        <v>0.43671311763352</v>
      </c>
      <c r="R105" s="44" t="n">
        <f aca="false">IFERROR(1/Q105,"")</f>
        <v>2.28983275203375</v>
      </c>
      <c r="S105" s="43" t="n">
        <v>0.611577110212535</v>
      </c>
      <c r="T105" s="44" t="n">
        <f aca="false">IFERROR(1/S105,"")</f>
        <v>1.63511678789365</v>
      </c>
      <c r="U105" s="43" t="n">
        <v>0.721057367365338</v>
      </c>
      <c r="V105" s="44" t="n">
        <f aca="false">IFERROR(1/U105,"")</f>
        <v>1.38685220519123</v>
      </c>
      <c r="W105" s="43" t="n">
        <v>0.398300924101718</v>
      </c>
      <c r="X105" s="44" t="n">
        <f aca="false">IFERROR(1/W105,"")</f>
        <v>2.5106645239533</v>
      </c>
      <c r="Y105" s="43" t="n">
        <v>0.507781181254521</v>
      </c>
      <c r="Z105" s="44" t="n">
        <f aca="false">IFERROR(1/Y105,"")</f>
        <v>1.96935222673949</v>
      </c>
      <c r="AA105" s="43" t="n">
        <v>0.564901415717257</v>
      </c>
      <c r="AB105" s="44" t="n">
        <f aca="false">IFERROR(1/AA105,"")</f>
        <v>1.7702203821357</v>
      </c>
    </row>
    <row r="106" customFormat="false" ht="18.75" hidden="false" customHeight="true" outlineLevel="0" collapsed="false">
      <c r="A106" s="35" t="n">
        <v>38</v>
      </c>
      <c r="B106" s="33" t="n">
        <v>46358</v>
      </c>
      <c r="C106" s="34" t="s">
        <v>104</v>
      </c>
      <c r="D106" s="34" t="s">
        <v>101</v>
      </c>
      <c r="E106" s="36" t="n">
        <v>0.29102972802717</v>
      </c>
      <c r="F106" s="37" t="n">
        <f aca="false">IFERROR(1/E106,"")</f>
        <v>3.43607509369848</v>
      </c>
      <c r="G106" s="36" t="n">
        <v>0.54658570896727</v>
      </c>
      <c r="H106" s="37" t="n">
        <f aca="false">IFERROR(1/G106,"")</f>
        <v>1.82953923528191</v>
      </c>
      <c r="I106" s="36" t="n">
        <v>0.759881691409893</v>
      </c>
      <c r="J106" s="37" t="n">
        <f aca="false">IFERROR(1/I106,"")</f>
        <v>1.31599433346603</v>
      </c>
      <c r="K106" s="36" t="n">
        <v>0.465119027597924</v>
      </c>
      <c r="L106" s="37" t="n">
        <f aca="false">IFERROR(1/K106,"")</f>
        <v>2.14998729500367</v>
      </c>
      <c r="M106" s="36" t="n">
        <v>0.678415010040547</v>
      </c>
      <c r="N106" s="37" t="n">
        <f aca="false">IFERROR(1/M106,"")</f>
        <v>1.47402399003559</v>
      </c>
      <c r="O106" s="36" t="n">
        <v>0.811149276407833</v>
      </c>
      <c r="P106" s="37" t="n">
        <f aca="false">IFERROR(1/O106,"")</f>
        <v>1.23281870438015</v>
      </c>
      <c r="Q106" s="36" t="n">
        <v>0.468851963382723</v>
      </c>
      <c r="R106" s="37" t="n">
        <f aca="false">IFERROR(1/Q106,"")</f>
        <v>2.13286938756765</v>
      </c>
      <c r="S106" s="36" t="n">
        <v>0.601586229750009</v>
      </c>
      <c r="T106" s="37" t="n">
        <f aca="false">IFERROR(1/S106,"")</f>
        <v>1.66227209092793</v>
      </c>
      <c r="U106" s="36" t="n">
        <v>0.667666744783812</v>
      </c>
      <c r="V106" s="37" t="n">
        <f aca="false">IFERROR(1/U106,"")</f>
        <v>1.49775319470763</v>
      </c>
      <c r="W106" s="36" t="n">
        <v>0.346030248809909</v>
      </c>
      <c r="X106" s="37" t="n">
        <f aca="false">IFERROR(1/W106,"")</f>
        <v>2.88992076108741</v>
      </c>
      <c r="Y106" s="36" t="n">
        <v>0.412110763843712</v>
      </c>
      <c r="Z106" s="37" t="n">
        <f aca="false">IFERROR(1/Y106,"")</f>
        <v>2.42653210674021</v>
      </c>
      <c r="AA106" s="36" t="n">
        <v>0.439525403299923</v>
      </c>
      <c r="AB106" s="37" t="n">
        <f aca="false">IFERROR(1/AA106,"")</f>
        <v>2.27518134900071</v>
      </c>
    </row>
    <row r="107" customFormat="false" ht="18.75" hidden="false" customHeight="true" outlineLevel="0" collapsed="false">
      <c r="A107" s="42" t="n">
        <v>38</v>
      </c>
      <c r="B107" s="40" t="n">
        <v>46358</v>
      </c>
      <c r="C107" s="41" t="s">
        <v>88</v>
      </c>
      <c r="D107" s="41" t="s">
        <v>93</v>
      </c>
      <c r="E107" s="43" t="n">
        <v>0.267456356869179</v>
      </c>
      <c r="F107" s="44" t="n">
        <f aca="false">IFERROR(1/E107,"")</f>
        <v>3.73892777014506</v>
      </c>
      <c r="G107" s="43" t="n">
        <v>0.516611162855472</v>
      </c>
      <c r="H107" s="44" t="n">
        <f aca="false">IFERROR(1/G107,"")</f>
        <v>1.93569181601243</v>
      </c>
      <c r="I107" s="43" t="n">
        <v>0.734423578508063</v>
      </c>
      <c r="J107" s="44" t="n">
        <f aca="false">IFERROR(1/I107,"")</f>
        <v>1.36161205776024</v>
      </c>
      <c r="K107" s="43" t="n">
        <v>0.444342454615296</v>
      </c>
      <c r="L107" s="44" t="n">
        <f aca="false">IFERROR(1/K107,"")</f>
        <v>2.25051644202169</v>
      </c>
      <c r="M107" s="43" t="n">
        <v>0.662154870267888</v>
      </c>
      <c r="N107" s="44" t="n">
        <f aca="false">IFERROR(1/M107,"")</f>
        <v>1.51022071255842</v>
      </c>
      <c r="O107" s="43" t="n">
        <v>0.804127731053426</v>
      </c>
      <c r="P107" s="44" t="n">
        <f aca="false">IFERROR(1/O107,"")</f>
        <v>1.24358352707222</v>
      </c>
      <c r="Q107" s="43" t="n">
        <v>0.466967221638885</v>
      </c>
      <c r="R107" s="44" t="n">
        <f aca="false">IFERROR(1/Q107,"")</f>
        <v>2.14147793177081</v>
      </c>
      <c r="S107" s="43" t="n">
        <v>0.608940082424423</v>
      </c>
      <c r="T107" s="44" t="n">
        <f aca="false">IFERROR(1/S107,"")</f>
        <v>1.64219769540973</v>
      </c>
      <c r="U107" s="43" t="n">
        <v>0.682971833605325</v>
      </c>
      <c r="V107" s="44" t="n">
        <f aca="false">IFERROR(1/U107,"")</f>
        <v>1.4641892253757</v>
      </c>
      <c r="W107" s="43" t="n">
        <v>0.35978527643813</v>
      </c>
      <c r="X107" s="44" t="n">
        <f aca="false">IFERROR(1/W107,"")</f>
        <v>2.77943558419063</v>
      </c>
      <c r="Y107" s="43" t="n">
        <v>0.433817027619031</v>
      </c>
      <c r="Z107" s="44" t="n">
        <f aca="false">IFERROR(1/Y107,"")</f>
        <v>2.30511929300797</v>
      </c>
      <c r="AA107" s="43" t="n">
        <v>0.465986909434155</v>
      </c>
      <c r="AB107" s="44" t="n">
        <f aca="false">IFERROR(1/AA107,"")</f>
        <v>2.14598303032652</v>
      </c>
    </row>
    <row r="108" customFormat="false" ht="18.75" hidden="false" customHeight="true" outlineLevel="0" collapsed="false">
      <c r="A108" s="35" t="n">
        <v>38</v>
      </c>
      <c r="B108" s="33" t="n">
        <v>46358</v>
      </c>
      <c r="C108" s="34" t="s">
        <v>84</v>
      </c>
      <c r="D108" s="34" t="s">
        <v>106</v>
      </c>
      <c r="E108" s="36" t="n">
        <v>0.262310362525413</v>
      </c>
      <c r="F108" s="37" t="n">
        <f aca="false">IFERROR(1/E108,"")</f>
        <v>3.81227790763744</v>
      </c>
      <c r="G108" s="36" t="n">
        <v>0.509974483028939</v>
      </c>
      <c r="H108" s="37" t="n">
        <f aca="false">IFERROR(1/G108,"")</f>
        <v>1.96088242309813</v>
      </c>
      <c r="I108" s="36" t="n">
        <v>0.728626629749443</v>
      </c>
      <c r="J108" s="37" t="n">
        <f aca="false">IFERROR(1/I108,"")</f>
        <v>1.37244503449438</v>
      </c>
      <c r="K108" s="36" t="n">
        <v>0.439558092985278</v>
      </c>
      <c r="L108" s="37" t="n">
        <f aca="false">IFERROR(1/K108,"")</f>
        <v>2.2750121450579</v>
      </c>
      <c r="M108" s="36" t="n">
        <v>0.658210239705783</v>
      </c>
      <c r="N108" s="37" t="n">
        <f aca="false">IFERROR(1/M108,"")</f>
        <v>1.51927141158879</v>
      </c>
      <c r="O108" s="36" t="n">
        <v>0.802182588236568</v>
      </c>
      <c r="P108" s="37" t="n">
        <f aca="false">IFERROR(1/O108,"")</f>
        <v>1.24659898465048</v>
      </c>
      <c r="Q108" s="36" t="n">
        <v>0.46631626722403</v>
      </c>
      <c r="R108" s="37" t="n">
        <f aca="false">IFERROR(1/Q108,"")</f>
        <v>2.14446732890743</v>
      </c>
      <c r="S108" s="36" t="n">
        <v>0.610288615754816</v>
      </c>
      <c r="T108" s="37" t="n">
        <f aca="false">IFERROR(1/S108,"")</f>
        <v>1.63856898881062</v>
      </c>
      <c r="U108" s="36" t="n">
        <v>0.686127933876731</v>
      </c>
      <c r="V108" s="37" t="n">
        <f aca="false">IFERROR(1/U108,"")</f>
        <v>1.45745414320889</v>
      </c>
      <c r="W108" s="36" t="n">
        <v>0.36262449525129</v>
      </c>
      <c r="X108" s="37" t="n">
        <f aca="false">IFERROR(1/W108,"")</f>
        <v>2.7576736075345</v>
      </c>
      <c r="Y108" s="36" t="n">
        <v>0.438463813373205</v>
      </c>
      <c r="Z108" s="37" t="n">
        <f aca="false">IFERROR(1/Y108,"")</f>
        <v>2.28068992126572</v>
      </c>
      <c r="AA108" s="36" t="n">
        <v>0.471754940870321</v>
      </c>
      <c r="AB108" s="37" t="n">
        <f aca="false">IFERROR(1/AA108,"")</f>
        <v>2.1197446245187</v>
      </c>
    </row>
  </sheetData>
  <autoFilter ref="A5:AB108"/>
  <mergeCells count="14">
    <mergeCell ref="A2:AB2"/>
    <mergeCell ref="A4:D4"/>
    <mergeCell ref="E4:F4"/>
    <mergeCell ref="G4:H4"/>
    <mergeCell ref="I4:J4"/>
    <mergeCell ref="K4:L4"/>
    <mergeCell ref="M4:N4"/>
    <mergeCell ref="O4:P4"/>
    <mergeCell ref="Q4:R4"/>
    <mergeCell ref="S4:T4"/>
    <mergeCell ref="U4:V4"/>
    <mergeCell ref="W4:X4"/>
    <mergeCell ref="Y4:Z4"/>
    <mergeCell ref="AA4:AB4"/>
  </mergeCells>
  <conditionalFormatting sqref="E6:E108">
    <cfRule type="colorScale" priority="2">
      <colorScale>
        <cfvo type="num" val="0"/>
        <cfvo type="num" val="1"/>
        <color rgb="FFFFFFFF"/>
        <color rgb="FF9EC5F4"/>
      </colorScale>
    </cfRule>
  </conditionalFormatting>
  <conditionalFormatting sqref="G6:G108">
    <cfRule type="colorScale" priority="3">
      <colorScale>
        <cfvo type="num" val="0"/>
        <cfvo type="num" val="1"/>
        <color rgb="FFFFFFFF"/>
        <color rgb="FF9EC5F4"/>
      </colorScale>
    </cfRule>
  </conditionalFormatting>
  <conditionalFormatting sqref="I6:I108">
    <cfRule type="colorScale" priority="4">
      <colorScale>
        <cfvo type="num" val="0"/>
        <cfvo type="num" val="1"/>
        <color rgb="FFFFFFFF"/>
        <color rgb="FF9EC5F4"/>
      </colorScale>
    </cfRule>
  </conditionalFormatting>
  <conditionalFormatting sqref="K6:K108">
    <cfRule type="colorScale" priority="5">
      <colorScale>
        <cfvo type="num" val="0"/>
        <cfvo type="num" val="1"/>
        <color rgb="FFFFFFFF"/>
        <color rgb="FF9EC5F4"/>
      </colorScale>
    </cfRule>
  </conditionalFormatting>
  <conditionalFormatting sqref="M6:M108">
    <cfRule type="colorScale" priority="6">
      <colorScale>
        <cfvo type="num" val="0"/>
        <cfvo type="num" val="1"/>
        <color rgb="FFFFFFFF"/>
        <color rgb="FF9EC5F4"/>
      </colorScale>
    </cfRule>
  </conditionalFormatting>
  <conditionalFormatting sqref="O6:O108">
    <cfRule type="colorScale" priority="7">
      <colorScale>
        <cfvo type="num" val="0"/>
        <cfvo type="num" val="1"/>
        <color rgb="FFFFFFFF"/>
        <color rgb="FF9EC5F4"/>
      </colorScale>
    </cfRule>
  </conditionalFormatting>
  <conditionalFormatting sqref="Q6:Q108">
    <cfRule type="colorScale" priority="8">
      <colorScale>
        <cfvo type="num" val="0"/>
        <cfvo type="num" val="1"/>
        <color rgb="FFFFFFFF"/>
        <color rgb="FF9EC5F4"/>
      </colorScale>
    </cfRule>
  </conditionalFormatting>
  <conditionalFormatting sqref="S6:S108">
    <cfRule type="colorScale" priority="9">
      <colorScale>
        <cfvo type="num" val="0"/>
        <cfvo type="num" val="1"/>
        <color rgb="FFFFFFFF"/>
        <color rgb="FF9EC5F4"/>
      </colorScale>
    </cfRule>
  </conditionalFormatting>
  <conditionalFormatting sqref="U6:U108">
    <cfRule type="colorScale" priority="10">
      <colorScale>
        <cfvo type="num" val="0"/>
        <cfvo type="num" val="1"/>
        <color rgb="FFFFFFFF"/>
        <color rgb="FF9EC5F4"/>
      </colorScale>
    </cfRule>
  </conditionalFormatting>
  <conditionalFormatting sqref="W6:W108">
    <cfRule type="colorScale" priority="11">
      <colorScale>
        <cfvo type="num" val="0"/>
        <cfvo type="num" val="1"/>
        <color rgb="FFFFFFFF"/>
        <color rgb="FF9EC5F4"/>
      </colorScale>
    </cfRule>
  </conditionalFormatting>
  <conditionalFormatting sqref="Y6:Y108">
    <cfRule type="colorScale" priority="12">
      <colorScale>
        <cfvo type="num" val="0"/>
        <cfvo type="num" val="1"/>
        <color rgb="FFFFFFFF"/>
        <color rgb="FF9EC5F4"/>
      </colorScale>
    </cfRule>
  </conditionalFormatting>
  <conditionalFormatting sqref="AA6:AA108">
    <cfRule type="colorScale" priority="13">
      <colorScale>
        <cfvo type="num" val="0"/>
        <cfvo type="num" val="1"/>
        <color rgb="FFFFFFFF"/>
        <color rgb="FF9EC5F4"/>
      </colorScale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501F"/>
    <pageSetUpPr fitToPage="true"/>
  </sheetPr>
  <dimension ref="A1:L1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4" min="3" style="0" width="18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7" min="7" style="0" width="8"/>
    <col collapsed="false" customWidth="true" hidden="false" outlineLevel="0" max="8" min="8" style="0" width="9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8"/>
    <col collapsed="false" customWidth="true" hidden="false" outlineLevel="0" max="12" min="12" style="0" width="9"/>
  </cols>
  <sheetData>
    <row r="1" customFormat="false" ht="30" hidden="false" customHeight="true" outlineLevel="0" collapsed="false">
      <c r="A1" s="23" t="s">
        <v>326</v>
      </c>
    </row>
    <row r="2" customFormat="false" ht="15.75" hidden="false" customHeight="true" outlineLevel="0" collapsed="false">
      <c r="A2" s="24" t="s">
        <v>327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</row>
    <row r="4" customFormat="false" ht="19.5" hidden="false" customHeight="true" outlineLevel="0" collapsed="false">
      <c r="A4" s="25" t="s">
        <v>60</v>
      </c>
      <c r="B4" s="25"/>
      <c r="C4" s="25"/>
      <c r="D4" s="25"/>
      <c r="E4" s="28" t="s">
        <v>80</v>
      </c>
      <c r="F4" s="28"/>
      <c r="G4" s="65" t="s">
        <v>328</v>
      </c>
      <c r="H4" s="65"/>
      <c r="I4" s="28" t="s">
        <v>329</v>
      </c>
      <c r="J4" s="28"/>
      <c r="K4" s="65" t="s">
        <v>330</v>
      </c>
      <c r="L4" s="65"/>
    </row>
    <row r="5" customFormat="false" ht="27.75" hidden="false" customHeight="true" outlineLevel="0" collapsed="false">
      <c r="A5" s="31" t="s">
        <v>67</v>
      </c>
      <c r="B5" s="31" t="s">
        <v>68</v>
      </c>
      <c r="C5" s="31" t="s">
        <v>69</v>
      </c>
      <c r="D5" s="31" t="s">
        <v>70</v>
      </c>
      <c r="E5" s="31" t="s">
        <v>137</v>
      </c>
      <c r="F5" s="31" t="s">
        <v>138</v>
      </c>
      <c r="G5" s="31" t="s">
        <v>137</v>
      </c>
      <c r="H5" s="31" t="s">
        <v>138</v>
      </c>
      <c r="I5" s="31" t="s">
        <v>137</v>
      </c>
      <c r="J5" s="31" t="s">
        <v>138</v>
      </c>
      <c r="K5" s="31" t="s">
        <v>137</v>
      </c>
      <c r="L5" s="31" t="s">
        <v>138</v>
      </c>
    </row>
    <row r="6" customFormat="false" ht="18.75" hidden="false" customHeight="true" outlineLevel="0" collapsed="false">
      <c r="A6" s="35" t="n">
        <v>21</v>
      </c>
      <c r="B6" s="33" t="n">
        <v>46233</v>
      </c>
      <c r="C6" s="34" t="s">
        <v>83</v>
      </c>
      <c r="D6" s="34" t="s">
        <v>84</v>
      </c>
      <c r="E6" s="36" t="n">
        <v>0.569578573025788</v>
      </c>
      <c r="F6" s="37" t="n">
        <f aca="false">IFERROR(1/E6,"")</f>
        <v>1.75568402211423</v>
      </c>
      <c r="G6" s="36" t="n">
        <v>0.430421426974213</v>
      </c>
      <c r="H6" s="37" t="n">
        <f aca="false">IFERROR(1/G6,"")</f>
        <v>2.32330441128321</v>
      </c>
      <c r="I6" s="36" t="n">
        <v>0.744115924766535</v>
      </c>
      <c r="J6" s="37" t="n">
        <f aca="false">IFERROR(1/I6,"")</f>
        <v>1.3438766282468</v>
      </c>
      <c r="K6" s="36" t="n">
        <v>0.767311092783945</v>
      </c>
      <c r="L6" s="37" t="n">
        <f aca="false">IFERROR(1/K6,"")</f>
        <v>1.303252369742</v>
      </c>
    </row>
    <row r="7" customFormat="false" ht="18.75" hidden="false" customHeight="true" outlineLevel="0" collapsed="false">
      <c r="A7" s="42" t="n">
        <v>21</v>
      </c>
      <c r="B7" s="40" t="n">
        <v>46297</v>
      </c>
      <c r="C7" s="41" t="s">
        <v>87</v>
      </c>
      <c r="D7" s="41" t="s">
        <v>88</v>
      </c>
      <c r="E7" s="43" t="n">
        <v>0.470377121587554</v>
      </c>
      <c r="F7" s="44" t="n">
        <f aca="false">IFERROR(1/E7,"")</f>
        <v>2.12595373819401</v>
      </c>
      <c r="G7" s="43" t="n">
        <v>0.529622878412446</v>
      </c>
      <c r="H7" s="44" t="n">
        <f aca="false">IFERROR(1/G7,"")</f>
        <v>1.88813595628179</v>
      </c>
      <c r="I7" s="43" t="n">
        <v>0.775842547712852</v>
      </c>
      <c r="J7" s="44" t="n">
        <f aca="false">IFERROR(1/I7,"")</f>
        <v>1.28892131908459</v>
      </c>
      <c r="K7" s="43" t="n">
        <v>0.608142062923277</v>
      </c>
      <c r="L7" s="44" t="n">
        <f aca="false">IFERROR(1/K7,"")</f>
        <v>1.64435262904378</v>
      </c>
    </row>
    <row r="8" customFormat="false" ht="18.75" hidden="false" customHeight="true" outlineLevel="0" collapsed="false">
      <c r="A8" s="35" t="n">
        <v>21</v>
      </c>
      <c r="B8" s="33" t="n">
        <v>46298</v>
      </c>
      <c r="C8" s="34" t="s">
        <v>90</v>
      </c>
      <c r="D8" s="34" t="s">
        <v>91</v>
      </c>
      <c r="E8" s="36" t="n">
        <v>0.482947349799624</v>
      </c>
      <c r="F8" s="37" t="n">
        <f aca="false">IFERROR(1/E8,"")</f>
        <v>2.07061908594157</v>
      </c>
      <c r="G8" s="36" t="n">
        <v>0.517052650200376</v>
      </c>
      <c r="H8" s="37" t="n">
        <f aca="false">IFERROR(1/G8,"")</f>
        <v>1.9340390182943</v>
      </c>
      <c r="I8" s="36" t="n">
        <v>0.787426433514615</v>
      </c>
      <c r="J8" s="37" t="n">
        <f aca="false">IFERROR(1/I8,"")</f>
        <v>1.26995990665005</v>
      </c>
      <c r="K8" s="36" t="n">
        <v>0.615128093774383</v>
      </c>
      <c r="L8" s="37" t="n">
        <f aca="false">IFERROR(1/K8,"")</f>
        <v>1.62567765985792</v>
      </c>
    </row>
    <row r="9" customFormat="false" ht="18.75" hidden="false" customHeight="true" outlineLevel="0" collapsed="false">
      <c r="A9" s="42" t="n">
        <v>29</v>
      </c>
      <c r="B9" s="40" t="n">
        <v>46302</v>
      </c>
      <c r="C9" s="41" t="s">
        <v>92</v>
      </c>
      <c r="D9" s="41" t="s">
        <v>90</v>
      </c>
      <c r="E9" s="43" t="n">
        <v>0.473378218688515</v>
      </c>
      <c r="F9" s="44" t="n">
        <f aca="false">IFERROR(1/E9,"")</f>
        <v>2.11247573403457</v>
      </c>
      <c r="G9" s="43" t="n">
        <v>0.526621781311485</v>
      </c>
      <c r="H9" s="44" t="n">
        <f aca="false">IFERROR(1/G9,"")</f>
        <v>1.89889601130744</v>
      </c>
      <c r="I9" s="43" t="n">
        <v>0.748343299583863</v>
      </c>
      <c r="J9" s="44" t="n">
        <f aca="false">IFERROR(1/I9,"")</f>
        <v>1.33628509877229</v>
      </c>
      <c r="K9" s="43" t="n">
        <v>0.634572956134454</v>
      </c>
      <c r="L9" s="44" t="n">
        <f aca="false">IFERROR(1/K9,"")</f>
        <v>1.5758629332261</v>
      </c>
    </row>
    <row r="10" customFormat="false" ht="18.75" hidden="false" customHeight="true" outlineLevel="0" collapsed="false">
      <c r="A10" s="35" t="n">
        <v>29</v>
      </c>
      <c r="B10" s="33" t="n">
        <v>46302</v>
      </c>
      <c r="C10" s="34" t="s">
        <v>93</v>
      </c>
      <c r="D10" s="34" t="s">
        <v>84</v>
      </c>
      <c r="E10" s="36" t="n">
        <v>0.525980197558623</v>
      </c>
      <c r="F10" s="37" t="n">
        <f aca="false">IFERROR(1/E10,"")</f>
        <v>1.90121225978008</v>
      </c>
      <c r="G10" s="36" t="n">
        <v>0.474019802441377</v>
      </c>
      <c r="H10" s="37" t="n">
        <f aca="false">IFERROR(1/G10,"")</f>
        <v>2.10961650726326</v>
      </c>
      <c r="I10" s="36" t="n">
        <v>0.852138554887321</v>
      </c>
      <c r="J10" s="37" t="n">
        <f aca="false">IFERROR(1/I10,"")</f>
        <v>1.17351807903144</v>
      </c>
      <c r="K10" s="36" t="n">
        <v>0.618679453646633</v>
      </c>
      <c r="L10" s="37" t="n">
        <f aca="false">IFERROR(1/K10,"")</f>
        <v>1.61634590272197</v>
      </c>
    </row>
    <row r="11" customFormat="false" ht="18.75" hidden="false" customHeight="true" outlineLevel="0" collapsed="false">
      <c r="A11" s="42" t="n">
        <v>29</v>
      </c>
      <c r="B11" s="40" t="n">
        <v>46302</v>
      </c>
      <c r="C11" s="41" t="s">
        <v>91</v>
      </c>
      <c r="D11" s="41" t="s">
        <v>95</v>
      </c>
      <c r="E11" s="43" t="n">
        <v>0.53075408371458</v>
      </c>
      <c r="F11" s="44" t="n">
        <f aca="false">IFERROR(1/E11,"")</f>
        <v>1.88411173966165</v>
      </c>
      <c r="G11" s="43" t="n">
        <v>0.46924591628542</v>
      </c>
      <c r="H11" s="44" t="n">
        <f aca="false">IFERROR(1/G11,"")</f>
        <v>2.13107874846533</v>
      </c>
      <c r="I11" s="43" t="n">
        <v>0.76345432625637</v>
      </c>
      <c r="J11" s="44" t="n">
        <f aca="false">IFERROR(1/I11,"")</f>
        <v>1.30983605123248</v>
      </c>
      <c r="K11" s="43" t="n">
        <v>0.697098748823396</v>
      </c>
      <c r="L11" s="44" t="n">
        <f aca="false">IFERROR(1/K11,"")</f>
        <v>1.43451699158528</v>
      </c>
    </row>
    <row r="12" customFormat="false" ht="18.75" hidden="false" customHeight="true" outlineLevel="0" collapsed="false">
      <c r="A12" s="35" t="n">
        <v>29</v>
      </c>
      <c r="B12" s="33" t="n">
        <v>46302</v>
      </c>
      <c r="C12" s="34" t="s">
        <v>96</v>
      </c>
      <c r="D12" s="34" t="s">
        <v>87</v>
      </c>
      <c r="E12" s="36" t="n">
        <v>0.417813967122782</v>
      </c>
      <c r="F12" s="37" t="n">
        <f aca="false">IFERROR(1/E12,"")</f>
        <v>2.3934096959141</v>
      </c>
      <c r="G12" s="36" t="n">
        <v>0.582186032877218</v>
      </c>
      <c r="H12" s="37" t="n">
        <f aca="false">IFERROR(1/G12,"")</f>
        <v>1.71766401721784</v>
      </c>
      <c r="I12" s="36" t="n">
        <v>0.734717801301295</v>
      </c>
      <c r="J12" s="37" t="n">
        <f aca="false">IFERROR(1/I12,"")</f>
        <v>1.36106679085337</v>
      </c>
      <c r="K12" s="36" t="n">
        <v>0.570715572133347</v>
      </c>
      <c r="L12" s="37" t="n">
        <f aca="false">IFERROR(1/K12,"")</f>
        <v>1.75218628828013</v>
      </c>
    </row>
    <row r="13" customFormat="false" ht="18.75" hidden="false" customHeight="true" outlineLevel="0" collapsed="false">
      <c r="A13" s="42" t="n">
        <v>29</v>
      </c>
      <c r="B13" s="40" t="n">
        <v>46302</v>
      </c>
      <c r="C13" s="41" t="s">
        <v>98</v>
      </c>
      <c r="D13" s="41" t="s">
        <v>99</v>
      </c>
      <c r="E13" s="43" t="n">
        <v>0.497700426210343</v>
      </c>
      <c r="F13" s="44" t="n">
        <f aca="false">IFERROR(1/E13,"")</f>
        <v>2.0092407949383</v>
      </c>
      <c r="G13" s="43" t="n">
        <v>0.502299573789657</v>
      </c>
      <c r="H13" s="44" t="n">
        <f aca="false">IFERROR(1/G13,"")</f>
        <v>1.99084381548522</v>
      </c>
      <c r="I13" s="43" t="n">
        <v>0.857592727870985</v>
      </c>
      <c r="J13" s="44" t="n">
        <f aca="false">IFERROR(1/I13,"")</f>
        <v>1.16605466382924</v>
      </c>
      <c r="K13" s="43" t="n">
        <v>0.581731799166691</v>
      </c>
      <c r="L13" s="44" t="n">
        <f aca="false">IFERROR(1/K13,"")</f>
        <v>1.71900522101845</v>
      </c>
    </row>
    <row r="14" customFormat="false" ht="18.75" hidden="false" customHeight="true" outlineLevel="0" collapsed="false">
      <c r="A14" s="35" t="n">
        <v>29</v>
      </c>
      <c r="B14" s="33" t="n">
        <v>46302</v>
      </c>
      <c r="C14" s="34" t="s">
        <v>100</v>
      </c>
      <c r="D14" s="34" t="s">
        <v>101</v>
      </c>
      <c r="E14" s="36" t="n">
        <v>0.44128954688148</v>
      </c>
      <c r="F14" s="37" t="n">
        <f aca="false">IFERROR(1/E14,"")</f>
        <v>2.2660858546658</v>
      </c>
      <c r="G14" s="36" t="n">
        <v>0.55871045311852</v>
      </c>
      <c r="H14" s="37" t="n">
        <f aca="false">IFERROR(1/G14,"")</f>
        <v>1.78983585221712</v>
      </c>
      <c r="I14" s="36" t="n">
        <v>0.734803112620028</v>
      </c>
      <c r="J14" s="37" t="n">
        <f aca="false">IFERROR(1/I14,"")</f>
        <v>1.36090876974429</v>
      </c>
      <c r="K14" s="36" t="n">
        <v>0.602618138218756</v>
      </c>
      <c r="L14" s="37" t="n">
        <f aca="false">IFERROR(1/K14,"")</f>
        <v>1.65942565710989</v>
      </c>
    </row>
    <row r="15" customFormat="false" ht="18.75" hidden="false" customHeight="true" outlineLevel="0" collapsed="false">
      <c r="A15" s="42" t="n">
        <v>29</v>
      </c>
      <c r="B15" s="40" t="n">
        <v>46302</v>
      </c>
      <c r="C15" s="41" t="s">
        <v>102</v>
      </c>
      <c r="D15" s="41" t="s">
        <v>103</v>
      </c>
      <c r="E15" s="43" t="n">
        <v>0.463688511809297</v>
      </c>
      <c r="F15" s="44" t="n">
        <f aca="false">IFERROR(1/E15,"")</f>
        <v>2.15662017611356</v>
      </c>
      <c r="G15" s="43" t="n">
        <v>0.536311488190703</v>
      </c>
      <c r="H15" s="44" t="n">
        <f aca="false">IFERROR(1/G15,"")</f>
        <v>1.86458806499483</v>
      </c>
      <c r="I15" s="43" t="n">
        <v>0.861379716408859</v>
      </c>
      <c r="J15" s="44" t="n">
        <f aca="false">IFERROR(1/I15,"")</f>
        <v>1.1609281957196</v>
      </c>
      <c r="K15" s="43" t="n">
        <v>0.539642915397031</v>
      </c>
      <c r="L15" s="44" t="n">
        <f aca="false">IFERROR(1/K15,"")</f>
        <v>1.85307723212538</v>
      </c>
    </row>
    <row r="16" customFormat="false" ht="18.75" hidden="false" customHeight="true" outlineLevel="0" collapsed="false">
      <c r="A16" s="35" t="n">
        <v>29</v>
      </c>
      <c r="B16" s="33" t="n">
        <v>46302</v>
      </c>
      <c r="C16" s="34" t="s">
        <v>104</v>
      </c>
      <c r="D16" s="34" t="s">
        <v>105</v>
      </c>
      <c r="E16" s="36" t="n">
        <v>0.55906624068683</v>
      </c>
      <c r="F16" s="37" t="n">
        <f aca="false">IFERROR(1/E16,"")</f>
        <v>1.78869680768324</v>
      </c>
      <c r="G16" s="36" t="n">
        <v>0.440933759313171</v>
      </c>
      <c r="H16" s="37" t="n">
        <f aca="false">IFERROR(1/G16,"")</f>
        <v>2.26791434966937</v>
      </c>
      <c r="I16" s="36" t="n">
        <v>0.75234592351049</v>
      </c>
      <c r="J16" s="37" t="n">
        <f aca="false">IFERROR(1/I16,"")</f>
        <v>1.32917580696648</v>
      </c>
      <c r="K16" s="36" t="n">
        <v>0.744977712759226</v>
      </c>
      <c r="L16" s="37" t="n">
        <f aca="false">IFERROR(1/K16,"")</f>
        <v>1.34232203577773</v>
      </c>
    </row>
    <row r="17" customFormat="false" ht="18.75" hidden="false" customHeight="true" outlineLevel="0" collapsed="false">
      <c r="A17" s="42" t="n">
        <v>29</v>
      </c>
      <c r="B17" s="40" t="n">
        <v>46302</v>
      </c>
      <c r="C17" s="41" t="s">
        <v>88</v>
      </c>
      <c r="D17" s="41" t="s">
        <v>8</v>
      </c>
      <c r="E17" s="43" t="n">
        <v>0.536357668838902</v>
      </c>
      <c r="F17" s="44" t="n">
        <f aca="false">IFERROR(1/E17,"")</f>
        <v>1.86442752308321</v>
      </c>
      <c r="G17" s="43" t="n">
        <v>0.463642331161098</v>
      </c>
      <c r="H17" s="44" t="n">
        <f aca="false">IFERROR(1/G17,"")</f>
        <v>2.15683498419073</v>
      </c>
      <c r="I17" s="43" t="n">
        <v>0.677642333181143</v>
      </c>
      <c r="J17" s="44" t="n">
        <f aca="false">IFERROR(1/I17,"")</f>
        <v>1.47570473542521</v>
      </c>
      <c r="K17" s="43" t="n">
        <v>0.793565755422927</v>
      </c>
      <c r="L17" s="44" t="n">
        <f aca="false">IFERROR(1/K17,"")</f>
        <v>1.26013502115783</v>
      </c>
    </row>
    <row r="18" customFormat="false" ht="18.75" hidden="false" customHeight="true" outlineLevel="0" collapsed="false">
      <c r="A18" s="35" t="n">
        <v>29</v>
      </c>
      <c r="B18" s="33" t="n">
        <v>46302</v>
      </c>
      <c r="C18" s="34" t="s">
        <v>106</v>
      </c>
      <c r="D18" s="34" t="s">
        <v>83</v>
      </c>
      <c r="E18" s="36" t="n">
        <v>0.491997213832433</v>
      </c>
      <c r="F18" s="37" t="n">
        <f aca="false">IFERROR(1/E18,"")</f>
        <v>2.03253183531357</v>
      </c>
      <c r="G18" s="36" t="n">
        <v>0.508002786167567</v>
      </c>
      <c r="H18" s="37" t="n">
        <f aca="false">IFERROR(1/G18,"")</f>
        <v>1.96849314064617</v>
      </c>
      <c r="I18" s="36" t="n">
        <v>0.81977497207073</v>
      </c>
      <c r="J18" s="37" t="n">
        <f aca="false">IFERROR(1/I18,"")</f>
        <v>1.21984695077239</v>
      </c>
      <c r="K18" s="36" t="n">
        <v>0.601783658982472</v>
      </c>
      <c r="L18" s="37" t="n">
        <f aca="false">IFERROR(1/K18,"")</f>
        <v>1.66172674361224</v>
      </c>
    </row>
    <row r="19" customFormat="false" ht="18.75" hidden="false" customHeight="true" outlineLevel="0" collapsed="false">
      <c r="A19" s="42" t="n">
        <v>30</v>
      </c>
      <c r="B19" s="40" t="n">
        <v>46306</v>
      </c>
      <c r="C19" s="41" t="s">
        <v>90</v>
      </c>
      <c r="D19" s="41" t="s">
        <v>88</v>
      </c>
      <c r="E19" s="43" t="n">
        <v>0.497539348904862</v>
      </c>
      <c r="F19" s="44" t="n">
        <f aca="false">IFERROR(1/E19,"")</f>
        <v>2.00989128237015</v>
      </c>
      <c r="G19" s="43" t="n">
        <v>0.502460651095138</v>
      </c>
      <c r="H19" s="44" t="n">
        <f aca="false">IFERROR(1/G19,"")</f>
        <v>1.99020559683719</v>
      </c>
      <c r="I19" s="43" t="n">
        <v>0.803666451674171</v>
      </c>
      <c r="J19" s="44" t="n">
        <f aca="false">IFERROR(1/I19,"")</f>
        <v>1.24429730507829</v>
      </c>
      <c r="K19" s="43" t="n">
        <v>0.620804475963087</v>
      </c>
      <c r="L19" s="44" t="n">
        <f aca="false">IFERROR(1/K19,"")</f>
        <v>1.61081312831814</v>
      </c>
    </row>
    <row r="20" customFormat="false" ht="18.75" hidden="false" customHeight="true" outlineLevel="0" collapsed="false">
      <c r="A20" s="35" t="n">
        <v>30</v>
      </c>
      <c r="B20" s="33" t="n">
        <v>46306</v>
      </c>
      <c r="C20" s="34" t="s">
        <v>103</v>
      </c>
      <c r="D20" s="34" t="s">
        <v>95</v>
      </c>
      <c r="E20" s="36" t="n">
        <v>0.553460051456648</v>
      </c>
      <c r="F20" s="37" t="n">
        <f aca="false">IFERROR(1/E20,"")</f>
        <v>1.80681513935488</v>
      </c>
      <c r="G20" s="36" t="n">
        <v>0.446539948543352</v>
      </c>
      <c r="H20" s="37" t="n">
        <f aca="false">IFERROR(1/G20,"")</f>
        <v>2.2394412935776</v>
      </c>
      <c r="I20" s="36" t="n">
        <v>0.787406860236152</v>
      </c>
      <c r="J20" s="37" t="n">
        <f aca="false">IFERROR(1/I20,"")</f>
        <v>1.26999147518233</v>
      </c>
      <c r="K20" s="36" t="n">
        <v>0.704658190862158</v>
      </c>
      <c r="L20" s="37" t="n">
        <f aca="false">IFERROR(1/K20,"")</f>
        <v>1.41912776005128</v>
      </c>
    </row>
    <row r="21" customFormat="false" ht="18.75" hidden="false" customHeight="true" outlineLevel="0" collapsed="false">
      <c r="A21" s="42" t="n">
        <v>30</v>
      </c>
      <c r="B21" s="40" t="n">
        <v>46306</v>
      </c>
      <c r="C21" s="41" t="s">
        <v>91</v>
      </c>
      <c r="D21" s="41" t="s">
        <v>96</v>
      </c>
      <c r="E21" s="43" t="n">
        <v>0.463473890042686</v>
      </c>
      <c r="F21" s="44" t="n">
        <f aca="false">IFERROR(1/E21,"")</f>
        <v>2.15761884646382</v>
      </c>
      <c r="G21" s="43" t="n">
        <v>0.536526109957314</v>
      </c>
      <c r="H21" s="44" t="n">
        <f aca="false">IFERROR(1/G21,"")</f>
        <v>1.86384219041932</v>
      </c>
      <c r="I21" s="43" t="n">
        <v>0.706147072793699</v>
      </c>
      <c r="J21" s="44" t="n">
        <f aca="false">IFERROR(1/I21,"")</f>
        <v>1.4161355877944</v>
      </c>
      <c r="K21" s="43" t="n">
        <v>0.658538091564195</v>
      </c>
      <c r="L21" s="44" t="n">
        <f aca="false">IFERROR(1/K21,"")</f>
        <v>1.51851504538598</v>
      </c>
    </row>
    <row r="22" customFormat="false" ht="18.75" hidden="false" customHeight="true" outlineLevel="0" collapsed="false">
      <c r="A22" s="35" t="n">
        <v>30</v>
      </c>
      <c r="B22" s="33" t="n">
        <v>46306</v>
      </c>
      <c r="C22" s="34" t="s">
        <v>83</v>
      </c>
      <c r="D22" s="34" t="s">
        <v>92</v>
      </c>
      <c r="E22" s="36" t="n">
        <v>0.509782718557892</v>
      </c>
      <c r="F22" s="37" t="n">
        <f aca="false">IFERROR(1/E22,"")</f>
        <v>1.96162004633831</v>
      </c>
      <c r="G22" s="36" t="n">
        <v>0.490217281442108</v>
      </c>
      <c r="H22" s="37" t="n">
        <f aca="false">IFERROR(1/G22,"")</f>
        <v>2.03991176536704</v>
      </c>
      <c r="I22" s="36" t="n">
        <v>0.658876115067002</v>
      </c>
      <c r="J22" s="37" t="n">
        <f aca="false">IFERROR(1/I22,"")</f>
        <v>1.51773600094505</v>
      </c>
      <c r="K22" s="36" t="n">
        <v>0.775907668593365</v>
      </c>
      <c r="L22" s="37" t="n">
        <f aca="false">IFERROR(1/K22,"")</f>
        <v>1.28881314166271</v>
      </c>
    </row>
    <row r="23" customFormat="false" ht="18.75" hidden="false" customHeight="true" outlineLevel="0" collapsed="false">
      <c r="A23" s="42" t="n">
        <v>30</v>
      </c>
      <c r="B23" s="40" t="n">
        <v>46306</v>
      </c>
      <c r="C23" s="41" t="s">
        <v>99</v>
      </c>
      <c r="D23" s="41" t="s">
        <v>93</v>
      </c>
      <c r="E23" s="43" t="n">
        <v>0.554085665548008</v>
      </c>
      <c r="F23" s="44" t="n">
        <f aca="false">IFERROR(1/E23,"")</f>
        <v>1.80477507753421</v>
      </c>
      <c r="G23" s="43" t="n">
        <v>0.445914334451992</v>
      </c>
      <c r="H23" s="44" t="n">
        <f aca="false">IFERROR(1/G23,"")</f>
        <v>2.24258321103078</v>
      </c>
      <c r="I23" s="43" t="n">
        <v>0.715623869284901</v>
      </c>
      <c r="J23" s="44" t="n">
        <f aca="false">IFERROR(1/I23,"")</f>
        <v>1.3973821205814</v>
      </c>
      <c r="K23" s="43" t="n">
        <v>0.77623559116818</v>
      </c>
      <c r="L23" s="44" t="n">
        <f aca="false">IFERROR(1/K23,"")</f>
        <v>1.28826867948051</v>
      </c>
    </row>
    <row r="24" customFormat="false" ht="18.75" hidden="false" customHeight="true" outlineLevel="0" collapsed="false">
      <c r="A24" s="35" t="n">
        <v>30</v>
      </c>
      <c r="B24" s="33" t="n">
        <v>46306</v>
      </c>
      <c r="C24" s="34" t="s">
        <v>8</v>
      </c>
      <c r="D24" s="34" t="s">
        <v>98</v>
      </c>
      <c r="E24" s="36" t="n">
        <v>0.476609776803223</v>
      </c>
      <c r="F24" s="37" t="n">
        <f aca="false">IFERROR(1/E24,"")</f>
        <v>2.09815251106959</v>
      </c>
      <c r="G24" s="36" t="n">
        <v>0.523390223196777</v>
      </c>
      <c r="H24" s="37" t="n">
        <f aca="false">IFERROR(1/G24,"")</f>
        <v>1.91062032816007</v>
      </c>
      <c r="I24" s="36" t="n">
        <v>0.846556360559556</v>
      </c>
      <c r="J24" s="37" t="n">
        <f aca="false">IFERROR(1/I24,"")</f>
        <v>1.18125625958208</v>
      </c>
      <c r="K24" s="36" t="n">
        <v>0.564442853193328</v>
      </c>
      <c r="L24" s="37" t="n">
        <f aca="false">IFERROR(1/K24,"")</f>
        <v>1.7716585378706</v>
      </c>
    </row>
    <row r="25" customFormat="false" ht="18.75" hidden="false" customHeight="true" outlineLevel="0" collapsed="false">
      <c r="A25" s="42" t="n">
        <v>30</v>
      </c>
      <c r="B25" s="40" t="n">
        <v>46306</v>
      </c>
      <c r="C25" s="41" t="s">
        <v>105</v>
      </c>
      <c r="D25" s="41" t="s">
        <v>100</v>
      </c>
      <c r="E25" s="43" t="n">
        <v>0.495324138928437</v>
      </c>
      <c r="F25" s="44" t="n">
        <f aca="false">IFERROR(1/E25,"")</f>
        <v>2.01888000484563</v>
      </c>
      <c r="G25" s="43" t="n">
        <v>0.504675861071563</v>
      </c>
      <c r="H25" s="44" t="n">
        <f aca="false">IFERROR(1/G25,"")</f>
        <v>1.98146984457852</v>
      </c>
      <c r="I25" s="43" t="n">
        <v>0.753875594856403</v>
      </c>
      <c r="J25" s="44" t="n">
        <f aca="false">IFERROR(1/I25,"")</f>
        <v>1.32647880740917</v>
      </c>
      <c r="K25" s="43" t="n">
        <v>0.65900919583396</v>
      </c>
      <c r="L25" s="44" t="n">
        <f aca="false">IFERROR(1/K25,"")</f>
        <v>1.51742950830075</v>
      </c>
    </row>
    <row r="26" customFormat="false" ht="18.75" hidden="false" customHeight="true" outlineLevel="0" collapsed="false">
      <c r="A26" s="35" t="n">
        <v>30</v>
      </c>
      <c r="B26" s="33" t="n">
        <v>46306</v>
      </c>
      <c r="C26" s="34" t="s">
        <v>102</v>
      </c>
      <c r="D26" s="34" t="s">
        <v>101</v>
      </c>
      <c r="E26" s="36" t="n">
        <v>0.406249530445393</v>
      </c>
      <c r="F26" s="37" t="n">
        <f aca="false">IFERROR(1/E26,"")</f>
        <v>2.46154130665369</v>
      </c>
      <c r="G26" s="36" t="n">
        <v>0.593750469554607</v>
      </c>
      <c r="H26" s="37" t="n">
        <f aca="false">IFERROR(1/G26,"")</f>
        <v>1.68420919439463</v>
      </c>
      <c r="I26" s="36" t="n">
        <v>0.825601894258464</v>
      </c>
      <c r="J26" s="37" t="n">
        <f aca="false">IFERROR(1/I26,"")</f>
        <v>1.21123753101145</v>
      </c>
      <c r="K26" s="36" t="n">
        <v>0.49355761638388</v>
      </c>
      <c r="L26" s="37" t="n">
        <f aca="false">IFERROR(1/K26,"")</f>
        <v>2.02610590294734</v>
      </c>
    </row>
    <row r="27" customFormat="false" ht="18.75" hidden="false" customHeight="true" outlineLevel="0" collapsed="false">
      <c r="A27" s="42" t="n">
        <v>30</v>
      </c>
      <c r="B27" s="40" t="n">
        <v>46306</v>
      </c>
      <c r="C27" s="41" t="s">
        <v>87</v>
      </c>
      <c r="D27" s="41" t="s">
        <v>106</v>
      </c>
      <c r="E27" s="43" t="n">
        <v>0.424801018335001</v>
      </c>
      <c r="F27" s="44" t="n">
        <f aca="false">IFERROR(1/E27,"")</f>
        <v>2.3540433210812</v>
      </c>
      <c r="G27" s="43" t="n">
        <v>0.575198981664999</v>
      </c>
      <c r="H27" s="44" t="n">
        <f aca="false">IFERROR(1/G27,"")</f>
        <v>1.73852880807499</v>
      </c>
      <c r="I27" s="43" t="n">
        <v>0.789195704169129</v>
      </c>
      <c r="J27" s="44" t="n">
        <f aca="false">IFERROR(1/I27,"")</f>
        <v>1.2671128272965</v>
      </c>
      <c r="K27" s="43" t="n">
        <v>0.540015508771522</v>
      </c>
      <c r="L27" s="44" t="n">
        <f aca="false">IFERROR(1/K27,"")</f>
        <v>1.85179866829176</v>
      </c>
    </row>
    <row r="28" customFormat="false" ht="18.75" hidden="false" customHeight="true" outlineLevel="0" collapsed="false">
      <c r="A28" s="35" t="n">
        <v>30</v>
      </c>
      <c r="B28" s="33" t="n">
        <v>46306</v>
      </c>
      <c r="C28" s="34" t="s">
        <v>84</v>
      </c>
      <c r="D28" s="34" t="s">
        <v>104</v>
      </c>
      <c r="E28" s="36" t="n">
        <v>0.570580072753365</v>
      </c>
      <c r="F28" s="37" t="n">
        <f aca="false">IFERROR(1/E28,"")</f>
        <v>1.75260239141274</v>
      </c>
      <c r="G28" s="36" t="n">
        <v>0.429419927246635</v>
      </c>
      <c r="H28" s="37" t="n">
        <f aca="false">IFERROR(1/G28,"")</f>
        <v>2.32872285739468</v>
      </c>
      <c r="I28" s="36" t="n">
        <v>0.848348921601847</v>
      </c>
      <c r="J28" s="37" t="n">
        <f aca="false">IFERROR(1/I28,"")</f>
        <v>1.17876026542452</v>
      </c>
      <c r="K28" s="36" t="n">
        <v>0.674024163005268</v>
      </c>
      <c r="L28" s="37" t="n">
        <f aca="false">IFERROR(1/K28,"")</f>
        <v>1.48362633698665</v>
      </c>
    </row>
    <row r="29" customFormat="false" ht="18.75" hidden="false" customHeight="true" outlineLevel="0" collapsed="false">
      <c r="A29" s="42" t="n">
        <v>31</v>
      </c>
      <c r="B29" s="40" t="n">
        <v>46313</v>
      </c>
      <c r="C29" s="41" t="s">
        <v>92</v>
      </c>
      <c r="D29" s="41" t="s">
        <v>102</v>
      </c>
      <c r="E29" s="43" t="n">
        <v>0.462160628033405</v>
      </c>
      <c r="F29" s="44" t="n">
        <f aca="false">IFERROR(1/E29,"")</f>
        <v>2.16374987253938</v>
      </c>
      <c r="G29" s="43" t="n">
        <v>0.537839371966595</v>
      </c>
      <c r="H29" s="44" t="n">
        <f aca="false">IFERROR(1/G29,"")</f>
        <v>1.85929117896953</v>
      </c>
      <c r="I29" s="43" t="n">
        <v>0.64782448752571</v>
      </c>
      <c r="J29" s="44" t="n">
        <f aca="false">IFERROR(1/I29,"")</f>
        <v>1.54362797216787</v>
      </c>
      <c r="K29" s="43" t="n">
        <v>0.71578664377256</v>
      </c>
      <c r="L29" s="44" t="n">
        <f aca="false">IFERROR(1/K29,"")</f>
        <v>1.39706434689741</v>
      </c>
    </row>
    <row r="30" customFormat="false" ht="18.75" hidden="false" customHeight="true" outlineLevel="0" collapsed="false">
      <c r="A30" s="35" t="n">
        <v>31</v>
      </c>
      <c r="B30" s="33" t="n">
        <v>46313</v>
      </c>
      <c r="C30" s="34" t="s">
        <v>90</v>
      </c>
      <c r="D30" s="34" t="s">
        <v>99</v>
      </c>
      <c r="E30" s="36" t="n">
        <v>0.506285283107282</v>
      </c>
      <c r="F30" s="37" t="n">
        <f aca="false">IFERROR(1/E30,"")</f>
        <v>1.9751709823809</v>
      </c>
      <c r="G30" s="36" t="n">
        <v>0.493714716892718</v>
      </c>
      <c r="H30" s="37" t="n">
        <f aca="false">IFERROR(1/G30,"")</f>
        <v>2.0254611940549</v>
      </c>
      <c r="I30" s="36" t="n">
        <v>0.859852061181185</v>
      </c>
      <c r="J30" s="37" t="n">
        <f aca="false">IFERROR(1/I30,"")</f>
        <v>1.16299075753368</v>
      </c>
      <c r="K30" s="36" t="n">
        <v>0.590180348223797</v>
      </c>
      <c r="L30" s="37" t="n">
        <f aca="false">IFERROR(1/K30,"")</f>
        <v>1.69439731941193</v>
      </c>
    </row>
    <row r="31" customFormat="false" ht="18.75" hidden="false" customHeight="true" outlineLevel="0" collapsed="false">
      <c r="A31" s="42" t="n">
        <v>31</v>
      </c>
      <c r="B31" s="40" t="n">
        <v>46313</v>
      </c>
      <c r="C31" s="41" t="s">
        <v>103</v>
      </c>
      <c r="D31" s="41" t="s">
        <v>8</v>
      </c>
      <c r="E31" s="43" t="n">
        <v>0.545824247784222</v>
      </c>
      <c r="F31" s="44" t="n">
        <f aca="false">IFERROR(1/E31,"")</f>
        <v>1.83209156438086</v>
      </c>
      <c r="G31" s="43" t="n">
        <v>0.454175752215778</v>
      </c>
      <c r="H31" s="44" t="n">
        <f aca="false">IFERROR(1/G31,"")</f>
        <v>2.20179081582696</v>
      </c>
      <c r="I31" s="43" t="n">
        <v>0.697991876461311</v>
      </c>
      <c r="J31" s="44" t="n">
        <f aca="false">IFERROR(1/I31,"")</f>
        <v>1.43268143043414</v>
      </c>
      <c r="K31" s="43" t="n">
        <v>0.784006354283125</v>
      </c>
      <c r="L31" s="44" t="n">
        <f aca="false">IFERROR(1/K31,"")</f>
        <v>1.27549986621521</v>
      </c>
    </row>
    <row r="32" customFormat="false" ht="18.75" hidden="false" customHeight="true" outlineLevel="0" collapsed="false">
      <c r="A32" s="35" t="n">
        <v>31</v>
      </c>
      <c r="B32" s="33" t="n">
        <v>46313</v>
      </c>
      <c r="C32" s="34" t="s">
        <v>93</v>
      </c>
      <c r="D32" s="34" t="s">
        <v>83</v>
      </c>
      <c r="E32" s="36" t="n">
        <v>0.482117753830597</v>
      </c>
      <c r="F32" s="37" t="n">
        <f aca="false">IFERROR(1/E32,"")</f>
        <v>2.07418206870551</v>
      </c>
      <c r="G32" s="36" t="n">
        <v>0.517882246169403</v>
      </c>
      <c r="H32" s="37" t="n">
        <f aca="false">IFERROR(1/G32,"")</f>
        <v>1.93094087970124</v>
      </c>
      <c r="I32" s="36" t="n">
        <v>0.898985449955673</v>
      </c>
      <c r="J32" s="37" t="n">
        <f aca="false">IFERROR(1/I32,"")</f>
        <v>1.11236505557382</v>
      </c>
      <c r="K32" s="36" t="n">
        <v>0.537369886450947</v>
      </c>
      <c r="L32" s="37" t="n">
        <f aca="false">IFERROR(1/K32,"")</f>
        <v>1.86091559131549</v>
      </c>
    </row>
    <row r="33" customFormat="false" ht="18.75" hidden="false" customHeight="true" outlineLevel="0" collapsed="false">
      <c r="A33" s="42" t="n">
        <v>31</v>
      </c>
      <c r="B33" s="40" t="n">
        <v>46313</v>
      </c>
      <c r="C33" s="41" t="s">
        <v>101</v>
      </c>
      <c r="D33" s="41" t="s">
        <v>106</v>
      </c>
      <c r="E33" s="43" t="n">
        <v>0.426702263682028</v>
      </c>
      <c r="F33" s="44" t="n">
        <f aca="false">IFERROR(1/E33,"")</f>
        <v>2.34355447606714</v>
      </c>
      <c r="G33" s="43" t="n">
        <v>0.573297736317972</v>
      </c>
      <c r="H33" s="44" t="n">
        <f aca="false">IFERROR(1/G33,"")</f>
        <v>1.74429434594063</v>
      </c>
      <c r="I33" s="43" t="n">
        <v>0.780078360674305</v>
      </c>
      <c r="J33" s="44" t="n">
        <f aca="false">IFERROR(1/I33,"")</f>
        <v>1.28192249703683</v>
      </c>
      <c r="K33" s="43" t="n">
        <v>0.548799990668776</v>
      </c>
      <c r="L33" s="44" t="n">
        <f aca="false">IFERROR(1/K33,"")</f>
        <v>1.8221574653844</v>
      </c>
    </row>
    <row r="34" customFormat="false" ht="18.75" hidden="false" customHeight="true" outlineLevel="0" collapsed="false">
      <c r="A34" s="35" t="n">
        <v>31</v>
      </c>
      <c r="B34" s="33" t="n">
        <v>46313</v>
      </c>
      <c r="C34" s="34" t="s">
        <v>98</v>
      </c>
      <c r="D34" s="34" t="s">
        <v>88</v>
      </c>
      <c r="E34" s="36" t="n">
        <v>0.489094793156981</v>
      </c>
      <c r="F34" s="37" t="n">
        <f aca="false">IFERROR(1/E34,"")</f>
        <v>2.04459342849524</v>
      </c>
      <c r="G34" s="36" t="n">
        <v>0.510905206843019</v>
      </c>
      <c r="H34" s="37" t="n">
        <f aca="false">IFERROR(1/G34,"")</f>
        <v>1.95731025365584</v>
      </c>
      <c r="I34" s="36" t="n">
        <v>0.801047882401764</v>
      </c>
      <c r="J34" s="37" t="n">
        <f aca="false">IFERROR(1/I34,"")</f>
        <v>1.24836482558536</v>
      </c>
      <c r="K34" s="36" t="n">
        <v>0.612299067499141</v>
      </c>
      <c r="L34" s="37" t="n">
        <f aca="false">IFERROR(1/K34,"")</f>
        <v>1.63318883382327</v>
      </c>
    </row>
    <row r="35" customFormat="false" ht="18.75" hidden="false" customHeight="true" outlineLevel="0" collapsed="false">
      <c r="A35" s="42" t="n">
        <v>31</v>
      </c>
      <c r="B35" s="40" t="n">
        <v>46313</v>
      </c>
      <c r="C35" s="41" t="s">
        <v>105</v>
      </c>
      <c r="D35" s="41" t="s">
        <v>96</v>
      </c>
      <c r="E35" s="43" t="n">
        <v>0.474947378010008</v>
      </c>
      <c r="F35" s="44" t="n">
        <f aca="false">IFERROR(1/E35,"")</f>
        <v>2.10549641139177</v>
      </c>
      <c r="G35" s="43" t="n">
        <v>0.525052621989992</v>
      </c>
      <c r="H35" s="44" t="n">
        <f aca="false">IFERROR(1/G35,"")</f>
        <v>1.90457100511168</v>
      </c>
      <c r="I35" s="43" t="n">
        <v>0.713401256596226</v>
      </c>
      <c r="J35" s="44" t="n">
        <f aca="false">IFERROR(1/I35,"")</f>
        <v>1.40173568626889</v>
      </c>
      <c r="K35" s="43" t="n">
        <v>0.667909304758873</v>
      </c>
      <c r="L35" s="44" t="n">
        <f aca="false">IFERROR(1/K35,"")</f>
        <v>1.49720926610091</v>
      </c>
    </row>
    <row r="36" customFormat="false" ht="18.75" hidden="false" customHeight="true" outlineLevel="0" collapsed="false">
      <c r="A36" s="35" t="n">
        <v>31</v>
      </c>
      <c r="B36" s="33" t="n">
        <v>46313</v>
      </c>
      <c r="C36" s="34" t="s">
        <v>95</v>
      </c>
      <c r="D36" s="34" t="s">
        <v>100</v>
      </c>
      <c r="E36" s="36" t="n">
        <v>0.507105364735342</v>
      </c>
      <c r="F36" s="37" t="n">
        <f aca="false">IFERROR(1/E36,"")</f>
        <v>1.97197677157665</v>
      </c>
      <c r="G36" s="36" t="n">
        <v>0.492894635264658</v>
      </c>
      <c r="H36" s="37" t="n">
        <f aca="false">IFERROR(1/G36,"")</f>
        <v>2.02883117091151</v>
      </c>
      <c r="I36" s="36" t="n">
        <v>0.791210019367793</v>
      </c>
      <c r="J36" s="37" t="n">
        <f aca="false">IFERROR(1/I36,"")</f>
        <v>1.26388692701217</v>
      </c>
      <c r="K36" s="36" t="n">
        <v>0.642709159468403</v>
      </c>
      <c r="L36" s="37" t="n">
        <f aca="false">IFERROR(1/K36,"")</f>
        <v>1.55591372126565</v>
      </c>
    </row>
    <row r="37" customFormat="false" ht="18.75" hidden="false" customHeight="true" outlineLevel="0" collapsed="false">
      <c r="A37" s="42" t="n">
        <v>31</v>
      </c>
      <c r="B37" s="40" t="n">
        <v>46313</v>
      </c>
      <c r="C37" s="41" t="s">
        <v>104</v>
      </c>
      <c r="D37" s="41" t="s">
        <v>91</v>
      </c>
      <c r="E37" s="43" t="n">
        <v>0.547172390182232</v>
      </c>
      <c r="F37" s="44" t="n">
        <f aca="false">IFERROR(1/E37,"")</f>
        <v>1.82757759335583</v>
      </c>
      <c r="G37" s="43" t="n">
        <v>0.452827609817768</v>
      </c>
      <c r="H37" s="44" t="n">
        <f aca="false">IFERROR(1/G37,"")</f>
        <v>2.20834590983185</v>
      </c>
      <c r="I37" s="43" t="n">
        <v>0.743464526050713</v>
      </c>
      <c r="J37" s="44" t="n">
        <f aca="false">IFERROR(1/I37,"")</f>
        <v>1.34505408793612</v>
      </c>
      <c r="K37" s="43" t="n">
        <v>0.737911536414533</v>
      </c>
      <c r="L37" s="44" t="n">
        <f aca="false">IFERROR(1/K37,"")</f>
        <v>1.35517599421055</v>
      </c>
    </row>
    <row r="38" customFormat="false" ht="18.75" hidden="false" customHeight="true" outlineLevel="0" collapsed="false">
      <c r="A38" s="35" t="n">
        <v>31</v>
      </c>
      <c r="B38" s="33" t="n">
        <v>46313</v>
      </c>
      <c r="C38" s="34" t="s">
        <v>87</v>
      </c>
      <c r="D38" s="34" t="s">
        <v>84</v>
      </c>
      <c r="E38" s="36" t="n">
        <v>0.485956331360988</v>
      </c>
      <c r="F38" s="37" t="n">
        <f aca="false">IFERROR(1/E38,"")</f>
        <v>2.05779806839714</v>
      </c>
      <c r="G38" s="36" t="n">
        <v>0.514043668639012</v>
      </c>
      <c r="H38" s="37" t="n">
        <f aca="false">IFERROR(1/G38,"")</f>
        <v>1.94536001707328</v>
      </c>
      <c r="I38" s="36" t="n">
        <v>0.806685458800801</v>
      </c>
      <c r="J38" s="37" t="n">
        <f aca="false">IFERROR(1/I38,"")</f>
        <v>1.23964054277931</v>
      </c>
      <c r="K38" s="36" t="n">
        <v>0.604108057121027</v>
      </c>
      <c r="L38" s="37" t="n">
        <f aca="false">IFERROR(1/K38,"")</f>
        <v>1.65533299583134</v>
      </c>
    </row>
    <row r="39" customFormat="false" ht="18.75" hidden="false" customHeight="true" outlineLevel="0" collapsed="false">
      <c r="A39" s="42" t="n">
        <v>32</v>
      </c>
      <c r="B39" s="40" t="n">
        <v>46320</v>
      </c>
      <c r="C39" s="41" t="s">
        <v>83</v>
      </c>
      <c r="D39" s="41" t="s">
        <v>98</v>
      </c>
      <c r="E39" s="43" t="n">
        <v>0.506317715794563</v>
      </c>
      <c r="F39" s="44" t="n">
        <f aca="false">IFERROR(1/E39,"")</f>
        <v>1.97504446082971</v>
      </c>
      <c r="G39" s="43" t="n">
        <v>0.493682284205438</v>
      </c>
      <c r="H39" s="44" t="n">
        <f aca="false">IFERROR(1/G39,"")</f>
        <v>2.02559425767012</v>
      </c>
      <c r="I39" s="43" t="n">
        <v>0.650316081096902</v>
      </c>
      <c r="J39" s="44" t="n">
        <f aca="false">IFERROR(1/I39,"")</f>
        <v>1.53771378114052</v>
      </c>
      <c r="K39" s="43" t="n">
        <v>0.780779555701098</v>
      </c>
      <c r="L39" s="44" t="n">
        <f aca="false">IFERROR(1/K39,"")</f>
        <v>1.28077124035613</v>
      </c>
    </row>
    <row r="40" customFormat="false" ht="18.75" hidden="false" customHeight="true" outlineLevel="0" collapsed="false">
      <c r="A40" s="35" t="n">
        <v>32</v>
      </c>
      <c r="B40" s="33" t="n">
        <v>46320</v>
      </c>
      <c r="C40" s="34" t="s">
        <v>99</v>
      </c>
      <c r="D40" s="34" t="s">
        <v>105</v>
      </c>
      <c r="E40" s="36" t="n">
        <v>0.559380753123951</v>
      </c>
      <c r="F40" s="37" t="n">
        <f aca="false">IFERROR(1/E40,"")</f>
        <v>1.78769111095679</v>
      </c>
      <c r="G40" s="36" t="n">
        <v>0.440619246876049</v>
      </c>
      <c r="H40" s="37" t="n">
        <f aca="false">IFERROR(1/G40,"")</f>
        <v>2.26953317879305</v>
      </c>
      <c r="I40" s="36" t="n">
        <v>0.755341661496878</v>
      </c>
      <c r="J40" s="37" t="n">
        <f aca="false">IFERROR(1/I40,"")</f>
        <v>1.32390420252774</v>
      </c>
      <c r="K40" s="36" t="n">
        <v>0.742437858141594</v>
      </c>
      <c r="L40" s="37" t="n">
        <f aca="false">IFERROR(1/K40,"")</f>
        <v>1.34691407372883</v>
      </c>
    </row>
    <row r="41" customFormat="false" ht="18.75" hidden="false" customHeight="true" outlineLevel="0" collapsed="false">
      <c r="A41" s="42" t="n">
        <v>32</v>
      </c>
      <c r="B41" s="40" t="n">
        <v>46320</v>
      </c>
      <c r="C41" s="41" t="s">
        <v>96</v>
      </c>
      <c r="D41" s="41" t="s">
        <v>104</v>
      </c>
      <c r="E41" s="43" t="n">
        <v>0.472621115082822</v>
      </c>
      <c r="F41" s="44" t="n">
        <f aca="false">IFERROR(1/E41,"")</f>
        <v>2.11585976184064</v>
      </c>
      <c r="G41" s="43" t="n">
        <v>0.527378884917178</v>
      </c>
      <c r="H41" s="44" t="n">
        <f aca="false">IFERROR(1/G41,"")</f>
        <v>1.89616996167195</v>
      </c>
      <c r="I41" s="43" t="n">
        <v>0.854294828485469</v>
      </c>
      <c r="J41" s="44" t="n">
        <f aca="false">IFERROR(1/I41,"")</f>
        <v>1.17055607344931</v>
      </c>
      <c r="K41" s="43" t="n">
        <v>0.554619512032365</v>
      </c>
      <c r="L41" s="44" t="n">
        <f aca="false">IFERROR(1/K41,"")</f>
        <v>1.80303789950622</v>
      </c>
    </row>
    <row r="42" customFormat="false" ht="18.75" hidden="false" customHeight="true" outlineLevel="0" collapsed="false">
      <c r="A42" s="35" t="n">
        <v>32</v>
      </c>
      <c r="B42" s="33" t="n">
        <v>46320</v>
      </c>
      <c r="C42" s="34" t="s">
        <v>8</v>
      </c>
      <c r="D42" s="34" t="s">
        <v>90</v>
      </c>
      <c r="E42" s="36" t="n">
        <v>0.482877171661068</v>
      </c>
      <c r="F42" s="37" t="n">
        <f aca="false">IFERROR(1/E42,"")</f>
        <v>2.07092001587083</v>
      </c>
      <c r="G42" s="36" t="n">
        <v>0.517122828338932</v>
      </c>
      <c r="H42" s="37" t="n">
        <f aca="false">IFERROR(1/G42,"")</f>
        <v>1.93377655210491</v>
      </c>
      <c r="I42" s="36" t="n">
        <v>0.853144004898538</v>
      </c>
      <c r="J42" s="37" t="n">
        <f aca="false">IFERROR(1/I42,"")</f>
        <v>1.17213506073799</v>
      </c>
      <c r="K42" s="36" t="n">
        <v>0.567403156591979</v>
      </c>
      <c r="L42" s="37" t="n">
        <f aca="false">IFERROR(1/K42,"")</f>
        <v>1.7624152921643</v>
      </c>
    </row>
    <row r="43" customFormat="false" ht="18.75" hidden="false" customHeight="true" outlineLevel="0" collapsed="false">
      <c r="A43" s="42" t="n">
        <v>32</v>
      </c>
      <c r="B43" s="40" t="n">
        <v>46320</v>
      </c>
      <c r="C43" s="41" t="s">
        <v>100</v>
      </c>
      <c r="D43" s="41" t="s">
        <v>93</v>
      </c>
      <c r="E43" s="43" t="n">
        <v>0.493083394256738</v>
      </c>
      <c r="F43" s="44" t="n">
        <f aca="false">IFERROR(1/E43,"")</f>
        <v>2.02805450690015</v>
      </c>
      <c r="G43" s="43" t="n">
        <v>0.506916605743262</v>
      </c>
      <c r="H43" s="44" t="n">
        <f aca="false">IFERROR(1/G43,"")</f>
        <v>1.97271107055915</v>
      </c>
      <c r="I43" s="43" t="n">
        <v>0.740121148785182</v>
      </c>
      <c r="J43" s="44" t="n">
        <f aca="false">IFERROR(1/I43,"")</f>
        <v>1.35113015165338</v>
      </c>
      <c r="K43" s="43" t="n">
        <v>0.668254101534672</v>
      </c>
      <c r="L43" s="44" t="n">
        <f aca="false">IFERROR(1/K43,"")</f>
        <v>1.49643675617323</v>
      </c>
    </row>
    <row r="44" customFormat="false" ht="18.75" hidden="false" customHeight="true" outlineLevel="0" collapsed="false">
      <c r="A44" s="35" t="n">
        <v>32</v>
      </c>
      <c r="B44" s="33" t="n">
        <v>46320</v>
      </c>
      <c r="C44" s="34" t="s">
        <v>95</v>
      </c>
      <c r="D44" s="34" t="s">
        <v>87</v>
      </c>
      <c r="E44" s="36" t="n">
        <v>0.484739135333548</v>
      </c>
      <c r="F44" s="37" t="n">
        <f aca="false">IFERROR(1/E44,"")</f>
        <v>2.06296526751838</v>
      </c>
      <c r="G44" s="36" t="n">
        <v>0.515260864666452</v>
      </c>
      <c r="H44" s="37" t="n">
        <f aca="false">IFERROR(1/G44,"")</f>
        <v>1.94076451089942</v>
      </c>
      <c r="I44" s="36" t="n">
        <v>0.771208057191081</v>
      </c>
      <c r="J44" s="37" t="n">
        <f aca="false">IFERROR(1/I44,"")</f>
        <v>1.29666695086438</v>
      </c>
      <c r="K44" s="36" t="n">
        <v>0.630435857358925</v>
      </c>
      <c r="L44" s="37" t="n">
        <f aca="false">IFERROR(1/K44,"")</f>
        <v>1.58620419242853</v>
      </c>
    </row>
    <row r="45" customFormat="false" ht="18.75" hidden="false" customHeight="true" outlineLevel="0" collapsed="false">
      <c r="A45" s="42" t="n">
        <v>32</v>
      </c>
      <c r="B45" s="40" t="n">
        <v>46320</v>
      </c>
      <c r="C45" s="41" t="s">
        <v>102</v>
      </c>
      <c r="D45" s="41" t="s">
        <v>91</v>
      </c>
      <c r="E45" s="43" t="n">
        <v>0.438918074144141</v>
      </c>
      <c r="F45" s="44" t="n">
        <f aca="false">IFERROR(1/E45,"")</f>
        <v>2.27832950818881</v>
      </c>
      <c r="G45" s="43" t="n">
        <v>0.56108192585586</v>
      </c>
      <c r="H45" s="44" t="n">
        <f aca="false">IFERROR(1/G45,"")</f>
        <v>1.78227091966049</v>
      </c>
      <c r="I45" s="43" t="n">
        <v>0.855585867482458</v>
      </c>
      <c r="J45" s="44" t="n">
        <f aca="false">IFERROR(1/I45,"")</f>
        <v>1.16878975916523</v>
      </c>
      <c r="K45" s="43" t="n">
        <v>0.514348589426089</v>
      </c>
      <c r="L45" s="44" t="n">
        <f aca="false">IFERROR(1/K45,"")</f>
        <v>1.94420675113701</v>
      </c>
    </row>
    <row r="46" customFormat="false" ht="18.75" hidden="false" customHeight="true" outlineLevel="0" collapsed="false">
      <c r="A46" s="35" t="n">
        <v>32</v>
      </c>
      <c r="B46" s="33" t="n">
        <v>46320</v>
      </c>
      <c r="C46" s="34" t="s">
        <v>88</v>
      </c>
      <c r="D46" s="34" t="s">
        <v>103</v>
      </c>
      <c r="E46" s="36" t="n">
        <v>0.541001846704999</v>
      </c>
      <c r="F46" s="37" t="n">
        <f aca="false">IFERROR(1/E46,"")</f>
        <v>1.84842252589442</v>
      </c>
      <c r="G46" s="36" t="n">
        <v>0.458998153295001</v>
      </c>
      <c r="H46" s="37" t="n">
        <f aca="false">IFERROR(1/G46,"")</f>
        <v>2.17865800291639</v>
      </c>
      <c r="I46" s="36" t="n">
        <v>0.782031164658998</v>
      </c>
      <c r="J46" s="37" t="n">
        <f aca="false">IFERROR(1/I46,"")</f>
        <v>1.27872141826477</v>
      </c>
      <c r="K46" s="36" t="n">
        <v>0.693598126870245</v>
      </c>
      <c r="L46" s="37" t="n">
        <f aca="false">IFERROR(1/K46,"")</f>
        <v>1.4417570654528</v>
      </c>
    </row>
    <row r="47" customFormat="false" ht="18.75" hidden="false" customHeight="true" outlineLevel="0" collapsed="false">
      <c r="A47" s="42" t="n">
        <v>32</v>
      </c>
      <c r="B47" s="40" t="n">
        <v>46320</v>
      </c>
      <c r="C47" s="41" t="s">
        <v>84</v>
      </c>
      <c r="D47" s="41" t="s">
        <v>101</v>
      </c>
      <c r="E47" s="43" t="n">
        <v>0.499099930854435</v>
      </c>
      <c r="F47" s="44" t="n">
        <f aca="false">IFERROR(1/E47,"")</f>
        <v>2.00360676926572</v>
      </c>
      <c r="G47" s="43" t="n">
        <v>0.500900069145565</v>
      </c>
      <c r="H47" s="44" t="n">
        <f aca="false">IFERROR(1/G47,"")</f>
        <v>1.99640619276775</v>
      </c>
      <c r="I47" s="43" t="n">
        <v>0.735964112241475</v>
      </c>
      <c r="J47" s="44" t="n">
        <f aca="false">IFERROR(1/I47,"")</f>
        <v>1.35876190614019</v>
      </c>
      <c r="K47" s="43" t="n">
        <v>0.680203815688175</v>
      </c>
      <c r="L47" s="44" t="n">
        <f aca="false">IFERROR(1/K47,"")</f>
        <v>1.47014758949607</v>
      </c>
    </row>
    <row r="48" customFormat="false" ht="18.75" hidden="false" customHeight="true" outlineLevel="0" collapsed="false">
      <c r="A48" s="35" t="n">
        <v>32</v>
      </c>
      <c r="B48" s="33" t="n">
        <v>46320</v>
      </c>
      <c r="C48" s="34" t="s">
        <v>106</v>
      </c>
      <c r="D48" s="34" t="s">
        <v>92</v>
      </c>
      <c r="E48" s="36" t="n">
        <v>0.467089364929079</v>
      </c>
      <c r="F48" s="37" t="n">
        <f aca="false">IFERROR(1/E48,"")</f>
        <v>2.14091793794499</v>
      </c>
      <c r="G48" s="36" t="n">
        <v>0.532910635070921</v>
      </c>
      <c r="H48" s="37" t="n">
        <f aca="false">IFERROR(1/G48,"")</f>
        <v>1.87648722729453</v>
      </c>
      <c r="I48" s="36" t="n">
        <v>0.676113539415575</v>
      </c>
      <c r="J48" s="37" t="n">
        <f aca="false">IFERROR(1/I48,"")</f>
        <v>1.47904152439306</v>
      </c>
      <c r="K48" s="36" t="n">
        <v>0.693144013460555</v>
      </c>
      <c r="L48" s="37" t="n">
        <f aca="false">IFERROR(1/K48,"")</f>
        <v>1.44270163282151</v>
      </c>
    </row>
    <row r="49" customFormat="false" ht="18.75" hidden="false" customHeight="true" outlineLevel="0" collapsed="false">
      <c r="A49" s="42" t="n">
        <v>33</v>
      </c>
      <c r="B49" s="40" t="n">
        <v>46323</v>
      </c>
      <c r="C49" s="41" t="s">
        <v>90</v>
      </c>
      <c r="D49" s="41" t="s">
        <v>96</v>
      </c>
      <c r="E49" s="43" t="n">
        <v>0.451207343807505</v>
      </c>
      <c r="F49" s="44" t="n">
        <f aca="false">IFERROR(1/E49,"")</f>
        <v>2.21627598425486</v>
      </c>
      <c r="G49" s="43" t="n">
        <v>0.548792656192495</v>
      </c>
      <c r="H49" s="44" t="n">
        <f aca="false">IFERROR(1/G49,"")</f>
        <v>1.82218181806215</v>
      </c>
      <c r="I49" s="43" t="n">
        <v>0.724989953658162</v>
      </c>
      <c r="J49" s="44" t="n">
        <f aca="false">IFERROR(1/I49,"")</f>
        <v>1.37932945822792</v>
      </c>
      <c r="K49" s="43" t="n">
        <v>0.624479024602891</v>
      </c>
      <c r="L49" s="44" t="n">
        <f aca="false">IFERROR(1/K49,"")</f>
        <v>1.60133480966139</v>
      </c>
    </row>
    <row r="50" customFormat="false" ht="18.75" hidden="false" customHeight="true" outlineLevel="0" collapsed="false">
      <c r="A50" s="35" t="n">
        <v>33</v>
      </c>
      <c r="B50" s="33" t="n">
        <v>46323</v>
      </c>
      <c r="C50" s="34" t="s">
        <v>103</v>
      </c>
      <c r="D50" s="34" t="s">
        <v>87</v>
      </c>
      <c r="E50" s="36" t="n">
        <v>0.482801438085528</v>
      </c>
      <c r="F50" s="37" t="n">
        <f aca="false">IFERROR(1/E50,"")</f>
        <v>2.07124486614071</v>
      </c>
      <c r="G50" s="36" t="n">
        <v>0.517198561914472</v>
      </c>
      <c r="H50" s="37" t="n">
        <f aca="false">IFERROR(1/G50,"")</f>
        <v>1.93349338849354</v>
      </c>
      <c r="I50" s="36" t="n">
        <v>0.750785294642707</v>
      </c>
      <c r="J50" s="37" t="n">
        <f aca="false">IFERROR(1/I50,"")</f>
        <v>1.33193871421775</v>
      </c>
      <c r="K50" s="36" t="n">
        <v>0.645053496465432</v>
      </c>
      <c r="L50" s="37" t="n">
        <f aca="false">IFERROR(1/K50,"")</f>
        <v>1.55025901801865</v>
      </c>
    </row>
    <row r="51" customFormat="false" ht="18.75" hidden="false" customHeight="true" outlineLevel="0" collapsed="false">
      <c r="A51" s="42" t="n">
        <v>33</v>
      </c>
      <c r="B51" s="40" t="n">
        <v>46323</v>
      </c>
      <c r="C51" s="41" t="s">
        <v>91</v>
      </c>
      <c r="D51" s="41" t="s">
        <v>83</v>
      </c>
      <c r="E51" s="43" t="n">
        <v>0.49340637223671</v>
      </c>
      <c r="F51" s="44" t="n">
        <f aca="false">IFERROR(1/E51,"")</f>
        <v>2.02672696638837</v>
      </c>
      <c r="G51" s="43" t="n">
        <v>0.50659362776329</v>
      </c>
      <c r="H51" s="44" t="n">
        <f aca="false">IFERROR(1/G51,"")</f>
        <v>1.97396876943596</v>
      </c>
      <c r="I51" s="43" t="n">
        <v>0.869393474215552</v>
      </c>
      <c r="J51" s="44" t="n">
        <f aca="false">IFERROR(1/I51,"")</f>
        <v>1.1502271752181</v>
      </c>
      <c r="K51" s="43" t="n">
        <v>0.568832209581936</v>
      </c>
      <c r="L51" s="44" t="n">
        <f aca="false">IFERROR(1/K51,"")</f>
        <v>1.75798765111236</v>
      </c>
    </row>
    <row r="52" customFormat="false" ht="18.75" hidden="false" customHeight="true" outlineLevel="0" collapsed="false">
      <c r="A52" s="35" t="n">
        <v>33</v>
      </c>
      <c r="B52" s="33" t="n">
        <v>46323</v>
      </c>
      <c r="C52" s="34" t="s">
        <v>101</v>
      </c>
      <c r="D52" s="34" t="s">
        <v>95</v>
      </c>
      <c r="E52" s="36" t="n">
        <v>0.488522288223722</v>
      </c>
      <c r="F52" s="37" t="n">
        <f aca="false">IFERROR(1/E52,"")</f>
        <v>2.04698951123811</v>
      </c>
      <c r="G52" s="36" t="n">
        <v>0.511477711776278</v>
      </c>
      <c r="H52" s="37" t="n">
        <f aca="false">IFERROR(1/G52,"")</f>
        <v>1.95511940594081</v>
      </c>
      <c r="I52" s="36" t="n">
        <v>0.742811073014995</v>
      </c>
      <c r="J52" s="37" t="n">
        <f aca="false">IFERROR(1/I52,"")</f>
        <v>1.34623733588287</v>
      </c>
      <c r="K52" s="36" t="n">
        <v>0.659692628905795</v>
      </c>
      <c r="L52" s="37" t="n">
        <f aca="false">IFERROR(1/K52,"")</f>
        <v>1.51585747086285</v>
      </c>
    </row>
    <row r="53" customFormat="false" ht="18.75" hidden="false" customHeight="true" outlineLevel="0" collapsed="false">
      <c r="A53" s="42" t="n">
        <v>33</v>
      </c>
      <c r="B53" s="40" t="n">
        <v>46323</v>
      </c>
      <c r="C53" s="41" t="s">
        <v>99</v>
      </c>
      <c r="D53" s="41" t="s">
        <v>106</v>
      </c>
      <c r="E53" s="43" t="n">
        <v>0.522025142088135</v>
      </c>
      <c r="F53" s="44" t="n">
        <f aca="false">IFERROR(1/E53,"")</f>
        <v>1.9156165467432</v>
      </c>
      <c r="G53" s="43" t="n">
        <v>0.477974857911865</v>
      </c>
      <c r="H53" s="44" t="n">
        <f aca="false">IFERROR(1/G53,"")</f>
        <v>2.0921602537186</v>
      </c>
      <c r="I53" s="43" t="n">
        <v>0.777325259454745</v>
      </c>
      <c r="J53" s="44" t="n">
        <f aca="false">IFERROR(1/I53,"")</f>
        <v>1.28646276167772</v>
      </c>
      <c r="K53" s="43" t="n">
        <v>0.673412903572477</v>
      </c>
      <c r="L53" s="44" t="n">
        <f aca="false">IFERROR(1/K53,"")</f>
        <v>1.48497303020921</v>
      </c>
    </row>
    <row r="54" customFormat="false" ht="18.75" hidden="false" customHeight="true" outlineLevel="0" collapsed="false">
      <c r="A54" s="35" t="n">
        <v>33</v>
      </c>
      <c r="B54" s="33" t="n">
        <v>46323</v>
      </c>
      <c r="C54" s="34" t="s">
        <v>98</v>
      </c>
      <c r="D54" s="34" t="s">
        <v>100</v>
      </c>
      <c r="E54" s="36" t="n">
        <v>0.461237576053878</v>
      </c>
      <c r="F54" s="37" t="n">
        <f aca="false">IFERROR(1/E54,"")</f>
        <v>2.16808007828744</v>
      </c>
      <c r="G54" s="36" t="n">
        <v>0.538762423946123</v>
      </c>
      <c r="H54" s="37" t="n">
        <f aca="false">IFERROR(1/G54,"")</f>
        <v>1.85610568880357</v>
      </c>
      <c r="I54" s="36" t="n">
        <v>0.762226220885232</v>
      </c>
      <c r="J54" s="37" t="n">
        <f aca="false">IFERROR(1/I54,"")</f>
        <v>1.31194647022064</v>
      </c>
      <c r="K54" s="36" t="n">
        <v>0.607050747690124</v>
      </c>
      <c r="L54" s="37" t="n">
        <f aca="false">IFERROR(1/K54,"")</f>
        <v>1.64730873622194</v>
      </c>
    </row>
    <row r="55" customFormat="false" ht="18.75" hidden="false" customHeight="true" outlineLevel="0" collapsed="false">
      <c r="A55" s="42" t="n">
        <v>33</v>
      </c>
      <c r="B55" s="40" t="n">
        <v>46323</v>
      </c>
      <c r="C55" s="41" t="s">
        <v>105</v>
      </c>
      <c r="D55" s="41" t="s">
        <v>92</v>
      </c>
      <c r="E55" s="43" t="n">
        <v>0.497335239804342</v>
      </c>
      <c r="F55" s="44" t="n">
        <f aca="false">IFERROR(1/E55,"")</f>
        <v>2.01071615273716</v>
      </c>
      <c r="G55" s="43" t="n">
        <v>0.502664760195658</v>
      </c>
      <c r="H55" s="44" t="n">
        <f aca="false">IFERROR(1/G55,"")</f>
        <v>1.98939746564044</v>
      </c>
      <c r="I55" s="43" t="n">
        <v>0.745017335277934</v>
      </c>
      <c r="J55" s="44" t="n">
        <f aca="false">IFERROR(1/I55,"")</f>
        <v>1.34225064659327</v>
      </c>
      <c r="K55" s="43" t="n">
        <v>0.669558596138511</v>
      </c>
      <c r="L55" s="44" t="n">
        <f aca="false">IFERROR(1/K55,"")</f>
        <v>1.49352126276507</v>
      </c>
    </row>
    <row r="56" customFormat="false" ht="18.75" hidden="false" customHeight="true" outlineLevel="0" collapsed="false">
      <c r="A56" s="35" t="n">
        <v>33</v>
      </c>
      <c r="B56" s="33" t="n">
        <v>46323</v>
      </c>
      <c r="C56" s="34" t="s">
        <v>104</v>
      </c>
      <c r="D56" s="34" t="s">
        <v>93</v>
      </c>
      <c r="E56" s="36" t="n">
        <v>0.553409569229142</v>
      </c>
      <c r="F56" s="37" t="n">
        <f aca="false">IFERROR(1/E56,"")</f>
        <v>1.80697995770642</v>
      </c>
      <c r="G56" s="36" t="n">
        <v>0.446590430770859</v>
      </c>
      <c r="H56" s="37" t="n">
        <f aca="false">IFERROR(1/G56,"")</f>
        <v>2.23918814891287</v>
      </c>
      <c r="I56" s="36" t="n">
        <v>0.71251588861883</v>
      </c>
      <c r="J56" s="37" t="n">
        <f aca="false">IFERROR(1/I56,"")</f>
        <v>1.40347747464052</v>
      </c>
      <c r="K56" s="36" t="n">
        <v>0.778669727922571</v>
      </c>
      <c r="L56" s="37" t="n">
        <f aca="false">IFERROR(1/K56,"")</f>
        <v>1.28424152646581</v>
      </c>
    </row>
    <row r="57" customFormat="false" ht="18.75" hidden="false" customHeight="true" outlineLevel="0" collapsed="false">
      <c r="A57" s="42" t="n">
        <v>33</v>
      </c>
      <c r="B57" s="40" t="n">
        <v>46323</v>
      </c>
      <c r="C57" s="41" t="s">
        <v>88</v>
      </c>
      <c r="D57" s="41" t="s">
        <v>102</v>
      </c>
      <c r="E57" s="43" t="n">
        <v>0.490426497242812</v>
      </c>
      <c r="F57" s="44" t="n">
        <f aca="false">IFERROR(1/E57,"")</f>
        <v>2.03904153960282</v>
      </c>
      <c r="G57" s="43" t="n">
        <v>0.509573502757188</v>
      </c>
      <c r="H57" s="44" t="n">
        <f aca="false">IFERROR(1/G57,"")</f>
        <v>1.96242542948019</v>
      </c>
      <c r="I57" s="43" t="n">
        <v>0.642494362830385</v>
      </c>
      <c r="J57" s="44" t="n">
        <f aca="false">IFERROR(1/I57,"")</f>
        <v>1.55643388931024</v>
      </c>
      <c r="K57" s="43" t="n">
        <v>0.765602374063458</v>
      </c>
      <c r="L57" s="44" t="n">
        <f aca="false">IFERROR(1/K57,"")</f>
        <v>1.30616104896915</v>
      </c>
    </row>
    <row r="58" customFormat="false" ht="18.75" hidden="false" customHeight="true" outlineLevel="0" collapsed="false">
      <c r="A58" s="35" t="n">
        <v>33</v>
      </c>
      <c r="B58" s="33" t="n">
        <v>46323</v>
      </c>
      <c r="C58" s="34" t="s">
        <v>84</v>
      </c>
      <c r="D58" s="34" t="s">
        <v>8</v>
      </c>
      <c r="E58" s="36" t="n">
        <v>0.553361531307425</v>
      </c>
      <c r="F58" s="37" t="n">
        <f aca="false">IFERROR(1/E58,"")</f>
        <v>1.80713682361928</v>
      </c>
      <c r="G58" s="36" t="n">
        <v>0.446638468692575</v>
      </c>
      <c r="H58" s="37" t="n">
        <f aca="false">IFERROR(1/G58,"")</f>
        <v>2.23894731442918</v>
      </c>
      <c r="I58" s="36" t="n">
        <v>0.673627942291996</v>
      </c>
      <c r="J58" s="37" t="n">
        <f aca="false">IFERROR(1/I58,"")</f>
        <v>1.48449899004714</v>
      </c>
      <c r="K58" s="36" t="n">
        <v>0.82341562866449</v>
      </c>
      <c r="L58" s="37" t="n">
        <f aca="false">IFERROR(1/K58,"")</f>
        <v>1.21445350948939</v>
      </c>
    </row>
    <row r="59" customFormat="false" ht="18.75" hidden="false" customHeight="true" outlineLevel="0" collapsed="false">
      <c r="A59" s="42" t="n">
        <v>34</v>
      </c>
      <c r="B59" s="40" t="n">
        <v>46330</v>
      </c>
      <c r="C59" s="41" t="s">
        <v>92</v>
      </c>
      <c r="D59" s="41" t="s">
        <v>84</v>
      </c>
      <c r="E59" s="43" t="n">
        <v>0.508199065873314</v>
      </c>
      <c r="F59" s="44" t="n">
        <f aca="false">IFERROR(1/E59,"")</f>
        <v>1.9677328573628</v>
      </c>
      <c r="G59" s="43" t="n">
        <v>0.491800934126686</v>
      </c>
      <c r="H59" s="44" t="n">
        <f aca="false">IFERROR(1/G59,"")</f>
        <v>2.03334302684021</v>
      </c>
      <c r="I59" s="43" t="n">
        <v>0.826022343319009</v>
      </c>
      <c r="J59" s="44" t="n">
        <f aca="false">IFERROR(1/I59,"")</f>
        <v>1.21062100570057</v>
      </c>
      <c r="K59" s="43" t="n">
        <v>0.61682665180001</v>
      </c>
      <c r="L59" s="44" t="n">
        <f aca="false">IFERROR(1/K59,"")</f>
        <v>1.62120102476413</v>
      </c>
    </row>
    <row r="60" customFormat="false" ht="18.75" hidden="false" customHeight="true" outlineLevel="0" collapsed="false">
      <c r="A60" s="35" t="n">
        <v>34</v>
      </c>
      <c r="B60" s="33" t="n">
        <v>46330</v>
      </c>
      <c r="C60" s="34" t="s">
        <v>93</v>
      </c>
      <c r="D60" s="34" t="s">
        <v>90</v>
      </c>
      <c r="E60" s="36" t="n">
        <v>0.494111806149052</v>
      </c>
      <c r="F60" s="37" t="n">
        <f aca="false">IFERROR(1/E60,"")</f>
        <v>2.0238334473197</v>
      </c>
      <c r="G60" s="36" t="n">
        <v>0.505888193850948</v>
      </c>
      <c r="H60" s="37" t="n">
        <f aca="false">IFERROR(1/G60,"")</f>
        <v>1.97672136285243</v>
      </c>
      <c r="I60" s="36" t="n">
        <v>0.778650088797329</v>
      </c>
      <c r="J60" s="37" t="n">
        <f aca="false">IFERROR(1/I60,"")</f>
        <v>1.28427391762654</v>
      </c>
      <c r="K60" s="36" t="n">
        <v>0.636427075386017</v>
      </c>
      <c r="L60" s="37" t="n">
        <f aca="false">IFERROR(1/K60,"")</f>
        <v>1.57127193149893</v>
      </c>
    </row>
    <row r="61" customFormat="false" ht="18.75" hidden="false" customHeight="true" outlineLevel="0" collapsed="false">
      <c r="A61" s="42" t="n">
        <v>34</v>
      </c>
      <c r="B61" s="40" t="n">
        <v>46330</v>
      </c>
      <c r="C61" s="41" t="s">
        <v>91</v>
      </c>
      <c r="D61" s="41" t="s">
        <v>88</v>
      </c>
      <c r="E61" s="43" t="n">
        <v>0.513669327911794</v>
      </c>
      <c r="F61" s="44" t="n">
        <f aca="false">IFERROR(1/E61,"")</f>
        <v>1.94677771410894</v>
      </c>
      <c r="G61" s="43" t="n">
        <v>0.486330672088206</v>
      </c>
      <c r="H61" s="44" t="n">
        <f aca="false">IFERROR(1/G61,"")</f>
        <v>2.0562141304109</v>
      </c>
      <c r="I61" s="43" t="n">
        <v>0.78655351066565</v>
      </c>
      <c r="J61" s="44" t="n">
        <f aca="false">IFERROR(1/I61,"")</f>
        <v>1.27136931745904</v>
      </c>
      <c r="K61" s="43" t="n">
        <v>0.654870731625434</v>
      </c>
      <c r="L61" s="44" t="n">
        <f aca="false">IFERROR(1/K61,"")</f>
        <v>1.52701892405228</v>
      </c>
    </row>
    <row r="62" customFormat="false" ht="18.75" hidden="false" customHeight="true" outlineLevel="0" collapsed="false">
      <c r="A62" s="35" t="n">
        <v>34</v>
      </c>
      <c r="B62" s="33" t="n">
        <v>46330</v>
      </c>
      <c r="C62" s="34" t="s">
        <v>83</v>
      </c>
      <c r="D62" s="34" t="s">
        <v>95</v>
      </c>
      <c r="E62" s="36" t="n">
        <v>0.553403221302399</v>
      </c>
      <c r="F62" s="37" t="n">
        <f aca="false">IFERROR(1/E62,"")</f>
        <v>1.80700068504582</v>
      </c>
      <c r="G62" s="36" t="n">
        <v>0.446596778697601</v>
      </c>
      <c r="H62" s="37" t="n">
        <f aca="false">IFERROR(1/G62,"")</f>
        <v>2.23915632109187</v>
      </c>
      <c r="I62" s="36" t="n">
        <v>0.68580334192923</v>
      </c>
      <c r="J62" s="37" t="n">
        <f aca="false">IFERROR(1/I62,"")</f>
        <v>1.45814395885985</v>
      </c>
      <c r="K62" s="36" t="n">
        <v>0.808911775563794</v>
      </c>
      <c r="L62" s="37" t="n">
        <f aca="false">IFERROR(1/K62,"")</f>
        <v>1.23622875844899</v>
      </c>
    </row>
    <row r="63" customFormat="false" ht="18.75" hidden="false" customHeight="true" outlineLevel="0" collapsed="false">
      <c r="A63" s="42" t="n">
        <v>34</v>
      </c>
      <c r="B63" s="40" t="n">
        <v>46330</v>
      </c>
      <c r="C63" s="41" t="s">
        <v>96</v>
      </c>
      <c r="D63" s="41" t="s">
        <v>103</v>
      </c>
      <c r="E63" s="43" t="n">
        <v>0.476525716331916</v>
      </c>
      <c r="F63" s="44" t="n">
        <f aca="false">IFERROR(1/E63,"")</f>
        <v>2.09852263105034</v>
      </c>
      <c r="G63" s="43" t="n">
        <v>0.523474283668085</v>
      </c>
      <c r="H63" s="44" t="n">
        <f aca="false">IFERROR(1/G63,"")</f>
        <v>1.91031351720434</v>
      </c>
      <c r="I63" s="43" t="n">
        <v>0.785340225221735</v>
      </c>
      <c r="J63" s="44" t="n">
        <f aca="false">IFERROR(1/I63,"")</f>
        <v>1.27333347749717</v>
      </c>
      <c r="K63" s="43" t="n">
        <v>0.608589764440669</v>
      </c>
      <c r="L63" s="44" t="n">
        <f aca="false">IFERROR(1/K63,"")</f>
        <v>1.64314298141222</v>
      </c>
    </row>
    <row r="64" customFormat="false" ht="18.75" hidden="false" customHeight="true" outlineLevel="0" collapsed="false">
      <c r="A64" s="35" t="n">
        <v>34</v>
      </c>
      <c r="B64" s="33" t="n">
        <v>46330</v>
      </c>
      <c r="C64" s="34" t="s">
        <v>8</v>
      </c>
      <c r="D64" s="34" t="s">
        <v>105</v>
      </c>
      <c r="E64" s="36" t="n">
        <v>0.490456907670505</v>
      </c>
      <c r="F64" s="37" t="n">
        <f aca="false">IFERROR(1/E64,"")</f>
        <v>2.03891511029918</v>
      </c>
      <c r="G64" s="36" t="n">
        <v>0.509543092329496</v>
      </c>
      <c r="H64" s="37" t="n">
        <f aca="false">IFERROR(1/G64,"")</f>
        <v>1.9625425504804</v>
      </c>
      <c r="I64" s="36" t="n">
        <v>0.884560976426909</v>
      </c>
      <c r="J64" s="37" t="n">
        <f aca="false">IFERROR(1/I64,"")</f>
        <v>1.13050431417334</v>
      </c>
      <c r="K64" s="36" t="n">
        <v>0.555656459614924</v>
      </c>
      <c r="L64" s="37" t="n">
        <f aca="false">IFERROR(1/K64,"")</f>
        <v>1.79967313021613</v>
      </c>
    </row>
    <row r="65" customFormat="false" ht="18.75" hidden="false" customHeight="true" outlineLevel="0" collapsed="false">
      <c r="A65" s="42" t="n">
        <v>34</v>
      </c>
      <c r="B65" s="40" t="n">
        <v>46330</v>
      </c>
      <c r="C65" s="41" t="s">
        <v>100</v>
      </c>
      <c r="D65" s="41" t="s">
        <v>99</v>
      </c>
      <c r="E65" s="43" t="n">
        <v>0.505599498703513</v>
      </c>
      <c r="F65" s="44" t="n">
        <f aca="false">IFERROR(1/E65,"")</f>
        <v>1.97785006228103</v>
      </c>
      <c r="G65" s="43" t="n">
        <v>0.494400501296487</v>
      </c>
      <c r="H65" s="44" t="n">
        <f aca="false">IFERROR(1/G65,"")</f>
        <v>2.0226516708168</v>
      </c>
      <c r="I65" s="43" t="n">
        <v>0.845308763698703</v>
      </c>
      <c r="J65" s="44" t="n">
        <f aca="false">IFERROR(1/I65,"")</f>
        <v>1.18299968360015</v>
      </c>
      <c r="K65" s="43" t="n">
        <v>0.599594174338305</v>
      </c>
      <c r="L65" s="44" t="n">
        <f aca="false">IFERROR(1/K65,"")</f>
        <v>1.66779472316183</v>
      </c>
    </row>
    <row r="66" customFormat="false" ht="18.75" hidden="false" customHeight="true" outlineLevel="0" collapsed="false">
      <c r="A66" s="35" t="n">
        <v>34</v>
      </c>
      <c r="B66" s="33" t="n">
        <v>46330</v>
      </c>
      <c r="C66" s="34" t="s">
        <v>102</v>
      </c>
      <c r="D66" s="34" t="s">
        <v>104</v>
      </c>
      <c r="E66" s="36" t="n">
        <v>0.445792544492652</v>
      </c>
      <c r="F66" s="37" t="n">
        <f aca="false">IFERROR(1/E66,"")</f>
        <v>2.24319588192773</v>
      </c>
      <c r="G66" s="36" t="n">
        <v>0.554207455507348</v>
      </c>
      <c r="H66" s="37" t="n">
        <f aca="false">IFERROR(1/G66,"")</f>
        <v>1.80437846886154</v>
      </c>
      <c r="I66" s="36" t="n">
        <v>0.915716450031401</v>
      </c>
      <c r="J66" s="37" t="n">
        <f aca="false">IFERROR(1/I66,"")</f>
        <v>1.09204110067664</v>
      </c>
      <c r="K66" s="36" t="n">
        <v>0.487740098378873</v>
      </c>
      <c r="L66" s="37" t="n">
        <f aca="false">IFERROR(1/K66,"")</f>
        <v>2.05027227272015</v>
      </c>
    </row>
    <row r="67" customFormat="false" ht="18.75" hidden="false" customHeight="true" outlineLevel="0" collapsed="false">
      <c r="A67" s="42" t="n">
        <v>34</v>
      </c>
      <c r="B67" s="40" t="n">
        <v>46330</v>
      </c>
      <c r="C67" s="41" t="s">
        <v>87</v>
      </c>
      <c r="D67" s="41" t="s">
        <v>101</v>
      </c>
      <c r="E67" s="43" t="n">
        <v>0.418258926774453</v>
      </c>
      <c r="F67" s="44" t="n">
        <f aca="false">IFERROR(1/E67,"")</f>
        <v>2.39086349623628</v>
      </c>
      <c r="G67" s="43" t="n">
        <v>0.581741073225548</v>
      </c>
      <c r="H67" s="44" t="n">
        <f aca="false">IFERROR(1/G67,"")</f>
        <v>1.71897781680663</v>
      </c>
      <c r="I67" s="43" t="n">
        <v>0.722997002335882</v>
      </c>
      <c r="J67" s="44" t="n">
        <f aca="false">IFERROR(1/I67,"")</f>
        <v>1.38313159912028</v>
      </c>
      <c r="K67" s="43" t="n">
        <v>0.580612368629819</v>
      </c>
      <c r="L67" s="44" t="n">
        <f aca="false">IFERROR(1/K67,"")</f>
        <v>1.72231949236612</v>
      </c>
    </row>
    <row r="68" customFormat="false" ht="18.75" hidden="false" customHeight="true" outlineLevel="0" collapsed="false">
      <c r="A68" s="35" t="n">
        <v>34</v>
      </c>
      <c r="B68" s="33" t="n">
        <v>46330</v>
      </c>
      <c r="C68" s="34" t="s">
        <v>106</v>
      </c>
      <c r="D68" s="34" t="s">
        <v>98</v>
      </c>
      <c r="E68" s="36" t="n">
        <v>0.464706683838156</v>
      </c>
      <c r="F68" s="37" t="n">
        <f aca="false">IFERROR(1/E68,"")</f>
        <v>2.15189502277155</v>
      </c>
      <c r="G68" s="36" t="n">
        <v>0.535293316161844</v>
      </c>
      <c r="H68" s="37" t="n">
        <f aca="false">IFERROR(1/G68,"")</f>
        <v>1.86813466525267</v>
      </c>
      <c r="I68" s="36" t="n">
        <v>0.667589098738626</v>
      </c>
      <c r="J68" s="37" t="n">
        <f aca="false">IFERROR(1/I68,"")</f>
        <v>1.49792739559326</v>
      </c>
      <c r="K68" s="36" t="n">
        <v>0.698425431889446</v>
      </c>
      <c r="L68" s="37" t="n">
        <f aca="false">IFERROR(1/K68,"")</f>
        <v>1.43179207735135</v>
      </c>
    </row>
    <row r="69" customFormat="false" ht="18.75" hidden="false" customHeight="true" outlineLevel="0" collapsed="false">
      <c r="A69" s="42" t="n">
        <v>35</v>
      </c>
      <c r="B69" s="40" t="n">
        <v>46344</v>
      </c>
      <c r="C69" s="41" t="s">
        <v>101</v>
      </c>
      <c r="D69" s="41" t="s">
        <v>93</v>
      </c>
      <c r="E69" s="43" t="n">
        <v>0.46925641905771</v>
      </c>
      <c r="F69" s="44" t="n">
        <f aca="false">IFERROR(1/E69,"")</f>
        <v>2.13103105122792</v>
      </c>
      <c r="G69" s="43" t="n">
        <v>0.53074358094229</v>
      </c>
      <c r="H69" s="44" t="n">
        <f aca="false">IFERROR(1/G69,"")</f>
        <v>1.88414902394973</v>
      </c>
      <c r="I69" s="43" t="n">
        <v>0.718570294839224</v>
      </c>
      <c r="J69" s="44" t="n">
        <f aca="false">IFERROR(1/I69,"")</f>
        <v>1.39165229509487</v>
      </c>
      <c r="K69" s="43" t="n">
        <v>0.655183049701234</v>
      </c>
      <c r="L69" s="44" t="n">
        <f aca="false">IFERROR(1/K69,"")</f>
        <v>1.52629101204008</v>
      </c>
    </row>
    <row r="70" customFormat="false" ht="18.75" hidden="false" customHeight="true" outlineLevel="0" collapsed="false">
      <c r="A70" s="35" t="n">
        <v>35</v>
      </c>
      <c r="B70" s="33" t="n">
        <v>46344</v>
      </c>
      <c r="C70" s="34" t="s">
        <v>99</v>
      </c>
      <c r="D70" s="34" t="s">
        <v>88</v>
      </c>
      <c r="E70" s="36" t="n">
        <v>0.56434970264234</v>
      </c>
      <c r="F70" s="37" t="n">
        <f aca="false">IFERROR(1/E70,"")</f>
        <v>1.77195096465525</v>
      </c>
      <c r="G70" s="36" t="n">
        <v>0.43565029735766</v>
      </c>
      <c r="H70" s="37" t="n">
        <f aca="false">IFERROR(1/G70,"")</f>
        <v>2.29541906906819</v>
      </c>
      <c r="I70" s="36" t="n">
        <v>0.763731348406066</v>
      </c>
      <c r="J70" s="37" t="n">
        <f aca="false">IFERROR(1/I70,"")</f>
        <v>1.30936094490168</v>
      </c>
      <c r="K70" s="36" t="n">
        <v>0.740772147269717</v>
      </c>
      <c r="L70" s="37" t="n">
        <f aca="false">IFERROR(1/K70,"")</f>
        <v>1.34994276402768</v>
      </c>
    </row>
    <row r="71" customFormat="false" ht="18.75" hidden="false" customHeight="true" outlineLevel="0" collapsed="false">
      <c r="A71" s="42" t="n">
        <v>35</v>
      </c>
      <c r="B71" s="40" t="n">
        <v>46344</v>
      </c>
      <c r="C71" s="41" t="s">
        <v>96</v>
      </c>
      <c r="D71" s="41" t="s">
        <v>102</v>
      </c>
      <c r="E71" s="43" t="n">
        <v>0.440082416626655</v>
      </c>
      <c r="F71" s="44" t="n">
        <f aca="false">IFERROR(1/E71,"")</f>
        <v>2.2723016467353</v>
      </c>
      <c r="G71" s="43" t="n">
        <v>0.559917583373345</v>
      </c>
      <c r="H71" s="44" t="n">
        <f aca="false">IFERROR(1/G71,"")</f>
        <v>1.78597713251883</v>
      </c>
      <c r="I71" s="43" t="n">
        <v>0.64616807257743</v>
      </c>
      <c r="J71" s="44" t="n">
        <f aca="false">IFERROR(1/I71,"")</f>
        <v>1.54758497431049</v>
      </c>
      <c r="K71" s="43" t="n">
        <v>0.683497912291735</v>
      </c>
      <c r="L71" s="44" t="n">
        <f aca="false">IFERROR(1/K71,"")</f>
        <v>1.46306225961547</v>
      </c>
    </row>
    <row r="72" customFormat="false" ht="18.75" hidden="false" customHeight="true" outlineLevel="0" collapsed="false">
      <c r="A72" s="35" t="n">
        <v>35</v>
      </c>
      <c r="B72" s="33" t="n">
        <v>46344</v>
      </c>
      <c r="C72" s="34" t="s">
        <v>8</v>
      </c>
      <c r="D72" s="34" t="s">
        <v>92</v>
      </c>
      <c r="E72" s="36" t="n">
        <v>0.475883683960431</v>
      </c>
      <c r="F72" s="37" t="n">
        <f aca="false">IFERROR(1/E72,"")</f>
        <v>2.1013538259554</v>
      </c>
      <c r="G72" s="36" t="n">
        <v>0.524116316039569</v>
      </c>
      <c r="H72" s="37" t="n">
        <f aca="false">IFERROR(1/G72,"")</f>
        <v>1.90797342001561</v>
      </c>
      <c r="I72" s="36" t="n">
        <v>0.853192608339236</v>
      </c>
      <c r="J72" s="37" t="n">
        <f aca="false">IFERROR(1/I72,"")</f>
        <v>1.17206828824564</v>
      </c>
      <c r="K72" s="36" t="n">
        <v>0.559168289190051</v>
      </c>
      <c r="L72" s="37" t="n">
        <f aca="false">IFERROR(1/K72,"")</f>
        <v>1.78837036958675</v>
      </c>
    </row>
    <row r="73" customFormat="false" ht="18.75" hidden="false" customHeight="true" outlineLevel="0" collapsed="false">
      <c r="A73" s="42" t="n">
        <v>35</v>
      </c>
      <c r="B73" s="40" t="n">
        <v>46344</v>
      </c>
      <c r="C73" s="41" t="s">
        <v>105</v>
      </c>
      <c r="D73" s="41" t="s">
        <v>103</v>
      </c>
      <c r="E73" s="43" t="n">
        <v>0.535127577286278</v>
      </c>
      <c r="F73" s="44" t="n">
        <f aca="false">IFERROR(1/E73,"")</f>
        <v>1.86871326099688</v>
      </c>
      <c r="G73" s="43" t="n">
        <v>0.464872422713722</v>
      </c>
      <c r="H73" s="44" t="n">
        <f aca="false">IFERROR(1/G73,"")</f>
        <v>2.15112781731047</v>
      </c>
      <c r="I73" s="43" t="n">
        <v>0.783610947823457</v>
      </c>
      <c r="J73" s="44" t="n">
        <f aca="false">IFERROR(1/I73,"")</f>
        <v>1.27614347754786</v>
      </c>
      <c r="K73" s="43" t="n">
        <v>0.684706316342607</v>
      </c>
      <c r="L73" s="44" t="n">
        <f aca="false">IFERROR(1/K73,"")</f>
        <v>1.4604801739548</v>
      </c>
    </row>
    <row r="74" customFormat="false" ht="18.75" hidden="false" customHeight="true" outlineLevel="0" collapsed="false">
      <c r="A74" s="35" t="n">
        <v>35</v>
      </c>
      <c r="B74" s="33" t="n">
        <v>46344</v>
      </c>
      <c r="C74" s="34" t="s">
        <v>95</v>
      </c>
      <c r="D74" s="34" t="s">
        <v>90</v>
      </c>
      <c r="E74" s="36" t="n">
        <v>0.516465291965736</v>
      </c>
      <c r="F74" s="37" t="n">
        <f aca="false">IFERROR(1/E74,"")</f>
        <v>1.93623853443058</v>
      </c>
      <c r="G74" s="36" t="n">
        <v>0.483534708034264</v>
      </c>
      <c r="H74" s="37" t="n">
        <f aca="false">IFERROR(1/G74,"")</f>
        <v>2.06810386800432</v>
      </c>
      <c r="I74" s="36" t="n">
        <v>0.782738913963409</v>
      </c>
      <c r="J74" s="37" t="n">
        <f aca="false">IFERROR(1/I74,"")</f>
        <v>1.27756520362133</v>
      </c>
      <c r="K74" s="36" t="n">
        <v>0.661642971664659</v>
      </c>
      <c r="L74" s="37" t="n">
        <f aca="false">IFERROR(1/K74,"")</f>
        <v>1.51138913708106</v>
      </c>
    </row>
    <row r="75" customFormat="false" ht="18.75" hidden="false" customHeight="true" outlineLevel="0" collapsed="false">
      <c r="A75" s="42" t="n">
        <v>35</v>
      </c>
      <c r="B75" s="40" t="n">
        <v>46344</v>
      </c>
      <c r="C75" s="41" t="s">
        <v>104</v>
      </c>
      <c r="D75" s="41" t="s">
        <v>83</v>
      </c>
      <c r="E75" s="43" t="n">
        <v>0.557594923433604</v>
      </c>
      <c r="F75" s="44" t="n">
        <f aca="false">IFERROR(1/E75,"")</f>
        <v>1.79341661477497</v>
      </c>
      <c r="G75" s="43" t="n">
        <v>0.442405076566396</v>
      </c>
      <c r="H75" s="44" t="n">
        <f aca="false">IFERROR(1/G75,"")</f>
        <v>2.26037189211575</v>
      </c>
      <c r="I75" s="43" t="n">
        <v>0.848207176718793</v>
      </c>
      <c r="J75" s="44" t="n">
        <f aca="false">IFERROR(1/I75,"")</f>
        <v>1.17895724941683</v>
      </c>
      <c r="K75" s="43" t="n">
        <v>0.658834397153807</v>
      </c>
      <c r="L75" s="44" t="n">
        <f aca="false">IFERROR(1/K75,"")</f>
        <v>1.51783210518462</v>
      </c>
    </row>
    <row r="76" customFormat="false" ht="18.75" hidden="false" customHeight="true" outlineLevel="0" collapsed="false">
      <c r="A76" s="35" t="n">
        <v>35</v>
      </c>
      <c r="B76" s="33" t="n">
        <v>46344</v>
      </c>
      <c r="C76" s="34" t="s">
        <v>87</v>
      </c>
      <c r="D76" s="34" t="s">
        <v>98</v>
      </c>
      <c r="E76" s="36" t="n">
        <v>0.442958602803409</v>
      </c>
      <c r="F76" s="37" t="n">
        <f aca="false">IFERROR(1/E76,"")</f>
        <v>2.25754730503296</v>
      </c>
      <c r="G76" s="36" t="n">
        <v>0.557041397196591</v>
      </c>
      <c r="H76" s="37" t="n">
        <f aca="false">IFERROR(1/G76,"")</f>
        <v>1.79519871419373</v>
      </c>
      <c r="I76" s="36" t="n">
        <v>0.718291971108908</v>
      </c>
      <c r="J76" s="37" t="n">
        <f aca="false">IFERROR(1/I76,"")</f>
        <v>1.39219153244354</v>
      </c>
      <c r="K76" s="36" t="n">
        <v>0.61882869457938</v>
      </c>
      <c r="L76" s="37" t="n">
        <f aca="false">IFERROR(1/K76,"")</f>
        <v>1.61595609376146</v>
      </c>
    </row>
    <row r="77" customFormat="false" ht="18.75" hidden="false" customHeight="true" outlineLevel="0" collapsed="false">
      <c r="A77" s="42" t="n">
        <v>35</v>
      </c>
      <c r="B77" s="40" t="n">
        <v>46344</v>
      </c>
      <c r="C77" s="41" t="s">
        <v>84</v>
      </c>
      <c r="D77" s="41" t="s">
        <v>100</v>
      </c>
      <c r="E77" s="43" t="n">
        <v>0.524154698500133</v>
      </c>
      <c r="F77" s="44" t="n">
        <f aca="false">IFERROR(1/E77,"")</f>
        <v>1.90783370417454</v>
      </c>
      <c r="G77" s="43" t="n">
        <v>0.475845301499867</v>
      </c>
      <c r="H77" s="44" t="n">
        <f aca="false">IFERROR(1/G77,"")</f>
        <v>2.10152332459309</v>
      </c>
      <c r="I77" s="43" t="n">
        <v>0.74842211387769</v>
      </c>
      <c r="J77" s="44" t="n">
        <f aca="false">IFERROR(1/I77,"")</f>
        <v>1.33614437822908</v>
      </c>
      <c r="K77" s="43" t="n">
        <v>0.702311656500192</v>
      </c>
      <c r="L77" s="44" t="n">
        <f aca="false">IFERROR(1/K77,"")</f>
        <v>1.42386929042766</v>
      </c>
    </row>
    <row r="78" customFormat="false" ht="18.75" hidden="false" customHeight="true" outlineLevel="0" collapsed="false">
      <c r="A78" s="35" t="n">
        <v>35</v>
      </c>
      <c r="B78" s="33" t="n">
        <v>46344</v>
      </c>
      <c r="C78" s="34" t="s">
        <v>106</v>
      </c>
      <c r="D78" s="34" t="s">
        <v>91</v>
      </c>
      <c r="E78" s="36" t="n">
        <v>0.482615294393247</v>
      </c>
      <c r="F78" s="37" t="n">
        <f aca="false">IFERROR(1/E78,"")</f>
        <v>2.07204374087899</v>
      </c>
      <c r="G78" s="36" t="n">
        <v>0.517384705606753</v>
      </c>
      <c r="H78" s="37" t="n">
        <f aca="false">IFERROR(1/G78,"")</f>
        <v>1.93279775989371</v>
      </c>
      <c r="I78" s="36" t="n">
        <v>0.709626234529072</v>
      </c>
      <c r="J78" s="37" t="n">
        <f aca="false">IFERROR(1/I78,"")</f>
        <v>1.40919254579649</v>
      </c>
      <c r="K78" s="36" t="n">
        <v>0.682262933877814</v>
      </c>
      <c r="L78" s="37" t="n">
        <f aca="false">IFERROR(1/K78,"")</f>
        <v>1.46571057922823</v>
      </c>
    </row>
    <row r="79" customFormat="false" ht="18.75" hidden="false" customHeight="true" outlineLevel="0" collapsed="false">
      <c r="A79" s="42" t="n">
        <v>36</v>
      </c>
      <c r="B79" s="40" t="n">
        <v>46348</v>
      </c>
      <c r="C79" s="41" t="s">
        <v>92</v>
      </c>
      <c r="D79" s="41" t="s">
        <v>104</v>
      </c>
      <c r="E79" s="43" t="n">
        <v>0.501073756540422</v>
      </c>
      <c r="F79" s="44" t="n">
        <f aca="false">IFERROR(1/E79,"")</f>
        <v>1.99571417769777</v>
      </c>
      <c r="G79" s="43" t="n">
        <v>0.498926243459578</v>
      </c>
      <c r="H79" s="44" t="n">
        <f aca="false">IFERROR(1/G79,"")</f>
        <v>2.00430426963704</v>
      </c>
      <c r="I79" s="43" t="n">
        <v>0.855556870549716</v>
      </c>
      <c r="J79" s="44" t="n">
        <f aca="false">IFERROR(1/I79,"")</f>
        <v>1.16882937233322</v>
      </c>
      <c r="K79" s="43" t="n">
        <v>0.587071014223227</v>
      </c>
      <c r="L79" s="44" t="n">
        <f aca="false">IFERROR(1/K79,"")</f>
        <v>1.70337144190832</v>
      </c>
    </row>
    <row r="80" customFormat="false" ht="18.75" hidden="false" customHeight="true" outlineLevel="0" collapsed="false">
      <c r="A80" s="35" t="n">
        <v>36</v>
      </c>
      <c r="B80" s="33" t="n">
        <v>46348</v>
      </c>
      <c r="C80" s="34" t="s">
        <v>90</v>
      </c>
      <c r="D80" s="34" t="s">
        <v>101</v>
      </c>
      <c r="E80" s="36" t="n">
        <v>0.445065720633014</v>
      </c>
      <c r="F80" s="37" t="n">
        <f aca="false">IFERROR(1/E80,"")</f>
        <v>2.24685917975823</v>
      </c>
      <c r="G80" s="36" t="n">
        <v>0.554934279366987</v>
      </c>
      <c r="H80" s="37" t="n">
        <f aca="false">IFERROR(1/G80,"")</f>
        <v>1.80201518843042</v>
      </c>
      <c r="I80" s="36" t="n">
        <v>0.752785894362339</v>
      </c>
      <c r="J80" s="37" t="n">
        <f aca="false">IFERROR(1/I80,"")</f>
        <v>1.32839896109779</v>
      </c>
      <c r="K80" s="36" t="n">
        <v>0.593197115025506</v>
      </c>
      <c r="L80" s="37" t="n">
        <f aca="false">IFERROR(1/K80,"")</f>
        <v>1.68578028225407</v>
      </c>
    </row>
    <row r="81" customFormat="false" ht="18.75" hidden="false" customHeight="true" outlineLevel="0" collapsed="false">
      <c r="A81" s="42" t="n">
        <v>36</v>
      </c>
      <c r="B81" s="40" t="n">
        <v>46348</v>
      </c>
      <c r="C81" s="41" t="s">
        <v>103</v>
      </c>
      <c r="D81" s="41" t="s">
        <v>99</v>
      </c>
      <c r="E81" s="43" t="n">
        <v>0.545385015443542</v>
      </c>
      <c r="F81" s="44" t="n">
        <f aca="false">IFERROR(1/E81,"")</f>
        <v>1.83356706121956</v>
      </c>
      <c r="G81" s="43" t="n">
        <v>0.454614984556458</v>
      </c>
      <c r="H81" s="44" t="n">
        <f aca="false">IFERROR(1/G81,"")</f>
        <v>2.1996635262158</v>
      </c>
      <c r="I81" s="43" t="n">
        <v>0.864966596650561</v>
      </c>
      <c r="J81" s="44" t="n">
        <f aca="false">IFERROR(1/I81,"")</f>
        <v>1.15611400934132</v>
      </c>
      <c r="K81" s="43" t="n">
        <v>0.631877859157555</v>
      </c>
      <c r="L81" s="44" t="n">
        <f aca="false">IFERROR(1/K81,"")</f>
        <v>1.58258433256902</v>
      </c>
    </row>
    <row r="82" customFormat="false" ht="18.75" hidden="false" customHeight="true" outlineLevel="0" collapsed="false">
      <c r="A82" s="35" t="n">
        <v>36</v>
      </c>
      <c r="B82" s="33" t="n">
        <v>46348</v>
      </c>
      <c r="C82" s="34" t="s">
        <v>93</v>
      </c>
      <c r="D82" s="34" t="s">
        <v>87</v>
      </c>
      <c r="E82" s="36" t="n">
        <v>0.462764286656838</v>
      </c>
      <c r="F82" s="37" t="n">
        <f aca="false">IFERROR(1/E82,"")</f>
        <v>2.16092734213422</v>
      </c>
      <c r="G82" s="36" t="n">
        <v>0.537235713343162</v>
      </c>
      <c r="H82" s="37" t="n">
        <f aca="false">IFERROR(1/G82,"")</f>
        <v>1.86138034974835</v>
      </c>
      <c r="I82" s="36" t="n">
        <v>0.767049390498203</v>
      </c>
      <c r="J82" s="37" t="n">
        <f aca="false">IFERROR(1/I82,"")</f>
        <v>1.30369701402213</v>
      </c>
      <c r="K82" s="36" t="n">
        <v>0.605211249852858</v>
      </c>
      <c r="L82" s="37" t="n">
        <f aca="false">IFERROR(1/K82,"")</f>
        <v>1.65231561746932</v>
      </c>
    </row>
    <row r="83" customFormat="false" ht="18.75" hidden="false" customHeight="true" outlineLevel="0" collapsed="false">
      <c r="A83" s="42" t="n">
        <v>36</v>
      </c>
      <c r="B83" s="40" t="n">
        <v>46348</v>
      </c>
      <c r="C83" s="41" t="s">
        <v>91</v>
      </c>
      <c r="D83" s="41" t="s">
        <v>84</v>
      </c>
      <c r="E83" s="43" t="n">
        <v>0.530267302887112</v>
      </c>
      <c r="F83" s="44" t="n">
        <f aca="false">IFERROR(1/E83,"")</f>
        <v>1.8858413380485</v>
      </c>
      <c r="G83" s="43" t="n">
        <v>0.469732697112888</v>
      </c>
      <c r="H83" s="44" t="n">
        <f aca="false">IFERROR(1/G83,"")</f>
        <v>2.12887032592427</v>
      </c>
      <c r="I83" s="43" t="n">
        <v>0.816812632242635</v>
      </c>
      <c r="J83" s="44" t="n">
        <f aca="false">IFERROR(1/I83,"")</f>
        <v>1.22427097785499</v>
      </c>
      <c r="K83" s="43" t="n">
        <v>0.650833407790888</v>
      </c>
      <c r="L83" s="44" t="n">
        <f aca="false">IFERROR(1/K83,"")</f>
        <v>1.53649150155688</v>
      </c>
    </row>
    <row r="84" customFormat="false" ht="18.75" hidden="false" customHeight="true" outlineLevel="0" collapsed="false">
      <c r="A84" s="35" t="n">
        <v>36</v>
      </c>
      <c r="B84" s="33" t="n">
        <v>46348</v>
      </c>
      <c r="C84" s="34" t="s">
        <v>83</v>
      </c>
      <c r="D84" s="34" t="s">
        <v>96</v>
      </c>
      <c r="E84" s="36" t="n">
        <v>0.483325354102893</v>
      </c>
      <c r="F84" s="37" t="n">
        <f aca="false">IFERROR(1/E84,"")</f>
        <v>2.0689996738452</v>
      </c>
      <c r="G84" s="36" t="n">
        <v>0.516674645897107</v>
      </c>
      <c r="H84" s="37" t="n">
        <f aca="false">IFERROR(1/G84,"")</f>
        <v>1.93545398045165</v>
      </c>
      <c r="I84" s="36" t="n">
        <v>0.626006424287367</v>
      </c>
      <c r="J84" s="37" t="n">
        <f aca="false">IFERROR(1/I84,"")</f>
        <v>1.59742769595117</v>
      </c>
      <c r="K84" s="36" t="n">
        <v>0.774395582784739</v>
      </c>
      <c r="L84" s="37" t="n">
        <f aca="false">IFERROR(1/K84,"")</f>
        <v>1.29132967985688</v>
      </c>
    </row>
    <row r="85" customFormat="false" ht="18.75" hidden="false" customHeight="true" outlineLevel="0" collapsed="false">
      <c r="A85" s="42" t="n">
        <v>36</v>
      </c>
      <c r="B85" s="40" t="n">
        <v>46348</v>
      </c>
      <c r="C85" s="41" t="s">
        <v>98</v>
      </c>
      <c r="D85" s="41" t="s">
        <v>95</v>
      </c>
      <c r="E85" s="43" t="n">
        <v>0.508346551426494</v>
      </c>
      <c r="F85" s="44" t="n">
        <f aca="false">IFERROR(1/E85,"")</f>
        <v>1.96716196302277</v>
      </c>
      <c r="G85" s="43" t="n">
        <v>0.491653448573506</v>
      </c>
      <c r="H85" s="44" t="n">
        <f aca="false">IFERROR(1/G85,"")</f>
        <v>2.03395298640012</v>
      </c>
      <c r="I85" s="43" t="n">
        <v>0.778483278237434</v>
      </c>
      <c r="J85" s="44" t="n">
        <f aca="false">IFERROR(1/I85,"")</f>
        <v>1.28454910716143</v>
      </c>
      <c r="K85" s="43" t="n">
        <v>0.654845662528266</v>
      </c>
      <c r="L85" s="44" t="n">
        <f aca="false">IFERROR(1/K85,"")</f>
        <v>1.52707738207984</v>
      </c>
    </row>
    <row r="86" customFormat="false" ht="18.75" hidden="false" customHeight="true" outlineLevel="0" collapsed="false">
      <c r="A86" s="35" t="n">
        <v>36</v>
      </c>
      <c r="B86" s="33" t="n">
        <v>46348</v>
      </c>
      <c r="C86" s="34" t="s">
        <v>100</v>
      </c>
      <c r="D86" s="34" t="s">
        <v>106</v>
      </c>
      <c r="E86" s="36" t="n">
        <v>0.447973894068609</v>
      </c>
      <c r="F86" s="37" t="n">
        <f aca="false">IFERROR(1/E86,"")</f>
        <v>2.23227293652707</v>
      </c>
      <c r="G86" s="36" t="n">
        <v>0.552026105931391</v>
      </c>
      <c r="H86" s="37" t="n">
        <f aca="false">IFERROR(1/G86,"")</f>
        <v>1.8115085305844</v>
      </c>
      <c r="I86" s="36" t="n">
        <v>0.800041746978395</v>
      </c>
      <c r="J86" s="37" t="n">
        <f aca="false">IFERROR(1/I86,"")</f>
        <v>1.24993477375001</v>
      </c>
      <c r="K86" s="36" t="n">
        <v>0.56164642107473</v>
      </c>
      <c r="L86" s="37" t="n">
        <f aca="false">IFERROR(1/K86,"")</f>
        <v>1.78047960865924</v>
      </c>
    </row>
    <row r="87" customFormat="false" ht="18.75" hidden="false" customHeight="true" outlineLevel="0" collapsed="false">
      <c r="A87" s="42" t="n">
        <v>36</v>
      </c>
      <c r="B87" s="40" t="n">
        <v>46348</v>
      </c>
      <c r="C87" s="41" t="s">
        <v>102</v>
      </c>
      <c r="D87" s="41" t="s">
        <v>8</v>
      </c>
      <c r="E87" s="43" t="n">
        <v>0.49476544140954</v>
      </c>
      <c r="F87" s="44" t="n">
        <f aca="false">IFERROR(1/E87,"")</f>
        <v>2.02115975835154</v>
      </c>
      <c r="G87" s="43" t="n">
        <v>0.50523455859046</v>
      </c>
      <c r="H87" s="44" t="n">
        <f aca="false">IFERROR(1/G87,"")</f>
        <v>1.97927869936267</v>
      </c>
      <c r="I87" s="43" t="n">
        <v>0.769718074748216</v>
      </c>
      <c r="J87" s="44" t="n">
        <f aca="false">IFERROR(1/I87,"")</f>
        <v>1.29917697505949</v>
      </c>
      <c r="K87" s="43" t="n">
        <v>0.644685015262377</v>
      </c>
      <c r="L87" s="44" t="n">
        <f aca="false">IFERROR(1/K87,"")</f>
        <v>1.5511450961723</v>
      </c>
    </row>
    <row r="88" customFormat="false" ht="18.75" hidden="false" customHeight="true" outlineLevel="0" collapsed="false">
      <c r="A88" s="35" t="n">
        <v>36</v>
      </c>
      <c r="B88" s="33" t="n">
        <v>46348</v>
      </c>
      <c r="C88" s="34" t="s">
        <v>88</v>
      </c>
      <c r="D88" s="34" t="s">
        <v>105</v>
      </c>
      <c r="E88" s="36" t="n">
        <v>0.527447006264652</v>
      </c>
      <c r="F88" s="37" t="n">
        <f aca="false">IFERROR(1/E88,"")</f>
        <v>1.89592506568942</v>
      </c>
      <c r="G88" s="36" t="n">
        <v>0.472552993735348</v>
      </c>
      <c r="H88" s="37" t="n">
        <f aca="false">IFERROR(1/G88,"")</f>
        <v>2.11616477571201</v>
      </c>
      <c r="I88" s="36" t="n">
        <v>0.783566143481384</v>
      </c>
      <c r="J88" s="37" t="n">
        <f aca="false">IFERROR(1/I88,"")</f>
        <v>1.27621644748075</v>
      </c>
      <c r="K88" s="36" t="n">
        <v>0.674950256695304</v>
      </c>
      <c r="L88" s="37" t="n">
        <f aca="false">IFERROR(1/K88,"")</f>
        <v>1.48159066550505</v>
      </c>
    </row>
    <row r="89" customFormat="false" ht="18.75" hidden="false" customHeight="true" outlineLevel="0" collapsed="false">
      <c r="A89" s="42" t="n">
        <v>37</v>
      </c>
      <c r="B89" s="40" t="n">
        <v>46355</v>
      </c>
      <c r="C89" s="41" t="s">
        <v>90</v>
      </c>
      <c r="D89" s="41" t="s">
        <v>84</v>
      </c>
      <c r="E89" s="43" t="n">
        <v>0.512403756353808</v>
      </c>
      <c r="F89" s="44" t="n">
        <f aca="false">IFERROR(1/E89,"")</f>
        <v>1.95158600537173</v>
      </c>
      <c r="G89" s="43" t="n">
        <v>0.487596243646192</v>
      </c>
      <c r="H89" s="44" t="n">
        <f aca="false">IFERROR(1/G89,"")</f>
        <v>2.0508771612392</v>
      </c>
      <c r="I89" s="43" t="n">
        <v>0.832887672086167</v>
      </c>
      <c r="J89" s="44" t="n">
        <f aca="false">IFERROR(1/I89,"")</f>
        <v>1.20064209558446</v>
      </c>
      <c r="K89" s="43" t="n">
        <v>0.616763230261931</v>
      </c>
      <c r="L89" s="44" t="n">
        <f aca="false">IFERROR(1/K89,"")</f>
        <v>1.62136773227437</v>
      </c>
    </row>
    <row r="90" customFormat="false" ht="18.75" hidden="false" customHeight="true" outlineLevel="0" collapsed="false">
      <c r="A90" s="35" t="n">
        <v>37</v>
      </c>
      <c r="B90" s="33" t="n">
        <v>46355</v>
      </c>
      <c r="C90" s="34" t="s">
        <v>93</v>
      </c>
      <c r="D90" s="34" t="s">
        <v>103</v>
      </c>
      <c r="E90" s="36" t="n">
        <v>0.523197700898735</v>
      </c>
      <c r="F90" s="37" t="n">
        <f aca="false">IFERROR(1/E90,"")</f>
        <v>1.91132338365063</v>
      </c>
      <c r="G90" s="36" t="n">
        <v>0.476802299101265</v>
      </c>
      <c r="H90" s="37" t="n">
        <f aca="false">IFERROR(1/G90,"")</f>
        <v>2.09730532315998</v>
      </c>
      <c r="I90" s="36" t="n">
        <v>0.815370948704234</v>
      </c>
      <c r="J90" s="37" t="n">
        <f aca="false">IFERROR(1/I90,"")</f>
        <v>1.2264356506559</v>
      </c>
      <c r="K90" s="36" t="n">
        <v>0.643320446826059</v>
      </c>
      <c r="L90" s="37" t="n">
        <f aca="false">IFERROR(1/K90,"")</f>
        <v>1.55443528172264</v>
      </c>
    </row>
    <row r="91" customFormat="false" ht="18.75" hidden="false" customHeight="true" outlineLevel="0" collapsed="false">
      <c r="A91" s="42" t="n">
        <v>37</v>
      </c>
      <c r="B91" s="40" t="n">
        <v>46355</v>
      </c>
      <c r="C91" s="41" t="s">
        <v>83</v>
      </c>
      <c r="D91" s="41" t="s">
        <v>102</v>
      </c>
      <c r="E91" s="43" t="n">
        <v>0.473202399823418</v>
      </c>
      <c r="F91" s="44" t="n">
        <f aca="false">IFERROR(1/E91,"")</f>
        <v>2.11326062668567</v>
      </c>
      <c r="G91" s="43" t="n">
        <v>0.526797600176583</v>
      </c>
      <c r="H91" s="44" t="n">
        <f aca="false">IFERROR(1/G91,"")</f>
        <v>1.89826225416517</v>
      </c>
      <c r="I91" s="43" t="n">
        <v>0.556650643168204</v>
      </c>
      <c r="J91" s="44" t="n">
        <f aca="false">IFERROR(1/I91,"")</f>
        <v>1.79645889620903</v>
      </c>
      <c r="K91" s="43" t="n">
        <v>0.852238547289256</v>
      </c>
      <c r="L91" s="44" t="n">
        <f aca="false">IFERROR(1/K91,"")</f>
        <v>1.17338039118359</v>
      </c>
    </row>
    <row r="92" customFormat="false" ht="18.75" hidden="false" customHeight="true" outlineLevel="0" collapsed="false">
      <c r="A92" s="35" t="n">
        <v>37</v>
      </c>
      <c r="B92" s="33" t="n">
        <v>46355</v>
      </c>
      <c r="C92" s="34" t="s">
        <v>101</v>
      </c>
      <c r="D92" s="34" t="s">
        <v>105</v>
      </c>
      <c r="E92" s="36" t="n">
        <v>0.467756718010159</v>
      </c>
      <c r="F92" s="37" t="n">
        <f aca="false">IFERROR(1/E92,"")</f>
        <v>2.13786346939924</v>
      </c>
      <c r="G92" s="36" t="n">
        <v>0.532243281989842</v>
      </c>
      <c r="H92" s="37" t="n">
        <f aca="false">IFERROR(1/G92,"")</f>
        <v>1.87884006024727</v>
      </c>
      <c r="I92" s="36" t="n">
        <v>0.758178064700206</v>
      </c>
      <c r="J92" s="37" t="n">
        <f aca="false">IFERROR(1/I92,"")</f>
        <v>1.31895137377182</v>
      </c>
      <c r="K92" s="36" t="n">
        <v>0.618903463867415</v>
      </c>
      <c r="L92" s="37" t="n">
        <f aca="false">IFERROR(1/K92,"")</f>
        <v>1.61576087125314</v>
      </c>
    </row>
    <row r="93" customFormat="false" ht="18.75" hidden="false" customHeight="true" outlineLevel="0" collapsed="false">
      <c r="A93" s="42" t="n">
        <v>37</v>
      </c>
      <c r="B93" s="40" t="n">
        <v>46355</v>
      </c>
      <c r="C93" s="41" t="s">
        <v>99</v>
      </c>
      <c r="D93" s="41" t="s">
        <v>8</v>
      </c>
      <c r="E93" s="43" t="n">
        <v>0.549480123685872</v>
      </c>
      <c r="F93" s="44" t="n">
        <f aca="false">IFERROR(1/E93,"")</f>
        <v>1.81990204357543</v>
      </c>
      <c r="G93" s="43" t="n">
        <v>0.450519876314128</v>
      </c>
      <c r="H93" s="44" t="n">
        <f aca="false">IFERROR(1/G93,"")</f>
        <v>2.21965789430064</v>
      </c>
      <c r="I93" s="43" t="n">
        <v>0.647047663287077</v>
      </c>
      <c r="J93" s="44" t="n">
        <f aca="false">IFERROR(1/I93,"")</f>
        <v>1.54548120136913</v>
      </c>
      <c r="K93" s="43" t="n">
        <v>0.851103276196685</v>
      </c>
      <c r="L93" s="44" t="n">
        <f aca="false">IFERROR(1/K93,"")</f>
        <v>1.17494554182506</v>
      </c>
    </row>
    <row r="94" customFormat="false" ht="18.75" hidden="false" customHeight="true" outlineLevel="0" collapsed="false">
      <c r="A94" s="35" t="n">
        <v>37</v>
      </c>
      <c r="B94" s="33" t="n">
        <v>46355</v>
      </c>
      <c r="C94" s="34" t="s">
        <v>98</v>
      </c>
      <c r="D94" s="34" t="s">
        <v>96</v>
      </c>
      <c r="E94" s="36" t="n">
        <v>0.443247118714511</v>
      </c>
      <c r="F94" s="37" t="n">
        <f aca="false">IFERROR(1/E94,"")</f>
        <v>2.25607783509155</v>
      </c>
      <c r="G94" s="36" t="n">
        <v>0.556752881285489</v>
      </c>
      <c r="H94" s="37" t="n">
        <f aca="false">IFERROR(1/G94,"")</f>
        <v>1.79612900734541</v>
      </c>
      <c r="I94" s="36" t="n">
        <v>0.722085303550449</v>
      </c>
      <c r="J94" s="37" t="n">
        <f aca="false">IFERROR(1/I94,"")</f>
        <v>1.38487792935691</v>
      </c>
      <c r="K94" s="36" t="n">
        <v>0.615970503145724</v>
      </c>
      <c r="L94" s="37" t="n">
        <f aca="false">IFERROR(1/K94,"")</f>
        <v>1.623454361683</v>
      </c>
    </row>
    <row r="95" customFormat="false" ht="18.75" hidden="false" customHeight="true" outlineLevel="0" collapsed="false">
      <c r="A95" s="42" t="n">
        <v>37</v>
      </c>
      <c r="B95" s="40" t="n">
        <v>46355</v>
      </c>
      <c r="C95" s="41" t="s">
        <v>100</v>
      </c>
      <c r="D95" s="41" t="s">
        <v>91</v>
      </c>
      <c r="E95" s="43" t="n">
        <v>0.479611479914901</v>
      </c>
      <c r="F95" s="44" t="n">
        <f aca="false">IFERROR(1/E95,"")</f>
        <v>2.08502098443814</v>
      </c>
      <c r="G95" s="43" t="n">
        <v>0.520388520085099</v>
      </c>
      <c r="H95" s="44" t="n">
        <f aca="false">IFERROR(1/G95,"")</f>
        <v>1.92164116117794</v>
      </c>
      <c r="I95" s="43" t="n">
        <v>0.770227183802041</v>
      </c>
      <c r="J95" s="44" t="n">
        <f aca="false">IFERROR(1/I95,"")</f>
        <v>1.29831823782659</v>
      </c>
      <c r="K95" s="43" t="n">
        <v>0.624583606189931</v>
      </c>
      <c r="L95" s="44" t="n">
        <f aca="false">IFERROR(1/K95,"")</f>
        <v>1.6010666788073</v>
      </c>
    </row>
    <row r="96" customFormat="false" ht="18.75" hidden="false" customHeight="true" outlineLevel="0" collapsed="false">
      <c r="A96" s="35" t="n">
        <v>37</v>
      </c>
      <c r="B96" s="33" t="n">
        <v>46355</v>
      </c>
      <c r="C96" s="34" t="s">
        <v>95</v>
      </c>
      <c r="D96" s="34" t="s">
        <v>92</v>
      </c>
      <c r="E96" s="36" t="n">
        <v>0.509962510421435</v>
      </c>
      <c r="F96" s="37" t="n">
        <f aca="false">IFERROR(1/E96,"")</f>
        <v>1.96092845957166</v>
      </c>
      <c r="G96" s="36" t="n">
        <v>0.490037489578566</v>
      </c>
      <c r="H96" s="37" t="n">
        <f aca="false">IFERROR(1/G96,"")</f>
        <v>2.04066019695759</v>
      </c>
      <c r="I96" s="36" t="n">
        <v>0.782796141469673</v>
      </c>
      <c r="J96" s="37" t="n">
        <f aca="false">IFERROR(1/I96,"")</f>
        <v>1.27747180526789</v>
      </c>
      <c r="K96" s="36" t="n">
        <v>0.653290283487023</v>
      </c>
      <c r="L96" s="37" t="n">
        <f aca="false">IFERROR(1/K96,"")</f>
        <v>1.530713107598</v>
      </c>
    </row>
    <row r="97" customFormat="false" ht="18.75" hidden="false" customHeight="true" outlineLevel="0" collapsed="false">
      <c r="A97" s="42" t="n">
        <v>37</v>
      </c>
      <c r="B97" s="40" t="n">
        <v>46355</v>
      </c>
      <c r="C97" s="41" t="s">
        <v>87</v>
      </c>
      <c r="D97" s="41" t="s">
        <v>104</v>
      </c>
      <c r="E97" s="43" t="n">
        <v>0.47995223338206</v>
      </c>
      <c r="F97" s="44" t="n">
        <f aca="false">IFERROR(1/E97,"")</f>
        <v>2.08354067435699</v>
      </c>
      <c r="G97" s="43" t="n">
        <v>0.52004776661794</v>
      </c>
      <c r="H97" s="44" t="n">
        <f aca="false">IFERROR(1/G97,"")</f>
        <v>1.92290028760889</v>
      </c>
      <c r="I97" s="43" t="n">
        <v>0.837693277168049</v>
      </c>
      <c r="J97" s="44" t="n">
        <f aca="false">IFERROR(1/I97,"")</f>
        <v>1.1937543576578</v>
      </c>
      <c r="K97" s="43" t="n">
        <v>0.574449499123506</v>
      </c>
      <c r="L97" s="44" t="n">
        <f aca="false">IFERROR(1/K97,"")</f>
        <v>1.74079706140539</v>
      </c>
    </row>
    <row r="98" customFormat="false" ht="18.75" hidden="false" customHeight="true" outlineLevel="0" collapsed="false">
      <c r="A98" s="35" t="n">
        <v>37</v>
      </c>
      <c r="B98" s="33" t="n">
        <v>46355</v>
      </c>
      <c r="C98" s="34" t="s">
        <v>106</v>
      </c>
      <c r="D98" s="34" t="s">
        <v>88</v>
      </c>
      <c r="E98" s="36" t="n">
        <v>0.498909604020243</v>
      </c>
      <c r="F98" s="37" t="n">
        <f aca="false">IFERROR(1/E98,"")</f>
        <v>2.00437111641456</v>
      </c>
      <c r="G98" s="36" t="n">
        <v>0.501090395979757</v>
      </c>
      <c r="H98" s="37" t="n">
        <f aca="false">IFERROR(1/G98,"")</f>
        <v>1.9956479070902</v>
      </c>
      <c r="I98" s="36" t="n">
        <v>0.72748261504817</v>
      </c>
      <c r="J98" s="37" t="n">
        <f aca="false">IFERROR(1/I98,"")</f>
        <v>1.37460329541179</v>
      </c>
      <c r="K98" s="36" t="n">
        <v>0.687881562227413</v>
      </c>
      <c r="L98" s="37" t="n">
        <f aca="false">IFERROR(1/K98,"")</f>
        <v>1.4537386301821</v>
      </c>
    </row>
    <row r="99" customFormat="false" ht="18.75" hidden="false" customHeight="true" outlineLevel="0" collapsed="false">
      <c r="A99" s="42" t="n">
        <v>38</v>
      </c>
      <c r="B99" s="40" t="n">
        <v>46358</v>
      </c>
      <c r="C99" s="41" t="s">
        <v>92</v>
      </c>
      <c r="D99" s="41" t="s">
        <v>87</v>
      </c>
      <c r="E99" s="43" t="n">
        <v>0.442743147432094</v>
      </c>
      <c r="F99" s="44" t="n">
        <f aca="false">IFERROR(1/E99,"")</f>
        <v>2.25864591196948</v>
      </c>
      <c r="G99" s="43" t="n">
        <v>0.557256852567906</v>
      </c>
      <c r="H99" s="44" t="n">
        <f aca="false">IFERROR(1/G99,"")</f>
        <v>1.79450462635297</v>
      </c>
      <c r="I99" s="43" t="n">
        <v>0.736302943083425</v>
      </c>
      <c r="J99" s="44" t="n">
        <f aca="false">IFERROR(1/I99,"")</f>
        <v>1.35813663301723</v>
      </c>
      <c r="K99" s="43" t="n">
        <v>0.603362230024678</v>
      </c>
      <c r="L99" s="44" t="n">
        <f aca="false">IFERROR(1/K99,"")</f>
        <v>1.65737918324635</v>
      </c>
    </row>
    <row r="100" customFormat="false" ht="18.75" hidden="false" customHeight="true" outlineLevel="0" collapsed="false">
      <c r="A100" s="35" t="n">
        <v>38</v>
      </c>
      <c r="B100" s="33" t="n">
        <v>46358</v>
      </c>
      <c r="C100" s="34" t="s">
        <v>103</v>
      </c>
      <c r="D100" s="34" t="s">
        <v>90</v>
      </c>
      <c r="E100" s="36" t="n">
        <v>0.514219507996275</v>
      </c>
      <c r="F100" s="37" t="n">
        <f aca="false">IFERROR(1/E100,"")</f>
        <v>1.94469479366241</v>
      </c>
      <c r="G100" s="36" t="n">
        <v>0.485780492003725</v>
      </c>
      <c r="H100" s="37" t="n">
        <f aca="false">IFERROR(1/G100,"")</f>
        <v>2.05854293546298</v>
      </c>
      <c r="I100" s="36" t="n">
        <v>0.762634944530562</v>
      </c>
      <c r="J100" s="37" t="n">
        <f aca="false">IFERROR(1/I100,"")</f>
        <v>1.31124335066438</v>
      </c>
      <c r="K100" s="36" t="n">
        <v>0.676186530128236</v>
      </c>
      <c r="L100" s="37" t="n">
        <f aca="false">IFERROR(1/K100,"")</f>
        <v>1.47888186978577</v>
      </c>
    </row>
    <row r="101" customFormat="false" ht="18.75" hidden="false" customHeight="true" outlineLevel="0" collapsed="false">
      <c r="A101" s="42" t="n">
        <v>38</v>
      </c>
      <c r="B101" s="40" t="n">
        <v>46358</v>
      </c>
      <c r="C101" s="41" t="s">
        <v>91</v>
      </c>
      <c r="D101" s="41" t="s">
        <v>98</v>
      </c>
      <c r="E101" s="43" t="n">
        <v>0.484147799004946</v>
      </c>
      <c r="F101" s="44" t="n">
        <f aca="false">IFERROR(1/E101,"")</f>
        <v>2.06548496565567</v>
      </c>
      <c r="G101" s="43" t="n">
        <v>0.515852200995055</v>
      </c>
      <c r="H101" s="44" t="n">
        <f aca="false">IFERROR(1/G101,"")</f>
        <v>1.93853975629269</v>
      </c>
      <c r="I101" s="43" t="n">
        <v>0.729738290048892</v>
      </c>
      <c r="J101" s="44" t="n">
        <f aca="false">IFERROR(1/I101,"")</f>
        <v>1.3703542950076</v>
      </c>
      <c r="K101" s="43" t="n">
        <v>0.665538807827292</v>
      </c>
      <c r="L101" s="44" t="n">
        <f aca="false">IFERROR(1/K101,"")</f>
        <v>1.50254198288539</v>
      </c>
    </row>
    <row r="102" customFormat="false" ht="18.75" hidden="false" customHeight="true" outlineLevel="0" collapsed="false">
      <c r="A102" s="35" t="n">
        <v>38</v>
      </c>
      <c r="B102" s="33" t="n">
        <v>46358</v>
      </c>
      <c r="C102" s="34" t="s">
        <v>96</v>
      </c>
      <c r="D102" s="34" t="s">
        <v>100</v>
      </c>
      <c r="E102" s="36" t="n">
        <v>0.438977417634848</v>
      </c>
      <c r="F102" s="37" t="n">
        <f aca="false">IFERROR(1/E102,"")</f>
        <v>2.27802151050928</v>
      </c>
      <c r="G102" s="36" t="n">
        <v>0.561022582365152</v>
      </c>
      <c r="H102" s="37" t="n">
        <f aca="false">IFERROR(1/G102,"")</f>
        <v>1.78245944358285</v>
      </c>
      <c r="I102" s="36" t="n">
        <v>0.755677659342048</v>
      </c>
      <c r="J102" s="37" t="n">
        <f aca="false">IFERROR(1/I102,"")</f>
        <v>1.32331555344732</v>
      </c>
      <c r="K102" s="36" t="n">
        <v>0.582857475215303</v>
      </c>
      <c r="L102" s="37" t="n">
        <f aca="false">IFERROR(1/K102,"")</f>
        <v>1.71568529618773</v>
      </c>
    </row>
    <row r="103" customFormat="false" ht="18.75" hidden="false" customHeight="true" outlineLevel="0" collapsed="false">
      <c r="A103" s="42" t="n">
        <v>38</v>
      </c>
      <c r="B103" s="40" t="n">
        <v>46358</v>
      </c>
      <c r="C103" s="41" t="s">
        <v>8</v>
      </c>
      <c r="D103" s="41" t="s">
        <v>83</v>
      </c>
      <c r="E103" s="43" t="n">
        <v>0.445685813158527</v>
      </c>
      <c r="F103" s="44" t="n">
        <f aca="false">IFERROR(1/E103,"")</f>
        <v>2.24373307490564</v>
      </c>
      <c r="G103" s="43" t="n">
        <v>0.554314186841473</v>
      </c>
      <c r="H103" s="44" t="n">
        <f aca="false">IFERROR(1/G103,"")</f>
        <v>1.80403104185026</v>
      </c>
      <c r="I103" s="43" t="n">
        <v>0.945851970150744</v>
      </c>
      <c r="J103" s="44" t="n">
        <f aca="false">IFERROR(1/I103,"")</f>
        <v>1.05724789032329</v>
      </c>
      <c r="K103" s="43" t="n">
        <v>0.471861518366156</v>
      </c>
      <c r="L103" s="44" t="n">
        <f aca="false">IFERROR(1/K103,"")</f>
        <v>2.11926584617993</v>
      </c>
    </row>
    <row r="104" customFormat="false" ht="18.75" hidden="false" customHeight="true" outlineLevel="0" collapsed="false">
      <c r="A104" s="35" t="n">
        <v>38</v>
      </c>
      <c r="B104" s="33" t="n">
        <v>46358</v>
      </c>
      <c r="C104" s="34" t="s">
        <v>105</v>
      </c>
      <c r="D104" s="34" t="s">
        <v>95</v>
      </c>
      <c r="E104" s="36" t="n">
        <v>0.542662969232268</v>
      </c>
      <c r="F104" s="37" t="n">
        <f aca="false">IFERROR(1/E104,"")</f>
        <v>1.8427643983424</v>
      </c>
      <c r="G104" s="36" t="n">
        <v>0.457337030767732</v>
      </c>
      <c r="H104" s="37" t="n">
        <f aca="false">IFERROR(1/G104,"")</f>
        <v>2.18657124335919</v>
      </c>
      <c r="I104" s="36" t="n">
        <v>0.770313051764344</v>
      </c>
      <c r="J104" s="37" t="n">
        <f aca="false">IFERROR(1/I104,"")</f>
        <v>1.29817351232668</v>
      </c>
      <c r="K104" s="36" t="n">
        <v>0.706324479891887</v>
      </c>
      <c r="L104" s="37" t="n">
        <f aca="false">IFERROR(1/K104,"")</f>
        <v>1.41577989786375</v>
      </c>
    </row>
    <row r="105" customFormat="false" ht="18.75" hidden="false" customHeight="true" outlineLevel="0" collapsed="false">
      <c r="A105" s="42" t="n">
        <v>38</v>
      </c>
      <c r="B105" s="40" t="n">
        <v>46358</v>
      </c>
      <c r="C105" s="41" t="s">
        <v>102</v>
      </c>
      <c r="D105" s="41" t="s">
        <v>99</v>
      </c>
      <c r="E105" s="43" t="n">
        <v>0.447760686849764</v>
      </c>
      <c r="F105" s="44" t="n">
        <f aca="false">IFERROR(1/E105,"")</f>
        <v>2.23333586303777</v>
      </c>
      <c r="G105" s="43" t="n">
        <v>0.552239313150236</v>
      </c>
      <c r="H105" s="44" t="n">
        <f aca="false">IFERROR(1/G105,"")</f>
        <v>1.81080914775068</v>
      </c>
      <c r="I105" s="43" t="n">
        <v>0.914191022510787</v>
      </c>
      <c r="J105" s="44" t="n">
        <f aca="false">IFERROR(1/I105,"")</f>
        <v>1.09386329046805</v>
      </c>
      <c r="K105" s="43" t="n">
        <v>0.490719306017894</v>
      </c>
      <c r="L105" s="44" t="n">
        <f aca="false">IFERROR(1/K105,"")</f>
        <v>2.03782485778853</v>
      </c>
    </row>
    <row r="106" customFormat="false" ht="18.75" hidden="false" customHeight="true" outlineLevel="0" collapsed="false">
      <c r="A106" s="35" t="n">
        <v>38</v>
      </c>
      <c r="B106" s="33" t="n">
        <v>46358</v>
      </c>
      <c r="C106" s="34" t="s">
        <v>104</v>
      </c>
      <c r="D106" s="34" t="s">
        <v>101</v>
      </c>
      <c r="E106" s="36" t="n">
        <v>0.505274516714766</v>
      </c>
      <c r="F106" s="37" t="n">
        <f aca="false">IFERROR(1/E106,"")</f>
        <v>1.97912217402508</v>
      </c>
      <c r="G106" s="36" t="n">
        <v>0.494725483285234</v>
      </c>
      <c r="H106" s="37" t="n">
        <f aca="false">IFERROR(1/G106,"")</f>
        <v>2.02132300394045</v>
      </c>
      <c r="I106" s="36" t="n">
        <v>0.707077814747094</v>
      </c>
      <c r="J106" s="37" t="n">
        <f aca="false">IFERROR(1/I106,"")</f>
        <v>1.4142714976253</v>
      </c>
      <c r="K106" s="36" t="n">
        <v>0.716730020598326</v>
      </c>
      <c r="L106" s="37" t="n">
        <f aca="false">IFERROR(1/K106,"")</f>
        <v>1.39522549811043</v>
      </c>
    </row>
    <row r="107" customFormat="false" ht="18.75" hidden="false" customHeight="true" outlineLevel="0" collapsed="false">
      <c r="A107" s="42" t="n">
        <v>38</v>
      </c>
      <c r="B107" s="40" t="n">
        <v>46358</v>
      </c>
      <c r="C107" s="41" t="s">
        <v>88</v>
      </c>
      <c r="D107" s="41" t="s">
        <v>93</v>
      </c>
      <c r="E107" s="43" t="n">
        <v>0.528088482207427</v>
      </c>
      <c r="F107" s="44" t="n">
        <f aca="false">IFERROR(1/E107,"")</f>
        <v>1.89362206087125</v>
      </c>
      <c r="G107" s="43" t="n">
        <v>0.471911517792573</v>
      </c>
      <c r="H107" s="44" t="n">
        <f aca="false">IFERROR(1/G107,"")</f>
        <v>2.11904130816224</v>
      </c>
      <c r="I107" s="43" t="n">
        <v>0.745113730817857</v>
      </c>
      <c r="J107" s="44" t="n">
        <f aca="false">IFERROR(1/I107,"")</f>
        <v>1.34207699930905</v>
      </c>
      <c r="K107" s="43" t="n">
        <v>0.710706043149395</v>
      </c>
      <c r="L107" s="44" t="n">
        <f aca="false">IFERROR(1/K107,"")</f>
        <v>1.40705149426989</v>
      </c>
    </row>
    <row r="108" customFormat="false" ht="18.75" hidden="false" customHeight="true" outlineLevel="0" collapsed="false">
      <c r="A108" s="35" t="n">
        <v>38</v>
      </c>
      <c r="B108" s="33" t="n">
        <v>46358</v>
      </c>
      <c r="C108" s="34" t="s">
        <v>84</v>
      </c>
      <c r="D108" s="34" t="s">
        <v>106</v>
      </c>
      <c r="E108" s="36" t="n">
        <v>0.51050822722417</v>
      </c>
      <c r="F108" s="37" t="n">
        <f aca="false">IFERROR(1/E108,"")</f>
        <v>1.95883229039694</v>
      </c>
      <c r="G108" s="36" t="n">
        <v>0.48949177277583</v>
      </c>
      <c r="H108" s="37" t="n">
        <f aca="false">IFERROR(1/G108,"")</f>
        <v>2.04293525574324</v>
      </c>
      <c r="I108" s="36" t="n">
        <v>0.801102869494411</v>
      </c>
      <c r="J108" s="37" t="n">
        <f aca="false">IFERROR(1/I108,"")</f>
        <v>1.24827913877167</v>
      </c>
      <c r="K108" s="36" t="n">
        <v>0.638988967686099</v>
      </c>
      <c r="L108" s="37" t="n">
        <f aca="false">IFERROR(1/K108,"")</f>
        <v>1.56497224611121</v>
      </c>
    </row>
    <row r="110" customFormat="false" ht="15" hidden="false" customHeight="false" outlineLevel="0" collapsed="false">
      <c r="A110" s="22" t="s">
        <v>331</v>
      </c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</row>
  </sheetData>
  <autoFilter ref="A5:L108"/>
  <mergeCells count="7">
    <mergeCell ref="A2:L2"/>
    <mergeCell ref="A4:D4"/>
    <mergeCell ref="E4:F4"/>
    <mergeCell ref="G4:H4"/>
    <mergeCell ref="I4:J4"/>
    <mergeCell ref="K4:L4"/>
    <mergeCell ref="A110:L110"/>
  </mergeCells>
  <conditionalFormatting sqref="E6:E108">
    <cfRule type="colorScale" priority="2">
      <colorScale>
        <cfvo type="num" val="0"/>
        <cfvo type="num" val="1"/>
        <color rgb="FFFFFFFF"/>
        <color rgb="FF9EC5F4"/>
      </colorScale>
    </cfRule>
  </conditionalFormatting>
  <conditionalFormatting sqref="G6:G108">
    <cfRule type="colorScale" priority="3">
      <colorScale>
        <cfvo type="num" val="0"/>
        <cfvo type="num" val="1"/>
        <color rgb="FFFFFFFF"/>
        <color rgb="FF9EC5F4"/>
      </colorScale>
    </cfRule>
  </conditionalFormatting>
  <conditionalFormatting sqref="I6:I108">
    <cfRule type="colorScale" priority="4">
      <colorScale>
        <cfvo type="num" val="0"/>
        <cfvo type="num" val="1"/>
        <color rgb="FFFFFFFF"/>
        <color rgb="FF9EC5F4"/>
      </colorScale>
    </cfRule>
  </conditionalFormatting>
  <conditionalFormatting sqref="K6:K108">
    <cfRule type="colorScale" priority="5">
      <colorScale>
        <cfvo type="num" val="0"/>
        <cfvo type="num" val="1"/>
        <color rgb="FFFFFFFF"/>
        <color rgb="FF9EC5F4"/>
      </colorScale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7490"/>
    <pageSetUpPr fitToPage="true"/>
  </sheetPr>
  <dimension ref="A1:S1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4" min="3" style="0" width="18"/>
    <col collapsed="false" customWidth="true" hidden="false" outlineLevel="0" max="7" min="5" style="0" width="11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9"/>
    <col collapsed="false" customWidth="true" hidden="false" outlineLevel="0" max="12" min="12" style="0" width="8"/>
    <col collapsed="false" customWidth="true" hidden="false" outlineLevel="0" max="13" min="13" style="0" width="9"/>
    <col collapsed="false" customWidth="true" hidden="false" outlineLevel="0" max="14" min="14" style="0" width="8"/>
    <col collapsed="false" customWidth="true" hidden="false" outlineLevel="0" max="15" min="15" style="0" width="9"/>
    <col collapsed="false" customWidth="true" hidden="false" outlineLevel="0" max="16" min="16" style="0" width="8"/>
    <col collapsed="false" customWidth="true" hidden="false" outlineLevel="0" max="17" min="17" style="0" width="9"/>
    <col collapsed="false" customWidth="true" hidden="false" outlineLevel="0" max="18" min="18" style="0" width="8"/>
    <col collapsed="false" customWidth="true" hidden="false" outlineLevel="0" max="19" min="19" style="0" width="9"/>
  </cols>
  <sheetData>
    <row r="1" customFormat="false" ht="30" hidden="false" customHeight="true" outlineLevel="0" collapsed="false">
      <c r="A1" s="23" t="s">
        <v>332</v>
      </c>
    </row>
    <row r="2" customFormat="false" ht="15.75" hidden="false" customHeight="true" outlineLevel="0" collapsed="false">
      <c r="A2" s="24" t="s">
        <v>333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</row>
    <row r="4" customFormat="false" ht="19.5" hidden="false" customHeight="true" outlineLevel="0" collapsed="false">
      <c r="A4" s="25" t="s">
        <v>60</v>
      </c>
      <c r="B4" s="25"/>
      <c r="C4" s="25"/>
      <c r="D4" s="25"/>
      <c r="E4" s="25" t="s">
        <v>304</v>
      </c>
      <c r="F4" s="25"/>
      <c r="G4" s="25"/>
      <c r="H4" s="66" t="s">
        <v>334</v>
      </c>
      <c r="I4" s="66"/>
      <c r="J4" s="67" t="s">
        <v>335</v>
      </c>
      <c r="K4" s="67"/>
      <c r="L4" s="66" t="s">
        <v>336</v>
      </c>
      <c r="M4" s="66"/>
      <c r="N4" s="67" t="s">
        <v>337</v>
      </c>
      <c r="O4" s="67"/>
      <c r="P4" s="66" t="s">
        <v>338</v>
      </c>
      <c r="Q4" s="66"/>
      <c r="R4" s="67" t="s">
        <v>339</v>
      </c>
      <c r="S4" s="67"/>
    </row>
    <row r="5" customFormat="false" ht="27.75" hidden="false" customHeight="true" outlineLevel="0" collapsed="false">
      <c r="A5" s="31" t="s">
        <v>67</v>
      </c>
      <c r="B5" s="31" t="s">
        <v>68</v>
      </c>
      <c r="C5" s="31" t="s">
        <v>69</v>
      </c>
      <c r="D5" s="31" t="s">
        <v>70</v>
      </c>
      <c r="E5" s="31" t="s">
        <v>340</v>
      </c>
      <c r="F5" s="31" t="s">
        <v>341</v>
      </c>
      <c r="G5" s="31" t="s">
        <v>342</v>
      </c>
      <c r="H5" s="31" t="s">
        <v>137</v>
      </c>
      <c r="I5" s="31" t="s">
        <v>138</v>
      </c>
      <c r="J5" s="31" t="s">
        <v>137</v>
      </c>
      <c r="K5" s="31" t="s">
        <v>138</v>
      </c>
      <c r="L5" s="31" t="s">
        <v>137</v>
      </c>
      <c r="M5" s="31" t="s">
        <v>138</v>
      </c>
      <c r="N5" s="31" t="s">
        <v>137</v>
      </c>
      <c r="O5" s="31" t="s">
        <v>138</v>
      </c>
      <c r="P5" s="31" t="s">
        <v>137</v>
      </c>
      <c r="Q5" s="31" t="s">
        <v>138</v>
      </c>
      <c r="R5" s="31" t="s">
        <v>137</v>
      </c>
      <c r="S5" s="31" t="s">
        <v>138</v>
      </c>
    </row>
    <row r="6" customFormat="false" ht="18.75" hidden="false" customHeight="true" outlineLevel="0" collapsed="false">
      <c r="A6" s="35" t="n">
        <v>21</v>
      </c>
      <c r="B6" s="33" t="n">
        <v>46233</v>
      </c>
      <c r="C6" s="34" t="s">
        <v>83</v>
      </c>
      <c r="D6" s="34" t="s">
        <v>84</v>
      </c>
      <c r="E6" s="38" t="n">
        <v>4.04039223729537</v>
      </c>
      <c r="F6" s="38" t="n">
        <v>4.92657295728426</v>
      </c>
      <c r="G6" s="38" t="n">
        <v>8.96696519457963</v>
      </c>
      <c r="H6" s="36" t="n">
        <v>0.648123516573178</v>
      </c>
      <c r="I6" s="37" t="n">
        <f aca="false">IFERROR(1/H6,"")</f>
        <v>1.5429157782876</v>
      </c>
      <c r="J6" s="36" t="n">
        <v>0.526694756781211</v>
      </c>
      <c r="K6" s="37" t="n">
        <f aca="false">IFERROR(1/J6,"")</f>
        <v>1.89863291237471</v>
      </c>
      <c r="L6" s="36" t="n">
        <v>0.408186079182415</v>
      </c>
      <c r="M6" s="37" t="n">
        <f aca="false">IFERROR(1/L6,"")</f>
        <v>2.44986306736127</v>
      </c>
      <c r="N6" s="36" t="n">
        <v>0.301845510306097</v>
      </c>
      <c r="O6" s="37" t="n">
        <f aca="false">IFERROR(1/N6,"")</f>
        <v>3.31295303675683</v>
      </c>
      <c r="P6" s="36" t="n">
        <v>0.213264875702845</v>
      </c>
      <c r="Q6" s="37" t="n">
        <f aca="false">IFERROR(1/P6,"")</f>
        <v>4.68900467882654</v>
      </c>
      <c r="R6" s="36" t="n">
        <v>0.144226972423515</v>
      </c>
      <c r="S6" s="37" t="n">
        <f aca="false">IFERROR(1/R6,"")</f>
        <v>6.93351585488151</v>
      </c>
    </row>
    <row r="7" customFormat="false" ht="18.75" hidden="false" customHeight="true" outlineLevel="0" collapsed="false">
      <c r="A7" s="42" t="n">
        <v>21</v>
      </c>
      <c r="B7" s="40" t="n">
        <v>46297</v>
      </c>
      <c r="C7" s="41" t="s">
        <v>87</v>
      </c>
      <c r="D7" s="41" t="s">
        <v>88</v>
      </c>
      <c r="E7" s="45" t="n">
        <v>6.43347445755549</v>
      </c>
      <c r="F7" s="45" t="n">
        <v>4.025331357215</v>
      </c>
      <c r="G7" s="45" t="n">
        <v>10.4588058147705</v>
      </c>
      <c r="H7" s="43" t="n">
        <v>0.785130887923682</v>
      </c>
      <c r="I7" s="44" t="n">
        <f aca="false">IFERROR(1/H7,"")</f>
        <v>1.27367298291442</v>
      </c>
      <c r="J7" s="43" t="n">
        <v>0.686463344448431</v>
      </c>
      <c r="K7" s="44" t="n">
        <f aca="false">IFERROR(1/J7,"")</f>
        <v>1.45674202138716</v>
      </c>
      <c r="L7" s="43" t="n">
        <v>0.577583467972246</v>
      </c>
      <c r="M7" s="44" t="n">
        <f aca="false">IFERROR(1/L7,"")</f>
        <v>1.73135149368239</v>
      </c>
      <c r="N7" s="43" t="n">
        <v>0.467114280941794</v>
      </c>
      <c r="O7" s="44" t="n">
        <f aca="false">IFERROR(1/N7,"")</f>
        <v>2.14080374075441</v>
      </c>
      <c r="P7" s="43" t="n">
        <v>0.363068211818475</v>
      </c>
      <c r="Q7" s="44" t="n">
        <f aca="false">IFERROR(1/P7,"")</f>
        <v>2.75430337178617</v>
      </c>
      <c r="R7" s="43" t="n">
        <v>0.271378798441404</v>
      </c>
      <c r="S7" s="44" t="n">
        <f aca="false">IFERROR(1/R7,"")</f>
        <v>3.68488623924657</v>
      </c>
    </row>
    <row r="8" customFormat="false" ht="18.75" hidden="false" customHeight="true" outlineLevel="0" collapsed="false">
      <c r="A8" s="35" t="n">
        <v>21</v>
      </c>
      <c r="B8" s="33" t="n">
        <v>46298</v>
      </c>
      <c r="C8" s="34" t="s">
        <v>90</v>
      </c>
      <c r="D8" s="34" t="s">
        <v>91</v>
      </c>
      <c r="E8" s="38" t="n">
        <v>6.46128496266242</v>
      </c>
      <c r="F8" s="38" t="n">
        <v>4.42829428412006</v>
      </c>
      <c r="G8" s="38" t="n">
        <v>10.8895792467825</v>
      </c>
      <c r="H8" s="36" t="n">
        <v>0.815716122049237</v>
      </c>
      <c r="I8" s="37" t="n">
        <f aca="false">IFERROR(1/H8,"")</f>
        <v>1.22591667979763</v>
      </c>
      <c r="J8" s="36" t="n">
        <v>0.725031096878435</v>
      </c>
      <c r="K8" s="37" t="n">
        <f aca="false">IFERROR(1/J8,"")</f>
        <v>1.37925118564627</v>
      </c>
      <c r="L8" s="36" t="n">
        <v>0.621750488353522</v>
      </c>
      <c r="M8" s="37" t="n">
        <f aca="false">IFERROR(1/L8,"")</f>
        <v>1.6083622268607</v>
      </c>
      <c r="N8" s="36" t="n">
        <v>0.513601556853095</v>
      </c>
      <c r="O8" s="37" t="n">
        <f aca="false">IFERROR(1/N8,"")</f>
        <v>1.94703459648201</v>
      </c>
      <c r="P8" s="36" t="n">
        <v>0.408473978923559</v>
      </c>
      <c r="Q8" s="37" t="n">
        <f aca="false">IFERROR(1/P8,"")</f>
        <v>2.44813636020408</v>
      </c>
      <c r="R8" s="36" t="n">
        <v>0.312860288269646</v>
      </c>
      <c r="S8" s="37" t="n">
        <f aca="false">IFERROR(1/R8,"")</f>
        <v>3.19631489675713</v>
      </c>
    </row>
    <row r="9" customFormat="false" ht="18.75" hidden="false" customHeight="true" outlineLevel="0" collapsed="false">
      <c r="A9" s="42" t="n">
        <v>29</v>
      </c>
      <c r="B9" s="40" t="n">
        <v>46302</v>
      </c>
      <c r="C9" s="41" t="s">
        <v>92</v>
      </c>
      <c r="D9" s="41" t="s">
        <v>90</v>
      </c>
      <c r="E9" s="45" t="n">
        <v>5.63338061444966</v>
      </c>
      <c r="F9" s="45" t="n">
        <v>4.49502144664881</v>
      </c>
      <c r="G9" s="45" t="n">
        <v>10.1284020610985</v>
      </c>
      <c r="H9" s="43" t="n">
        <v>0.759025833988308</v>
      </c>
      <c r="I9" s="44" t="n">
        <f aca="false">IFERROR(1/H9,"")</f>
        <v>1.31747821381189</v>
      </c>
      <c r="J9" s="43" t="n">
        <v>0.654465506703888</v>
      </c>
      <c r="K9" s="44" t="n">
        <f aca="false">IFERROR(1/J9,"")</f>
        <v>1.52796440722498</v>
      </c>
      <c r="L9" s="43" t="n">
        <v>0.541965836527545</v>
      </c>
      <c r="M9" s="44" t="n">
        <f aca="false">IFERROR(1/L9,"")</f>
        <v>1.84513475315556</v>
      </c>
      <c r="N9" s="43" t="n">
        <v>0.43067592450186</v>
      </c>
      <c r="O9" s="44" t="n">
        <f aca="false">IFERROR(1/N9,"")</f>
        <v>2.32193151069832</v>
      </c>
      <c r="P9" s="43" t="n">
        <v>0.328475822379105</v>
      </c>
      <c r="Q9" s="44" t="n">
        <f aca="false">IFERROR(1/P9,"")</f>
        <v>3.0443640958325</v>
      </c>
      <c r="R9" s="43" t="n">
        <v>0.240663420111809</v>
      </c>
      <c r="S9" s="44" t="n">
        <f aca="false">IFERROR(1/R9,"")</f>
        <v>4.15518070646304</v>
      </c>
    </row>
    <row r="10" customFormat="false" ht="18.75" hidden="false" customHeight="true" outlineLevel="0" collapsed="false">
      <c r="A10" s="35" t="n">
        <v>29</v>
      </c>
      <c r="B10" s="33" t="n">
        <v>46302</v>
      </c>
      <c r="C10" s="34" t="s">
        <v>93</v>
      </c>
      <c r="D10" s="34" t="s">
        <v>84</v>
      </c>
      <c r="E10" s="38" t="n">
        <v>4.92467050616271</v>
      </c>
      <c r="F10" s="38" t="n">
        <v>3.72997058512509</v>
      </c>
      <c r="G10" s="38" t="n">
        <v>8.6546410912878</v>
      </c>
      <c r="H10" s="36" t="n">
        <v>0.613254070039878</v>
      </c>
      <c r="I10" s="37" t="n">
        <f aca="false">IFERROR(1/H10,"")</f>
        <v>1.63064551684912</v>
      </c>
      <c r="J10" s="36" t="n">
        <v>0.488957981088973</v>
      </c>
      <c r="K10" s="37" t="n">
        <f aca="false">IFERROR(1/J10,"")</f>
        <v>2.0451655125311</v>
      </c>
      <c r="L10" s="36" t="n">
        <v>0.371097534859893</v>
      </c>
      <c r="M10" s="37" t="n">
        <f aca="false">IFERROR(1/L10,"")</f>
        <v>2.69470935822182</v>
      </c>
      <c r="N10" s="36" t="n">
        <v>0.268343488448791</v>
      </c>
      <c r="O10" s="37" t="n">
        <f aca="false">IFERROR(1/N10,"")</f>
        <v>3.72656704204259</v>
      </c>
      <c r="P10" s="36" t="n">
        <v>0.185182284875268</v>
      </c>
      <c r="Q10" s="37" t="n">
        <f aca="false">IFERROR(1/P10,"")</f>
        <v>5.40008457436177</v>
      </c>
      <c r="R10" s="36" t="n">
        <v>0.12220968891299</v>
      </c>
      <c r="S10" s="37" t="n">
        <f aca="false">IFERROR(1/R10,"")</f>
        <v>8.18265727451427</v>
      </c>
    </row>
    <row r="11" customFormat="false" ht="18.75" hidden="false" customHeight="true" outlineLevel="0" collapsed="false">
      <c r="A11" s="42" t="n">
        <v>29</v>
      </c>
      <c r="B11" s="40" t="n">
        <v>46302</v>
      </c>
      <c r="C11" s="41" t="s">
        <v>91</v>
      </c>
      <c r="D11" s="41" t="s">
        <v>95</v>
      </c>
      <c r="E11" s="45" t="n">
        <v>6.40086279838561</v>
      </c>
      <c r="F11" s="45" t="n">
        <v>5.37314227957771</v>
      </c>
      <c r="G11" s="45" t="n">
        <v>11.7740050779633</v>
      </c>
      <c r="H11" s="43" t="n">
        <v>0.867265167817264</v>
      </c>
      <c r="I11" s="44" t="n">
        <f aca="false">IFERROR(1/H11,"")</f>
        <v>1.15304988267522</v>
      </c>
      <c r="J11" s="43" t="n">
        <v>0.793047340381303</v>
      </c>
      <c r="K11" s="44" t="n">
        <f aca="false">IFERROR(1/J11,"")</f>
        <v>1.26095877141356</v>
      </c>
      <c r="L11" s="43" t="n">
        <v>0.703269893283484</v>
      </c>
      <c r="M11" s="44" t="n">
        <f aca="false">IFERROR(1/L11,"")</f>
        <v>1.42192920463454</v>
      </c>
      <c r="N11" s="43" t="n">
        <v>0.603420253864075</v>
      </c>
      <c r="O11" s="44" t="n">
        <f aca="false">IFERROR(1/N11,"")</f>
        <v>1.65721981255415</v>
      </c>
      <c r="P11" s="43" t="n">
        <v>0.500330208483693</v>
      </c>
      <c r="Q11" s="44" t="n">
        <f aca="false">IFERROR(1/P11,"")</f>
        <v>1.99868003779067</v>
      </c>
      <c r="R11" s="43" t="n">
        <v>0.400744742806337</v>
      </c>
      <c r="S11" s="44" t="n">
        <f aca="false">IFERROR(1/R11,"")</f>
        <v>2.49535400763388</v>
      </c>
    </row>
    <row r="12" customFormat="false" ht="18.75" hidden="false" customHeight="true" outlineLevel="0" collapsed="false">
      <c r="A12" s="35" t="n">
        <v>29</v>
      </c>
      <c r="B12" s="33" t="n">
        <v>46302</v>
      </c>
      <c r="C12" s="34" t="s">
        <v>96</v>
      </c>
      <c r="D12" s="34" t="s">
        <v>87</v>
      </c>
      <c r="E12" s="38" t="n">
        <v>5.8368292384073</v>
      </c>
      <c r="F12" s="38" t="n">
        <v>4.44744546349871</v>
      </c>
      <c r="G12" s="38" t="n">
        <v>10.284274701906</v>
      </c>
      <c r="H12" s="36" t="n">
        <v>0.771634403476891</v>
      </c>
      <c r="I12" s="37" t="n">
        <f aca="false">IFERROR(1/H12,"")</f>
        <v>1.29595051165957</v>
      </c>
      <c r="J12" s="36" t="n">
        <v>0.669819234194778</v>
      </c>
      <c r="K12" s="37" t="n">
        <f aca="false">IFERROR(1/J12,"")</f>
        <v>1.49294010824002</v>
      </c>
      <c r="L12" s="36" t="n">
        <v>0.558944062364612</v>
      </c>
      <c r="M12" s="37" t="n">
        <f aca="false">IFERROR(1/L12,"")</f>
        <v>1.78908779488506</v>
      </c>
      <c r="N12" s="36" t="n">
        <v>0.447930418294902</v>
      </c>
      <c r="O12" s="37" t="n">
        <f aca="false">IFERROR(1/N12,"")</f>
        <v>2.23248959918063</v>
      </c>
      <c r="P12" s="36" t="n">
        <v>0.344747123260403</v>
      </c>
      <c r="Q12" s="37" t="n">
        <f aca="false">IFERROR(1/P12,"")</f>
        <v>2.90067685131822</v>
      </c>
      <c r="R12" s="36" t="n">
        <v>0.255014281048667</v>
      </c>
      <c r="S12" s="37" t="n">
        <f aca="false">IFERROR(1/R12,"")</f>
        <v>3.92134901577986</v>
      </c>
    </row>
    <row r="13" customFormat="false" ht="18.75" hidden="false" customHeight="true" outlineLevel="0" collapsed="false">
      <c r="A13" s="42" t="n">
        <v>29</v>
      </c>
      <c r="B13" s="40" t="n">
        <v>46302</v>
      </c>
      <c r="C13" s="41" t="s">
        <v>98</v>
      </c>
      <c r="D13" s="41" t="s">
        <v>99</v>
      </c>
      <c r="E13" s="45" t="n">
        <v>6.87168123488422</v>
      </c>
      <c r="F13" s="45" t="n">
        <v>3.16822811703748</v>
      </c>
      <c r="G13" s="45" t="n">
        <v>10.0399093519217</v>
      </c>
      <c r="H13" s="43" t="n">
        <v>0.751631541821891</v>
      </c>
      <c r="I13" s="44" t="n">
        <f aca="false">IFERROR(1/H13,"")</f>
        <v>1.33043911059944</v>
      </c>
      <c r="J13" s="43" t="n">
        <v>0.645546374112517</v>
      </c>
      <c r="K13" s="44" t="n">
        <f aca="false">IFERROR(1/J13,"")</f>
        <v>1.54907538807693</v>
      </c>
      <c r="L13" s="43" t="n">
        <v>0.532196263511205</v>
      </c>
      <c r="M13" s="44" t="n">
        <f aca="false">IFERROR(1/L13,"")</f>
        <v>1.87900605202003</v>
      </c>
      <c r="N13" s="43" t="n">
        <v>0.420841329771938</v>
      </c>
      <c r="O13" s="44" t="n">
        <f aca="false">IFERROR(1/N13,"")</f>
        <v>2.37619247268779</v>
      </c>
      <c r="P13" s="43" t="n">
        <v>0.319289451546775</v>
      </c>
      <c r="Q13" s="44" t="n">
        <f aca="false">IFERROR(1/P13,"")</f>
        <v>3.13195439171439</v>
      </c>
      <c r="R13" s="43" t="n">
        <v>0.232638077388259</v>
      </c>
      <c r="S13" s="44" t="n">
        <f aca="false">IFERROR(1/R13,"")</f>
        <v>4.29852245697105</v>
      </c>
    </row>
    <row r="14" customFormat="false" ht="18.75" hidden="false" customHeight="true" outlineLevel="0" collapsed="false">
      <c r="A14" s="35" t="n">
        <v>29</v>
      </c>
      <c r="B14" s="33" t="n">
        <v>46302</v>
      </c>
      <c r="C14" s="34" t="s">
        <v>100</v>
      </c>
      <c r="D14" s="34" t="s">
        <v>101</v>
      </c>
      <c r="E14" s="38" t="n">
        <v>5.96866984224044</v>
      </c>
      <c r="F14" s="38" t="n">
        <v>3.81064729870785</v>
      </c>
      <c r="G14" s="38" t="n">
        <v>9.77931714094829</v>
      </c>
      <c r="H14" s="36" t="n">
        <v>0.728851551043674</v>
      </c>
      <c r="I14" s="37" t="n">
        <f aca="false">IFERROR(1/H14,"")</f>
        <v>1.37202150227719</v>
      </c>
      <c r="J14" s="36" t="n">
        <v>0.618449573217396</v>
      </c>
      <c r="K14" s="37" t="n">
        <f aca="false">IFERROR(1/J14,"")</f>
        <v>1.61694670561036</v>
      </c>
      <c r="L14" s="36" t="n">
        <v>0.502926211347039</v>
      </c>
      <c r="M14" s="37" t="n">
        <f aca="false">IFERROR(1/L14,"")</f>
        <v>1.98836325774629</v>
      </c>
      <c r="N14" s="36" t="n">
        <v>0.391782980114964</v>
      </c>
      <c r="O14" s="37" t="n">
        <f aca="false">IFERROR(1/N14,"")</f>
        <v>2.55243349189534</v>
      </c>
      <c r="P14" s="36" t="n">
        <v>0.292520025211993</v>
      </c>
      <c r="Q14" s="37" t="n">
        <f aca="false">IFERROR(1/P14,"")</f>
        <v>3.41856937580697</v>
      </c>
      <c r="R14" s="36" t="n">
        <v>0.209573083563285</v>
      </c>
      <c r="S14" s="37" t="n">
        <f aca="false">IFERROR(1/R14,"")</f>
        <v>4.77160512694385</v>
      </c>
    </row>
    <row r="15" customFormat="false" ht="18.75" hidden="false" customHeight="true" outlineLevel="0" collapsed="false">
      <c r="A15" s="42" t="n">
        <v>29</v>
      </c>
      <c r="B15" s="40" t="n">
        <v>46302</v>
      </c>
      <c r="C15" s="41" t="s">
        <v>102</v>
      </c>
      <c r="D15" s="41" t="s">
        <v>103</v>
      </c>
      <c r="E15" s="45" t="n">
        <v>6.65627333754998</v>
      </c>
      <c r="F15" s="45" t="n">
        <v>4.22245042222117</v>
      </c>
      <c r="G15" s="45" t="n">
        <v>10.8787237597712</v>
      </c>
      <c r="H15" s="43" t="n">
        <v>0.814991740875283</v>
      </c>
      <c r="I15" s="44" t="n">
        <f aca="false">IFERROR(1/H15,"")</f>
        <v>1.22700629938412</v>
      </c>
      <c r="J15" s="43" t="n">
        <v>0.7241033400037</v>
      </c>
      <c r="K15" s="44" t="n">
        <f aca="false">IFERROR(1/J15,"")</f>
        <v>1.38101835021903</v>
      </c>
      <c r="L15" s="43" t="n">
        <v>0.620671475962177</v>
      </c>
      <c r="M15" s="44" t="n">
        <f aca="false">IFERROR(1/L15,"")</f>
        <v>1.61115829988768</v>
      </c>
      <c r="N15" s="43" t="n">
        <v>0.512448249979809</v>
      </c>
      <c r="O15" s="44" t="n">
        <f aca="false">IFERROR(1/N15,"")</f>
        <v>1.95141655774881</v>
      </c>
      <c r="P15" s="43" t="n">
        <v>0.407330131169516</v>
      </c>
      <c r="Q15" s="44" t="n">
        <f aca="false">IFERROR(1/P15,"")</f>
        <v>2.45501111623838</v>
      </c>
      <c r="R15" s="43" t="n">
        <v>0.311799272221373</v>
      </c>
      <c r="S15" s="44" t="n">
        <f aca="false">IFERROR(1/R15,"")</f>
        <v>3.20719157833702</v>
      </c>
    </row>
    <row r="16" customFormat="false" ht="18.75" hidden="false" customHeight="true" outlineLevel="0" collapsed="false">
      <c r="A16" s="35" t="n">
        <v>29</v>
      </c>
      <c r="B16" s="33" t="n">
        <v>46302</v>
      </c>
      <c r="C16" s="34" t="s">
        <v>104</v>
      </c>
      <c r="D16" s="34" t="s">
        <v>105</v>
      </c>
      <c r="E16" s="38" t="n">
        <v>5.05390026989784</v>
      </c>
      <c r="F16" s="38" t="n">
        <v>5.17372018379615</v>
      </c>
      <c r="G16" s="38" t="n">
        <v>10.227620453694</v>
      </c>
      <c r="H16" s="36" t="n">
        <v>0.767112667943943</v>
      </c>
      <c r="I16" s="37" t="n">
        <f aca="false">IFERROR(1/H16,"")</f>
        <v>1.30358947490758</v>
      </c>
      <c r="J16" s="36" t="n">
        <v>0.664291689754723</v>
      </c>
      <c r="K16" s="37" t="n">
        <f aca="false">IFERROR(1/J16,"")</f>
        <v>1.50536280285131</v>
      </c>
      <c r="L16" s="36" t="n">
        <v>0.552808064242895</v>
      </c>
      <c r="M16" s="37" t="n">
        <f aca="false">IFERROR(1/L16,"")</f>
        <v>1.80894611472349</v>
      </c>
      <c r="N16" s="36" t="n">
        <v>0.441670552021508</v>
      </c>
      <c r="O16" s="37" t="n">
        <f aca="false">IFERROR(1/N16,"")</f>
        <v>2.26413102576805</v>
      </c>
      <c r="P16" s="36" t="n">
        <v>0.338821275988975</v>
      </c>
      <c r="Q16" s="37" t="n">
        <f aca="false">IFERROR(1/P16,"")</f>
        <v>2.95140851790116</v>
      </c>
      <c r="R16" s="36" t="n">
        <v>0.249767814557298</v>
      </c>
      <c r="S16" s="37" t="n">
        <f aca="false">IFERROR(1/R16,"")</f>
        <v>4.0037184205357</v>
      </c>
    </row>
    <row r="17" customFormat="false" ht="18.75" hidden="false" customHeight="true" outlineLevel="0" collapsed="false">
      <c r="A17" s="42" t="n">
        <v>29</v>
      </c>
      <c r="B17" s="40" t="n">
        <v>46302</v>
      </c>
      <c r="C17" s="41" t="s">
        <v>88</v>
      </c>
      <c r="D17" s="41" t="s">
        <v>8</v>
      </c>
      <c r="E17" s="45" t="n">
        <v>4.79456792834638</v>
      </c>
      <c r="F17" s="45" t="n">
        <v>5.13551425778152</v>
      </c>
      <c r="G17" s="45" t="n">
        <v>9.9300821861279</v>
      </c>
      <c r="H17" s="43" t="n">
        <v>0.742214590658649</v>
      </c>
      <c r="I17" s="44" t="n">
        <f aca="false">IFERROR(1/H17,"")</f>
        <v>1.34731924242097</v>
      </c>
      <c r="J17" s="43" t="n">
        <v>0.634276162671547</v>
      </c>
      <c r="K17" s="44" t="n">
        <f aca="false">IFERROR(1/J17,"")</f>
        <v>1.57660031836612</v>
      </c>
      <c r="L17" s="43" t="n">
        <v>0.519947795629192</v>
      </c>
      <c r="M17" s="44" t="n">
        <f aca="false">IFERROR(1/L17,"")</f>
        <v>1.92327000596261</v>
      </c>
      <c r="N17" s="43" t="n">
        <v>0.408607557216091</v>
      </c>
      <c r="O17" s="44" t="n">
        <f aca="false">IFERROR(1/N17,"")</f>
        <v>2.44733603757395</v>
      </c>
      <c r="P17" s="43" t="n">
        <v>0.307951184929979</v>
      </c>
      <c r="Q17" s="44" t="n">
        <f aca="false">IFERROR(1/P17,"")</f>
        <v>3.24726790782564</v>
      </c>
      <c r="R17" s="43" t="n">
        <v>0.222810057038924</v>
      </c>
      <c r="S17" s="44" t="n">
        <f aca="false">IFERROR(1/R17,"")</f>
        <v>4.48812775011006</v>
      </c>
    </row>
    <row r="18" customFormat="false" ht="18.75" hidden="false" customHeight="true" outlineLevel="0" collapsed="false">
      <c r="A18" s="35" t="n">
        <v>29</v>
      </c>
      <c r="B18" s="33" t="n">
        <v>46302</v>
      </c>
      <c r="C18" s="34" t="s">
        <v>106</v>
      </c>
      <c r="D18" s="34" t="s">
        <v>83</v>
      </c>
      <c r="E18" s="38" t="n">
        <v>5.86404029448881</v>
      </c>
      <c r="F18" s="38" t="n">
        <v>3.40477594288795</v>
      </c>
      <c r="G18" s="38" t="n">
        <v>9.26881623737676</v>
      </c>
      <c r="H18" s="36" t="n">
        <v>0.67983120849758</v>
      </c>
      <c r="I18" s="37" t="n">
        <f aca="false">IFERROR(1/H18,"")</f>
        <v>1.47095335945225</v>
      </c>
      <c r="J18" s="36" t="n">
        <v>0.561975959481511</v>
      </c>
      <c r="K18" s="37" t="n">
        <f aca="false">IFERROR(1/J18,"")</f>
        <v>1.77943554902708</v>
      </c>
      <c r="L18" s="36" t="n">
        <v>0.443837202186835</v>
      </c>
      <c r="M18" s="37" t="n">
        <f aca="false">IFERROR(1/L18,"")</f>
        <v>2.25307836989079</v>
      </c>
      <c r="N18" s="36" t="n">
        <v>0.334955199273813</v>
      </c>
      <c r="O18" s="37" t="n">
        <f aca="false">IFERROR(1/N18,"")</f>
        <v>2.9854738847703</v>
      </c>
      <c r="P18" s="36" t="n">
        <v>0.241799209396</v>
      </c>
      <c r="Q18" s="37" t="n">
        <f aca="false">IFERROR(1/P18,"")</f>
        <v>4.13566281915453</v>
      </c>
      <c r="R18" s="36" t="n">
        <v>0.167227436786632</v>
      </c>
      <c r="S18" s="37" t="n">
        <f aca="false">IFERROR(1/R18,"")</f>
        <v>5.97987997194451</v>
      </c>
    </row>
    <row r="19" customFormat="false" ht="18.75" hidden="false" customHeight="true" outlineLevel="0" collapsed="false">
      <c r="A19" s="42" t="n">
        <v>30</v>
      </c>
      <c r="B19" s="40" t="n">
        <v>46306</v>
      </c>
      <c r="C19" s="41" t="s">
        <v>90</v>
      </c>
      <c r="D19" s="41" t="s">
        <v>88</v>
      </c>
      <c r="E19" s="45" t="n">
        <v>6.12315076252578</v>
      </c>
      <c r="F19" s="45" t="n">
        <v>4.0894412923956</v>
      </c>
      <c r="G19" s="45" t="n">
        <v>10.2125920549214</v>
      </c>
      <c r="H19" s="43" t="n">
        <v>0.765901541641479</v>
      </c>
      <c r="I19" s="44" t="n">
        <f aca="false">IFERROR(1/H19,"")</f>
        <v>1.30565085148778</v>
      </c>
      <c r="J19" s="43" t="n">
        <v>0.66281523830037</v>
      </c>
      <c r="K19" s="44" t="n">
        <f aca="false">IFERROR(1/J19,"")</f>
        <v>1.50871606779026</v>
      </c>
      <c r="L19" s="43" t="n">
        <v>0.551173604758833</v>
      </c>
      <c r="M19" s="44" t="n">
        <f aca="false">IFERROR(1/L19,"")</f>
        <v>1.81431039397751</v>
      </c>
      <c r="N19" s="43" t="n">
        <v>0.440007693228799</v>
      </c>
      <c r="O19" s="44" t="n">
        <f aca="false">IFERROR(1/N19,"")</f>
        <v>2.27268753567</v>
      </c>
      <c r="P19" s="43" t="n">
        <v>0.33725148618059</v>
      </c>
      <c r="Q19" s="44" t="n">
        <f aca="false">IFERROR(1/P19,"")</f>
        <v>2.96514631062152</v>
      </c>
      <c r="R19" s="43" t="n">
        <v>0.248381831084298</v>
      </c>
      <c r="S19" s="44" t="n">
        <f aca="false">IFERROR(1/R19,"")</f>
        <v>4.02605937654357</v>
      </c>
    </row>
    <row r="20" customFormat="false" ht="18.75" hidden="false" customHeight="true" outlineLevel="0" collapsed="false">
      <c r="A20" s="35" t="n">
        <v>30</v>
      </c>
      <c r="B20" s="33" t="n">
        <v>46306</v>
      </c>
      <c r="C20" s="34" t="s">
        <v>103</v>
      </c>
      <c r="D20" s="34" t="s">
        <v>95</v>
      </c>
      <c r="E20" s="38" t="n">
        <v>6.32494403588999</v>
      </c>
      <c r="F20" s="38" t="n">
        <v>4.73819595937547</v>
      </c>
      <c r="G20" s="38" t="n">
        <v>11.0631399952655</v>
      </c>
      <c r="H20" s="36" t="n">
        <v>0.82698242361779</v>
      </c>
      <c r="I20" s="37" t="n">
        <f aca="false">IFERROR(1/H20,"")</f>
        <v>1.20921554248434</v>
      </c>
      <c r="J20" s="36" t="n">
        <v>0.739554692327667</v>
      </c>
      <c r="K20" s="37" t="n">
        <f aca="false">IFERROR(1/J20,"")</f>
        <v>1.35216503981959</v>
      </c>
      <c r="L20" s="36" t="n">
        <v>0.638752393323706</v>
      </c>
      <c r="M20" s="37" t="n">
        <f aca="false">IFERROR(1/L20,"")</f>
        <v>1.56555186399626</v>
      </c>
      <c r="N20" s="36" t="n">
        <v>0.531893197809471</v>
      </c>
      <c r="O20" s="37" t="n">
        <f aca="false">IFERROR(1/N20,"")</f>
        <v>1.88007668479003</v>
      </c>
      <c r="P20" s="36" t="n">
        <v>0.426734707131356</v>
      </c>
      <c r="Q20" s="37" t="n">
        <f aca="false">IFERROR(1/P20,"")</f>
        <v>2.34337630215811</v>
      </c>
      <c r="R20" s="36" t="n">
        <v>0.329910090577145</v>
      </c>
      <c r="S20" s="37" t="n">
        <f aca="false">IFERROR(1/R20,"")</f>
        <v>3.03112886984026</v>
      </c>
    </row>
    <row r="21" customFormat="false" ht="18.75" hidden="false" customHeight="true" outlineLevel="0" collapsed="false">
      <c r="A21" s="42" t="n">
        <v>30</v>
      </c>
      <c r="B21" s="40" t="n">
        <v>46306</v>
      </c>
      <c r="C21" s="41" t="s">
        <v>91</v>
      </c>
      <c r="D21" s="41" t="s">
        <v>96</v>
      </c>
      <c r="E21" s="45" t="n">
        <v>5.42151894625871</v>
      </c>
      <c r="F21" s="45" t="n">
        <v>5.44134387727874</v>
      </c>
      <c r="G21" s="45" t="n">
        <v>10.8628628235375</v>
      </c>
      <c r="H21" s="43" t="n">
        <v>0.813929127142127</v>
      </c>
      <c r="I21" s="44" t="n">
        <f aca="false">IFERROR(1/H21,"")</f>
        <v>1.2286082002142</v>
      </c>
      <c r="J21" s="43" t="n">
        <v>0.722743690592126</v>
      </c>
      <c r="K21" s="44" t="n">
        <f aca="false">IFERROR(1/J21,"")</f>
        <v>1.38361636776203</v>
      </c>
      <c r="L21" s="43" t="n">
        <v>0.61909167016458</v>
      </c>
      <c r="M21" s="44" t="n">
        <f aca="false">IFERROR(1/L21,"")</f>
        <v>1.61526967360772</v>
      </c>
      <c r="N21" s="43" t="n">
        <v>0.510761282581831</v>
      </c>
      <c r="O21" s="44" t="n">
        <f aca="false">IFERROR(1/N21,"")</f>
        <v>1.95786179200023</v>
      </c>
      <c r="P21" s="43" t="n">
        <v>0.405658599550671</v>
      </c>
      <c r="Q21" s="44" t="n">
        <f aca="false">IFERROR(1/P21,"")</f>
        <v>2.46512708249659</v>
      </c>
      <c r="R21" s="43" t="n">
        <v>0.310250266887557</v>
      </c>
      <c r="S21" s="44" t="n">
        <f aca="false">IFERROR(1/R21,"")</f>
        <v>3.22320431834609</v>
      </c>
    </row>
    <row r="22" customFormat="false" ht="18.75" hidden="false" customHeight="true" outlineLevel="0" collapsed="false">
      <c r="A22" s="35" t="n">
        <v>30</v>
      </c>
      <c r="B22" s="33" t="n">
        <v>46306</v>
      </c>
      <c r="C22" s="34" t="s">
        <v>83</v>
      </c>
      <c r="D22" s="34" t="s">
        <v>92</v>
      </c>
      <c r="E22" s="38" t="n">
        <v>4.20589023912719</v>
      </c>
      <c r="F22" s="38" t="n">
        <v>5.72487791501134</v>
      </c>
      <c r="G22" s="38" t="n">
        <v>9.93076815413853</v>
      </c>
      <c r="H22" s="36" t="n">
        <v>0.74227423635336</v>
      </c>
      <c r="I22" s="37" t="n">
        <f aca="false">IFERROR(1/H22,"")</f>
        <v>1.34721097813228</v>
      </c>
      <c r="J22" s="36" t="n">
        <v>0.634347238420978</v>
      </c>
      <c r="K22" s="37" t="n">
        <f aca="false">IFERROR(1/J22,"")</f>
        <v>1.57642366740526</v>
      </c>
      <c r="L22" s="36" t="n">
        <v>0.520024706724703</v>
      </c>
      <c r="M22" s="37" t="n">
        <f aca="false">IFERROR(1/L22,"")</f>
        <v>1.92298555639471</v>
      </c>
      <c r="N22" s="36" t="n">
        <v>0.408684043352236</v>
      </c>
      <c r="O22" s="37" t="n">
        <f aca="false">IFERROR(1/N22,"")</f>
        <v>2.44687801314064</v>
      </c>
      <c r="P22" s="36" t="n">
        <v>0.308021764875792</v>
      </c>
      <c r="Q22" s="37" t="n">
        <f aca="false">IFERROR(1/P22,"")</f>
        <v>3.24652383055867</v>
      </c>
      <c r="R22" s="36" t="n">
        <v>0.222870970080096</v>
      </c>
      <c r="S22" s="37" t="n">
        <f aca="false">IFERROR(1/R22,"")</f>
        <v>4.48690109636359</v>
      </c>
    </row>
    <row r="23" customFormat="false" ht="18.75" hidden="false" customHeight="true" outlineLevel="0" collapsed="false">
      <c r="A23" s="42" t="n">
        <v>30</v>
      </c>
      <c r="B23" s="40" t="n">
        <v>46306</v>
      </c>
      <c r="C23" s="41" t="s">
        <v>99</v>
      </c>
      <c r="D23" s="41" t="s">
        <v>93</v>
      </c>
      <c r="E23" s="45" t="n">
        <v>4.01765641019523</v>
      </c>
      <c r="F23" s="45" t="n">
        <v>5.13582655854628</v>
      </c>
      <c r="G23" s="45" t="n">
        <v>9.15348296874151</v>
      </c>
      <c r="H23" s="43" t="n">
        <v>0.667952106977297</v>
      </c>
      <c r="I23" s="44" t="n">
        <f aca="false">IFERROR(1/H23,"")</f>
        <v>1.49711332527317</v>
      </c>
      <c r="J23" s="43" t="n">
        <v>0.548647317833872</v>
      </c>
      <c r="K23" s="44" t="n">
        <f aca="false">IFERROR(1/J23,"")</f>
        <v>1.82266451961913</v>
      </c>
      <c r="L23" s="43" t="n">
        <v>0.43025666090791</v>
      </c>
      <c r="M23" s="44" t="n">
        <f aca="false">IFERROR(1/L23,"")</f>
        <v>2.32419411680889</v>
      </c>
      <c r="N23" s="43" t="n">
        <v>0.322238390782885</v>
      </c>
      <c r="O23" s="44" t="n">
        <f aca="false">IFERROR(1/N23,"")</f>
        <v>3.10329255794282</v>
      </c>
      <c r="P23" s="43" t="n">
        <v>0.230749579206495</v>
      </c>
      <c r="Q23" s="44" t="n">
        <f aca="false">IFERROR(1/P23,"")</f>
        <v>4.33370237743798</v>
      </c>
      <c r="R23" s="43" t="n">
        <v>0.158247952257669</v>
      </c>
      <c r="S23" s="44" t="n">
        <f aca="false">IFERROR(1/R23,"")</f>
        <v>6.31919709375915</v>
      </c>
    </row>
    <row r="24" customFormat="false" ht="18.75" hidden="false" customHeight="true" outlineLevel="0" collapsed="false">
      <c r="A24" s="35" t="n">
        <v>30</v>
      </c>
      <c r="B24" s="33" t="n">
        <v>46306</v>
      </c>
      <c r="C24" s="34" t="s">
        <v>8</v>
      </c>
      <c r="D24" s="34" t="s">
        <v>98</v>
      </c>
      <c r="E24" s="38" t="n">
        <v>5.75696180330618</v>
      </c>
      <c r="F24" s="38" t="n">
        <v>3.84983780510159</v>
      </c>
      <c r="G24" s="38" t="n">
        <v>9.60679960840777</v>
      </c>
      <c r="H24" s="36" t="n">
        <v>0.712937964010619</v>
      </c>
      <c r="I24" s="37" t="n">
        <f aca="false">IFERROR(1/H24,"")</f>
        <v>1.40264658424769</v>
      </c>
      <c r="J24" s="36" t="n">
        <v>0.599849177773018</v>
      </c>
      <c r="K24" s="37" t="n">
        <f aca="false">IFERROR(1/J24,"")</f>
        <v>1.66708572263543</v>
      </c>
      <c r="L24" s="36" t="n">
        <v>0.483183409990301</v>
      </c>
      <c r="M24" s="37" t="n">
        <f aca="false">IFERROR(1/L24,"")</f>
        <v>2.0696074809772</v>
      </c>
      <c r="N24" s="36" t="n">
        <v>0.372524196590503</v>
      </c>
      <c r="O24" s="37" t="n">
        <f aca="false">IFERROR(1/N24,"")</f>
        <v>2.68438938772949</v>
      </c>
      <c r="P24" s="36" t="n">
        <v>0.275087467864817</v>
      </c>
      <c r="Q24" s="37" t="n">
        <f aca="false">IFERROR(1/P24,"")</f>
        <v>3.63520740425521</v>
      </c>
      <c r="R24" s="36" t="n">
        <v>0.194814964195823</v>
      </c>
      <c r="S24" s="37" t="n">
        <f aca="false">IFERROR(1/R24,"")</f>
        <v>5.13307591194496</v>
      </c>
    </row>
    <row r="25" customFormat="false" ht="18.75" hidden="false" customHeight="true" outlineLevel="0" collapsed="false">
      <c r="A25" s="42" t="n">
        <v>30</v>
      </c>
      <c r="B25" s="40" t="n">
        <v>46306</v>
      </c>
      <c r="C25" s="41" t="s">
        <v>105</v>
      </c>
      <c r="D25" s="41" t="s">
        <v>100</v>
      </c>
      <c r="E25" s="45" t="n">
        <v>4.38850697869403</v>
      </c>
      <c r="F25" s="45" t="n">
        <v>4.78733732960504</v>
      </c>
      <c r="G25" s="45" t="n">
        <v>9.17584430829907</v>
      </c>
      <c r="H25" s="43" t="n">
        <v>0.670278232044687</v>
      </c>
      <c r="I25" s="44" t="n">
        <f aca="false">IFERROR(1/H25,"")</f>
        <v>1.49191776219481</v>
      </c>
      <c r="J25" s="43" t="n">
        <v>0.551246714940101</v>
      </c>
      <c r="K25" s="44" t="n">
        <f aca="false">IFERROR(1/J25,"")</f>
        <v>1.81406976748816</v>
      </c>
      <c r="L25" s="43" t="n">
        <v>0.432894434669179</v>
      </c>
      <c r="M25" s="44" t="n">
        <f aca="false">IFERROR(1/L25,"")</f>
        <v>2.31003200760529</v>
      </c>
      <c r="N25" s="43" t="n">
        <v>0.324698354900453</v>
      </c>
      <c r="O25" s="44" t="n">
        <f aca="false">IFERROR(1/N25,"")</f>
        <v>3.07978154156827</v>
      </c>
      <c r="P25" s="43" t="n">
        <v>0.232878330939482</v>
      </c>
      <c r="Q25" s="44" t="n">
        <f aca="false">IFERROR(1/P25,"")</f>
        <v>4.29408780098081</v>
      </c>
      <c r="R25" s="43" t="n">
        <v>0.159970819290296</v>
      </c>
      <c r="S25" s="44" t="n">
        <f aca="false">IFERROR(1/R25,"")</f>
        <v>6.25114007939984</v>
      </c>
    </row>
    <row r="26" customFormat="false" ht="18.75" hidden="false" customHeight="true" outlineLevel="0" collapsed="false">
      <c r="A26" s="35" t="n">
        <v>30</v>
      </c>
      <c r="B26" s="33" t="n">
        <v>46306</v>
      </c>
      <c r="C26" s="34" t="s">
        <v>102</v>
      </c>
      <c r="D26" s="34" t="s">
        <v>101</v>
      </c>
      <c r="E26" s="38" t="n">
        <v>6.7756800533089</v>
      </c>
      <c r="F26" s="38" t="n">
        <v>3.91903873528127</v>
      </c>
      <c r="G26" s="38" t="n">
        <v>10.6947187885902</v>
      </c>
      <c r="H26" s="36" t="n">
        <v>0.802352770895129</v>
      </c>
      <c r="I26" s="37" t="n">
        <f aca="false">IFERROR(1/H26,"")</f>
        <v>1.24633457535688</v>
      </c>
      <c r="J26" s="36" t="n">
        <v>0.708029977519127</v>
      </c>
      <c r="K26" s="37" t="n">
        <f aca="false">IFERROR(1/J26,"")</f>
        <v>1.41236957720902</v>
      </c>
      <c r="L26" s="36" t="n">
        <v>0.60210910658899</v>
      </c>
      <c r="M26" s="37" t="n">
        <f aca="false">IFERROR(1/L26,"")</f>
        <v>1.66082855923755</v>
      </c>
      <c r="N26" s="36" t="n">
        <v>0.492747050451007</v>
      </c>
      <c r="O26" s="37" t="n">
        <f aca="false">IFERROR(1/N26,"")</f>
        <v>2.02943883496554</v>
      </c>
      <c r="P26" s="36" t="n">
        <v>0.387927384466084</v>
      </c>
      <c r="Q26" s="37" t="n">
        <f aca="false">IFERROR(1/P26,"")</f>
        <v>2.57780203214148</v>
      </c>
      <c r="R26" s="36" t="n">
        <v>0.293927380087719</v>
      </c>
      <c r="S26" s="37" t="n">
        <f aca="false">IFERROR(1/R26,"")</f>
        <v>3.40220090997158</v>
      </c>
    </row>
    <row r="27" customFormat="false" ht="18.75" hidden="false" customHeight="true" outlineLevel="0" collapsed="false">
      <c r="A27" s="42" t="n">
        <v>30</v>
      </c>
      <c r="B27" s="40" t="n">
        <v>46306</v>
      </c>
      <c r="C27" s="41" t="s">
        <v>87</v>
      </c>
      <c r="D27" s="41" t="s">
        <v>106</v>
      </c>
      <c r="E27" s="45" t="n">
        <v>6.14276690234153</v>
      </c>
      <c r="F27" s="45" t="n">
        <v>3.53513850314989</v>
      </c>
      <c r="G27" s="45" t="n">
        <v>9.67790540549142</v>
      </c>
      <c r="H27" s="43" t="n">
        <v>0.719577668921134</v>
      </c>
      <c r="I27" s="44" t="n">
        <f aca="false">IFERROR(1/H27,"")</f>
        <v>1.38970404890316</v>
      </c>
      <c r="J27" s="43" t="n">
        <v>0.607577823905545</v>
      </c>
      <c r="K27" s="44" t="n">
        <f aca="false">IFERROR(1/J27,"")</f>
        <v>1.64587968924202</v>
      </c>
      <c r="L27" s="43" t="n">
        <v>0.491352704001172</v>
      </c>
      <c r="M27" s="44" t="n">
        <f aca="false">IFERROR(1/L27,"")</f>
        <v>2.03519791761971</v>
      </c>
      <c r="N27" s="43" t="n">
        <v>0.380460039486355</v>
      </c>
      <c r="O27" s="44" t="n">
        <f aca="false">IFERROR(1/N27,"")</f>
        <v>2.62839693059503</v>
      </c>
      <c r="P27" s="43" t="n">
        <v>0.282240789067626</v>
      </c>
      <c r="Q27" s="44" t="n">
        <f aca="false">IFERROR(1/P27,"")</f>
        <v>3.54307399473858</v>
      </c>
      <c r="R27" s="43" t="n">
        <v>0.200845473768367</v>
      </c>
      <c r="S27" s="44" t="n">
        <f aca="false">IFERROR(1/R27,"")</f>
        <v>4.97895213288844</v>
      </c>
    </row>
    <row r="28" customFormat="false" ht="18.75" hidden="false" customHeight="true" outlineLevel="0" collapsed="false">
      <c r="A28" s="35" t="n">
        <v>30</v>
      </c>
      <c r="B28" s="33" t="n">
        <v>46306</v>
      </c>
      <c r="C28" s="34" t="s">
        <v>84</v>
      </c>
      <c r="D28" s="34" t="s">
        <v>104</v>
      </c>
      <c r="E28" s="38" t="n">
        <v>6.79717667867078</v>
      </c>
      <c r="F28" s="38" t="n">
        <v>3.70097986358565</v>
      </c>
      <c r="G28" s="38" t="n">
        <v>10.4981565422564</v>
      </c>
      <c r="H28" s="36" t="n">
        <v>0.788084389020666</v>
      </c>
      <c r="I28" s="37" t="n">
        <f aca="false">IFERROR(1/H28,"")</f>
        <v>1.26889964314948</v>
      </c>
      <c r="J28" s="36" t="n">
        <v>0.690135345228023</v>
      </c>
      <c r="K28" s="37" t="n">
        <f aca="false">IFERROR(1/J28,"")</f>
        <v>1.44899113907808</v>
      </c>
      <c r="L28" s="36" t="n">
        <v>0.581729130160595</v>
      </c>
      <c r="M28" s="37" t="n">
        <f aca="false">IFERROR(1/L28,"")</f>
        <v>1.71901310791147</v>
      </c>
      <c r="N28" s="36" t="n">
        <v>0.471415697932554</v>
      </c>
      <c r="O28" s="37" t="n">
        <f aca="false">IFERROR(1/N28,"")</f>
        <v>2.12127004761533</v>
      </c>
      <c r="P28" s="36" t="n">
        <v>0.36720948967581</v>
      </c>
      <c r="Q28" s="37" t="n">
        <f aca="false">IFERROR(1/P28,"")</f>
        <v>2.72324116918342</v>
      </c>
      <c r="R28" s="36" t="n">
        <v>0.275107759711915</v>
      </c>
      <c r="S28" s="37" t="n">
        <f aca="false">IFERROR(1/R28,"")</f>
        <v>3.63493927269507</v>
      </c>
    </row>
    <row r="29" customFormat="false" ht="18.75" hidden="false" customHeight="true" outlineLevel="0" collapsed="false">
      <c r="A29" s="42" t="n">
        <v>31</v>
      </c>
      <c r="B29" s="40" t="n">
        <v>46313</v>
      </c>
      <c r="C29" s="41" t="s">
        <v>92</v>
      </c>
      <c r="D29" s="41" t="s">
        <v>102</v>
      </c>
      <c r="E29" s="45" t="n">
        <v>5.43599452540178</v>
      </c>
      <c r="F29" s="45" t="n">
        <v>5.25120948098993</v>
      </c>
      <c r="G29" s="45" t="n">
        <v>10.6872040063917</v>
      </c>
      <c r="H29" s="43" t="n">
        <v>0.801821974944095</v>
      </c>
      <c r="I29" s="44" t="n">
        <f aca="false">IFERROR(1/H29,"")</f>
        <v>1.24715963299674</v>
      </c>
      <c r="J29" s="43" t="n">
        <v>0.707359590405959</v>
      </c>
      <c r="K29" s="44" t="n">
        <f aca="false">IFERROR(1/J29,"")</f>
        <v>1.41370812464152</v>
      </c>
      <c r="L29" s="43" t="n">
        <v>0.601340243650864</v>
      </c>
      <c r="M29" s="44" t="n">
        <f aca="false">IFERROR(1/L29,"")</f>
        <v>1.66295206508846</v>
      </c>
      <c r="N29" s="43" t="n">
        <v>0.491936652409474</v>
      </c>
      <c r="O29" s="44" t="n">
        <f aca="false">IFERROR(1/N29,"")</f>
        <v>2.03278205659624</v>
      </c>
      <c r="P29" s="43" t="n">
        <v>0.387134786920418</v>
      </c>
      <c r="Q29" s="44" t="n">
        <f aca="false">IFERROR(1/P29,"")</f>
        <v>2.58307967608596</v>
      </c>
      <c r="R29" s="43" t="n">
        <v>0.293202381036568</v>
      </c>
      <c r="S29" s="44" t="n">
        <f aca="false">IFERROR(1/R29,"")</f>
        <v>3.41061350342609</v>
      </c>
    </row>
    <row r="30" customFormat="false" ht="18.75" hidden="false" customHeight="true" outlineLevel="0" collapsed="false">
      <c r="A30" s="35" t="n">
        <v>31</v>
      </c>
      <c r="B30" s="33" t="n">
        <v>46313</v>
      </c>
      <c r="C30" s="34" t="s">
        <v>90</v>
      </c>
      <c r="D30" s="34" t="s">
        <v>99</v>
      </c>
      <c r="E30" s="38" t="n">
        <v>7.23538371021663</v>
      </c>
      <c r="F30" s="38" t="n">
        <v>3.25000578551256</v>
      </c>
      <c r="G30" s="38" t="n">
        <v>10.4853894957292</v>
      </c>
      <c r="H30" s="36" t="n">
        <v>0.787129727994369</v>
      </c>
      <c r="I30" s="37" t="n">
        <f aca="false">IFERROR(1/H30,"")</f>
        <v>1.27043861314707</v>
      </c>
      <c r="J30" s="36" t="n">
        <v>0.688947258329939</v>
      </c>
      <c r="K30" s="37" t="n">
        <f aca="false">IFERROR(1/J30,"")</f>
        <v>1.45148991872626</v>
      </c>
      <c r="L30" s="36" t="n">
        <v>0.580386450357992</v>
      </c>
      <c r="M30" s="37" t="n">
        <f aca="false">IFERROR(1/L30,"")</f>
        <v>1.72298991367421</v>
      </c>
      <c r="N30" s="36" t="n">
        <v>0.470021183819599</v>
      </c>
      <c r="O30" s="37" t="n">
        <f aca="false">IFERROR(1/N30,"")</f>
        <v>2.12756368101021</v>
      </c>
      <c r="P30" s="36" t="n">
        <v>0.365865554633087</v>
      </c>
      <c r="Q30" s="37" t="n">
        <f aca="false">IFERROR(1/P30,"")</f>
        <v>2.73324445916441</v>
      </c>
      <c r="R30" s="36" t="n">
        <v>0.273896425343706</v>
      </c>
      <c r="S30" s="37" t="n">
        <f aca="false">IFERROR(1/R30,"")</f>
        <v>3.65101515561995</v>
      </c>
    </row>
    <row r="31" customFormat="false" ht="18.75" hidden="false" customHeight="true" outlineLevel="0" collapsed="false">
      <c r="A31" s="42" t="n">
        <v>31</v>
      </c>
      <c r="B31" s="40" t="n">
        <v>46313</v>
      </c>
      <c r="C31" s="41" t="s">
        <v>103</v>
      </c>
      <c r="D31" s="41" t="s">
        <v>8</v>
      </c>
      <c r="E31" s="45" t="n">
        <v>5.13026904650551</v>
      </c>
      <c r="F31" s="45" t="n">
        <v>4.77873072320463</v>
      </c>
      <c r="G31" s="45" t="n">
        <v>9.90899976971014</v>
      </c>
      <c r="H31" s="43" t="n">
        <v>0.740376359295496</v>
      </c>
      <c r="I31" s="44" t="n">
        <f aca="false">IFERROR(1/H31,"")</f>
        <v>1.35066441201816</v>
      </c>
      <c r="J31" s="43" t="n">
        <v>0.632087575293576</v>
      </c>
      <c r="K31" s="44" t="n">
        <f aca="false">IFERROR(1/J31,"")</f>
        <v>1.5820592574305</v>
      </c>
      <c r="L31" s="43" t="n">
        <v>0.517581587648576</v>
      </c>
      <c r="M31" s="44" t="n">
        <f aca="false">IFERROR(1/L31,"")</f>
        <v>1.9320625460096</v>
      </c>
      <c r="N31" s="43" t="n">
        <v>0.406256472826835</v>
      </c>
      <c r="O31" s="44" t="n">
        <f aca="false">IFERROR(1/N31,"")</f>
        <v>2.46149924219483</v>
      </c>
      <c r="P31" s="43" t="n">
        <v>0.305783538236465</v>
      </c>
      <c r="Q31" s="44" t="n">
        <f aca="false">IFERROR(1/P31,"")</f>
        <v>3.27028722921863</v>
      </c>
      <c r="R31" s="43" t="n">
        <v>0.220940928174422</v>
      </c>
      <c r="S31" s="44" t="n">
        <f aca="false">IFERROR(1/R31,"")</f>
        <v>4.52609667327255</v>
      </c>
    </row>
    <row r="32" customFormat="false" ht="18.75" hidden="false" customHeight="true" outlineLevel="0" collapsed="false">
      <c r="A32" s="35" t="n">
        <v>31</v>
      </c>
      <c r="B32" s="33" t="n">
        <v>46313</v>
      </c>
      <c r="C32" s="34" t="s">
        <v>93</v>
      </c>
      <c r="D32" s="34" t="s">
        <v>83</v>
      </c>
      <c r="E32" s="38" t="n">
        <v>6.43818549478845</v>
      </c>
      <c r="F32" s="38" t="n">
        <v>3.15503953062935</v>
      </c>
      <c r="G32" s="38" t="n">
        <v>9.59322502541779</v>
      </c>
      <c r="H32" s="36" t="n">
        <v>0.711657528377462</v>
      </c>
      <c r="I32" s="37" t="n">
        <f aca="false">IFERROR(1/H32,"")</f>
        <v>1.40517026817652</v>
      </c>
      <c r="J32" s="36" t="n">
        <v>0.598363965231368</v>
      </c>
      <c r="K32" s="37" t="n">
        <f aca="false">IFERROR(1/J32,"")</f>
        <v>1.67122363328369</v>
      </c>
      <c r="L32" s="36" t="n">
        <v>0.481619021135337</v>
      </c>
      <c r="M32" s="37" t="n">
        <f aca="false">IFERROR(1/L32,"")</f>
        <v>2.07632995400112</v>
      </c>
      <c r="N32" s="36" t="n">
        <v>0.371009843876337</v>
      </c>
      <c r="O32" s="37" t="n">
        <f aca="false">IFERROR(1/N32,"")</f>
        <v>2.69534627316604</v>
      </c>
      <c r="P32" s="36" t="n">
        <v>0.273727231794764</v>
      </c>
      <c r="Q32" s="37" t="n">
        <f aca="false">IFERROR(1/P32,"")</f>
        <v>3.65327188472714</v>
      </c>
      <c r="R32" s="36" t="n">
        <v>0.193672264941884</v>
      </c>
      <c r="S32" s="37" t="n">
        <f aca="false">IFERROR(1/R32,"")</f>
        <v>5.16336193156037</v>
      </c>
    </row>
    <row r="33" customFormat="false" ht="18.75" hidden="false" customHeight="true" outlineLevel="0" collapsed="false">
      <c r="A33" s="42" t="n">
        <v>31</v>
      </c>
      <c r="B33" s="40" t="n">
        <v>46313</v>
      </c>
      <c r="C33" s="41" t="s">
        <v>101</v>
      </c>
      <c r="D33" s="41" t="s">
        <v>106</v>
      </c>
      <c r="E33" s="45" t="n">
        <v>5.41803781683685</v>
      </c>
      <c r="F33" s="45" t="n">
        <v>3.74979526900619</v>
      </c>
      <c r="G33" s="45" t="n">
        <v>9.16783308584303</v>
      </c>
      <c r="H33" s="43" t="n">
        <v>0.669446135135916</v>
      </c>
      <c r="I33" s="44" t="n">
        <f aca="false">IFERROR(1/H33,"")</f>
        <v>1.49377216106711</v>
      </c>
      <c r="J33" s="43" t="n">
        <v>0.55031627562955</v>
      </c>
      <c r="K33" s="44" t="n">
        <f aca="false">IFERROR(1/J33,"")</f>
        <v>1.81713687979884</v>
      </c>
      <c r="L33" s="43" t="n">
        <v>0.431949661798899</v>
      </c>
      <c r="M33" s="44" t="n">
        <f aca="false">IFERROR(1/L33,"")</f>
        <v>2.31508457683564</v>
      </c>
      <c r="N33" s="43" t="n">
        <v>0.323816711481545</v>
      </c>
      <c r="O33" s="44" t="n">
        <f aca="false">IFERROR(1/N33,"")</f>
        <v>3.08816674539353</v>
      </c>
      <c r="P33" s="43" t="n">
        <v>0.232114911142579</v>
      </c>
      <c r="Q33" s="44" t="n">
        <f aca="false">IFERROR(1/P33,"")</f>
        <v>4.3082109420611</v>
      </c>
      <c r="R33" s="43" t="n">
        <v>0.159352569116243</v>
      </c>
      <c r="S33" s="44" t="n">
        <f aca="false">IFERROR(1/R33,"")</f>
        <v>6.27539302030662</v>
      </c>
    </row>
    <row r="34" customFormat="false" ht="18.75" hidden="false" customHeight="true" outlineLevel="0" collapsed="false">
      <c r="A34" s="35" t="n">
        <v>31</v>
      </c>
      <c r="B34" s="33" t="n">
        <v>46313</v>
      </c>
      <c r="C34" s="34" t="s">
        <v>98</v>
      </c>
      <c r="D34" s="34" t="s">
        <v>88</v>
      </c>
      <c r="E34" s="38" t="n">
        <v>5.81535712249815</v>
      </c>
      <c r="F34" s="38" t="n">
        <v>3.98654148349416</v>
      </c>
      <c r="G34" s="38" t="n">
        <v>9.8018986059923</v>
      </c>
      <c r="H34" s="36" t="n">
        <v>0.730885297744541</v>
      </c>
      <c r="I34" s="37" t="n">
        <f aca="false">IFERROR(1/H34,"")</f>
        <v>1.36820374289362</v>
      </c>
      <c r="J34" s="36" t="n">
        <v>0.620845872856601</v>
      </c>
      <c r="K34" s="37" t="n">
        <f aca="false">IFERROR(1/J34,"")</f>
        <v>1.61070572217684</v>
      </c>
      <c r="L34" s="36" t="n">
        <v>0.50549016817472</v>
      </c>
      <c r="M34" s="37" t="n">
        <f aca="false">IFERROR(1/L34,"")</f>
        <v>1.97827784388154</v>
      </c>
      <c r="N34" s="36" t="n">
        <v>0.394304176010948</v>
      </c>
      <c r="O34" s="37" t="n">
        <f aca="false">IFERROR(1/N34,"")</f>
        <v>2.53611313508441</v>
      </c>
      <c r="P34" s="36" t="n">
        <v>0.294820446990514</v>
      </c>
      <c r="Q34" s="37" t="n">
        <f aca="false">IFERROR(1/P34,"")</f>
        <v>3.39189499984774</v>
      </c>
      <c r="R34" s="36" t="n">
        <v>0.211536167346024</v>
      </c>
      <c r="S34" s="37" t="n">
        <f aca="false">IFERROR(1/R34,"")</f>
        <v>4.72732399639364</v>
      </c>
    </row>
    <row r="35" customFormat="false" ht="18.75" hidden="false" customHeight="true" outlineLevel="0" collapsed="false">
      <c r="A35" s="42" t="n">
        <v>31</v>
      </c>
      <c r="B35" s="40" t="n">
        <v>46313</v>
      </c>
      <c r="C35" s="41" t="s">
        <v>105</v>
      </c>
      <c r="D35" s="41" t="s">
        <v>96</v>
      </c>
      <c r="E35" s="45" t="n">
        <v>4.51758848008909</v>
      </c>
      <c r="F35" s="45" t="n">
        <v>4.96586129327071</v>
      </c>
      <c r="G35" s="45" t="n">
        <v>9.4834497733598</v>
      </c>
      <c r="H35" s="43" t="n">
        <v>0.701151253136707</v>
      </c>
      <c r="I35" s="44" t="n">
        <f aca="false">IFERROR(1/H35,"")</f>
        <v>1.4262257901221</v>
      </c>
      <c r="J35" s="43" t="n">
        <v>0.586240389244487</v>
      </c>
      <c r="K35" s="44" t="n">
        <f aca="false">IFERROR(1/J35,"")</f>
        <v>1.70578489361462</v>
      </c>
      <c r="L35" s="43" t="n">
        <v>0.468915006678074</v>
      </c>
      <c r="M35" s="44" t="n">
        <f aca="false">IFERROR(1/L35,"")</f>
        <v>2.13258263386425</v>
      </c>
      <c r="N35" s="43" t="n">
        <v>0.358775506059494</v>
      </c>
      <c r="O35" s="44" t="n">
        <f aca="false">IFERROR(1/N35,"")</f>
        <v>2.78725828020761</v>
      </c>
      <c r="P35" s="43" t="n">
        <v>0.262794519899456</v>
      </c>
      <c r="Q35" s="44" t="n">
        <f aca="false">IFERROR(1/P35,"")</f>
        <v>3.80525438803898</v>
      </c>
      <c r="R35" s="43" t="n">
        <v>0.184535156580182</v>
      </c>
      <c r="S35" s="44" t="n">
        <f aca="false">IFERROR(1/R35,"")</f>
        <v>5.41902160288624</v>
      </c>
    </row>
    <row r="36" customFormat="false" ht="18.75" hidden="false" customHeight="true" outlineLevel="0" collapsed="false">
      <c r="A36" s="35" t="n">
        <v>31</v>
      </c>
      <c r="B36" s="33" t="n">
        <v>46313</v>
      </c>
      <c r="C36" s="34" t="s">
        <v>95</v>
      </c>
      <c r="D36" s="34" t="s">
        <v>100</v>
      </c>
      <c r="E36" s="38" t="n">
        <v>5.49402473726828</v>
      </c>
      <c r="F36" s="38" t="n">
        <v>5.14292016439753</v>
      </c>
      <c r="G36" s="38" t="n">
        <v>10.6369449016658</v>
      </c>
      <c r="H36" s="36" t="n">
        <v>0.798242144482924</v>
      </c>
      <c r="I36" s="37" t="n">
        <f aca="false">IFERROR(1/H36,"")</f>
        <v>1.2527526978017</v>
      </c>
      <c r="J36" s="36" t="n">
        <v>0.702847897584149</v>
      </c>
      <c r="K36" s="37" t="n">
        <f aca="false">IFERROR(1/J36,"")</f>
        <v>1.42278294270671</v>
      </c>
      <c r="L36" s="36" t="n">
        <v>0.59617676623411</v>
      </c>
      <c r="M36" s="37" t="n">
        <f aca="false">IFERROR(1/L36,"")</f>
        <v>1.67735486627017</v>
      </c>
      <c r="N36" s="36" t="n">
        <v>0.4865057536339</v>
      </c>
      <c r="O36" s="37" t="n">
        <f aca="false">IFERROR(1/N36,"")</f>
        <v>2.05547414913516</v>
      </c>
      <c r="P36" s="36" t="n">
        <v>0.381834413100489</v>
      </c>
      <c r="Q36" s="37" t="n">
        <f aca="false">IFERROR(1/P36,"")</f>
        <v>2.61893628675325</v>
      </c>
      <c r="R36" s="36" t="n">
        <v>0.288364311032784</v>
      </c>
      <c r="S36" s="37" t="n">
        <f aca="false">IFERROR(1/R36,"")</f>
        <v>3.46783551826672</v>
      </c>
    </row>
    <row r="37" customFormat="false" ht="18.75" hidden="false" customHeight="true" outlineLevel="0" collapsed="false">
      <c r="A37" s="42" t="n">
        <v>31</v>
      </c>
      <c r="B37" s="40" t="n">
        <v>46313</v>
      </c>
      <c r="C37" s="41" t="s">
        <v>104</v>
      </c>
      <c r="D37" s="41" t="s">
        <v>91</v>
      </c>
      <c r="E37" s="45" t="n">
        <v>5.53781261012094</v>
      </c>
      <c r="F37" s="45" t="n">
        <v>6.20893694118389</v>
      </c>
      <c r="G37" s="45" t="n">
        <v>11.7467495513048</v>
      </c>
      <c r="H37" s="43" t="n">
        <v>0.865884522510324</v>
      </c>
      <c r="I37" s="44" t="n">
        <f aca="false">IFERROR(1/H37,"")</f>
        <v>1.15488841064032</v>
      </c>
      <c r="J37" s="43" t="n">
        <v>0.791170150239703</v>
      </c>
      <c r="K37" s="44" t="n">
        <f aca="false">IFERROR(1/J37,"")</f>
        <v>1.26395061757199</v>
      </c>
      <c r="L37" s="43" t="n">
        <v>0.700952179918372</v>
      </c>
      <c r="M37" s="44" t="n">
        <f aca="false">IFERROR(1/L37,"")</f>
        <v>1.4266308439421</v>
      </c>
      <c r="N37" s="43" t="n">
        <v>0.600790364524449</v>
      </c>
      <c r="O37" s="44" t="n">
        <f aca="false">IFERROR(1/N37,"")</f>
        <v>1.66447409786863</v>
      </c>
      <c r="P37" s="43" t="n">
        <v>0.497561225980576</v>
      </c>
      <c r="Q37" s="44" t="n">
        <f aca="false">IFERROR(1/P37,"")</f>
        <v>2.00980291024333</v>
      </c>
      <c r="R37" s="43" t="n">
        <v>0.398018067494943</v>
      </c>
      <c r="S37" s="44" t="n">
        <f aca="false">IFERROR(1/R37,"")</f>
        <v>2.51244875966015</v>
      </c>
    </row>
    <row r="38" customFormat="false" ht="18.75" hidden="false" customHeight="true" outlineLevel="0" collapsed="false">
      <c r="A38" s="35" t="n">
        <v>31</v>
      </c>
      <c r="B38" s="33" t="n">
        <v>46313</v>
      </c>
      <c r="C38" s="34" t="s">
        <v>87</v>
      </c>
      <c r="D38" s="34" t="s">
        <v>84</v>
      </c>
      <c r="E38" s="38" t="n">
        <v>5.75086943779291</v>
      </c>
      <c r="F38" s="38" t="n">
        <v>3.76460941852805</v>
      </c>
      <c r="G38" s="38" t="n">
        <v>9.51547885632095</v>
      </c>
      <c r="H38" s="36" t="n">
        <v>0.704244542181567</v>
      </c>
      <c r="I38" s="37" t="n">
        <f aca="false">IFERROR(1/H38,"")</f>
        <v>1.41996130619949</v>
      </c>
      <c r="J38" s="36" t="n">
        <v>0.589798261901098</v>
      </c>
      <c r="K38" s="37" t="n">
        <f aca="false">IFERROR(1/J38,"")</f>
        <v>1.6954949931129</v>
      </c>
      <c r="L38" s="36" t="n">
        <v>0.47263109273656</v>
      </c>
      <c r="M38" s="37" t="n">
        <f aca="false">IFERROR(1/L38,"")</f>
        <v>2.11581509419946</v>
      </c>
      <c r="N38" s="36" t="n">
        <v>0.362342542661634</v>
      </c>
      <c r="O38" s="37" t="n">
        <f aca="false">IFERROR(1/N38,"")</f>
        <v>2.75981945883133</v>
      </c>
      <c r="P38" s="36" t="n">
        <v>0.265971646393985</v>
      </c>
      <c r="Q38" s="37" t="n">
        <f aca="false">IFERROR(1/P38,"")</f>
        <v>3.75979926265786</v>
      </c>
      <c r="R38" s="36" t="n">
        <v>0.187181779532989</v>
      </c>
      <c r="S38" s="37" t="n">
        <f aca="false">IFERROR(1/R38,"")</f>
        <v>5.34240032600908</v>
      </c>
    </row>
    <row r="39" customFormat="false" ht="18.75" hidden="false" customHeight="true" outlineLevel="0" collapsed="false">
      <c r="A39" s="42" t="n">
        <v>32</v>
      </c>
      <c r="B39" s="40" t="n">
        <v>46320</v>
      </c>
      <c r="C39" s="41" t="s">
        <v>83</v>
      </c>
      <c r="D39" s="41" t="s">
        <v>98</v>
      </c>
      <c r="E39" s="45" t="n">
        <v>3.99741733827718</v>
      </c>
      <c r="F39" s="45" t="n">
        <v>5.36148512678813</v>
      </c>
      <c r="G39" s="45" t="n">
        <v>9.35890246506531</v>
      </c>
      <c r="H39" s="43" t="n">
        <v>0.688904771500693</v>
      </c>
      <c r="I39" s="44" t="n">
        <f aca="false">IFERROR(1/H39,"")</f>
        <v>1.45157943647512</v>
      </c>
      <c r="J39" s="43" t="n">
        <v>0.572248129132193</v>
      </c>
      <c r="K39" s="44" t="n">
        <f aca="false">IFERROR(1/J39,"")</f>
        <v>1.74749369913448</v>
      </c>
      <c r="L39" s="43" t="n">
        <v>0.454397444935641</v>
      </c>
      <c r="M39" s="44" t="n">
        <f aca="false">IFERROR(1/L39,"")</f>
        <v>2.20071659985156</v>
      </c>
      <c r="N39" s="43" t="n">
        <v>0.344932521213096</v>
      </c>
      <c r="O39" s="44" t="n">
        <f aca="false">IFERROR(1/N39,"")</f>
        <v>2.89911776507211</v>
      </c>
      <c r="P39" s="43" t="n">
        <v>0.250546249844089</v>
      </c>
      <c r="Q39" s="44" t="n">
        <f aca="false">IFERROR(1/P39,"")</f>
        <v>3.99127905774796</v>
      </c>
      <c r="R39" s="43" t="n">
        <v>0.174399445993093</v>
      </c>
      <c r="S39" s="44" t="n">
        <f aca="false">IFERROR(1/R39,"")</f>
        <v>5.73396316889448</v>
      </c>
    </row>
    <row r="40" customFormat="false" ht="18.75" hidden="false" customHeight="true" outlineLevel="0" collapsed="false">
      <c r="A40" s="35" t="n">
        <v>32</v>
      </c>
      <c r="B40" s="33" t="n">
        <v>46320</v>
      </c>
      <c r="C40" s="34" t="s">
        <v>99</v>
      </c>
      <c r="D40" s="34" t="s">
        <v>105</v>
      </c>
      <c r="E40" s="38" t="n">
        <v>4.37290885622762</v>
      </c>
      <c r="F40" s="38" t="n">
        <v>4.80614861763554</v>
      </c>
      <c r="G40" s="38" t="n">
        <v>9.17905747386316</v>
      </c>
      <c r="H40" s="36" t="n">
        <v>0.670611574638937</v>
      </c>
      <c r="I40" s="37" t="n">
        <f aca="false">IFERROR(1/H40,"")</f>
        <v>1.49117617085331</v>
      </c>
      <c r="J40" s="36" t="n">
        <v>0.551619638075937</v>
      </c>
      <c r="K40" s="37" t="n">
        <f aca="false">IFERROR(1/J40,"")</f>
        <v>1.81284336338718</v>
      </c>
      <c r="L40" s="36" t="n">
        <v>0.433273289691958</v>
      </c>
      <c r="M40" s="37" t="n">
        <f aca="false">IFERROR(1/L40,"")</f>
        <v>2.30801211104189</v>
      </c>
      <c r="N40" s="36" t="n">
        <v>0.325052069470745</v>
      </c>
      <c r="O40" s="37" t="n">
        <f aca="false">IFERROR(1/N40,"")</f>
        <v>3.07643019048676</v>
      </c>
      <c r="P40" s="36" t="n">
        <v>0.233184765487207</v>
      </c>
      <c r="Q40" s="37" t="n">
        <f aca="false">IFERROR(1/P40,"")</f>
        <v>4.28844482147296</v>
      </c>
      <c r="R40" s="36" t="n">
        <v>0.160219105655034</v>
      </c>
      <c r="S40" s="37" t="n">
        <f aca="false">IFERROR(1/R40,"")</f>
        <v>6.2414528898513</v>
      </c>
    </row>
    <row r="41" customFormat="false" ht="18.75" hidden="false" customHeight="true" outlineLevel="0" collapsed="false">
      <c r="A41" s="42" t="n">
        <v>32</v>
      </c>
      <c r="B41" s="40" t="n">
        <v>46320</v>
      </c>
      <c r="C41" s="41" t="s">
        <v>96</v>
      </c>
      <c r="D41" s="41" t="s">
        <v>104</v>
      </c>
      <c r="E41" s="45" t="n">
        <v>8.31419304424464</v>
      </c>
      <c r="F41" s="45" t="n">
        <v>3.62793388207905</v>
      </c>
      <c r="G41" s="45" t="n">
        <v>11.9421269263237</v>
      </c>
      <c r="H41" s="43" t="n">
        <v>0.87551107007428</v>
      </c>
      <c r="I41" s="44" t="n">
        <f aca="false">IFERROR(1/H41,"")</f>
        <v>1.14219001241773</v>
      </c>
      <c r="J41" s="43" t="n">
        <v>0.804329386064761</v>
      </c>
      <c r="K41" s="44" t="n">
        <f aca="false">IFERROR(1/J41,"")</f>
        <v>1.24327174578635</v>
      </c>
      <c r="L41" s="43" t="n">
        <v>0.717287277264072</v>
      </c>
      <c r="M41" s="44" t="n">
        <f aca="false">IFERROR(1/L41,"")</f>
        <v>1.39414155485132</v>
      </c>
      <c r="N41" s="43" t="n">
        <v>0.619426021363549</v>
      </c>
      <c r="O41" s="44" t="n">
        <f aca="false">IFERROR(1/N41,"")</f>
        <v>1.61439779006812</v>
      </c>
      <c r="P41" s="43" t="n">
        <v>0.517289009857435</v>
      </c>
      <c r="Q41" s="44" t="n">
        <f aca="false">IFERROR(1/P41,"")</f>
        <v>1.93315531732561</v>
      </c>
      <c r="R41" s="43" t="n">
        <v>0.417550125596599</v>
      </c>
      <c r="S41" s="44" t="n">
        <f aca="false">IFERROR(1/R41,"")</f>
        <v>2.39492204336232</v>
      </c>
    </row>
    <row r="42" customFormat="false" ht="18.75" hidden="false" customHeight="true" outlineLevel="0" collapsed="false">
      <c r="A42" s="35" t="n">
        <v>32</v>
      </c>
      <c r="B42" s="33" t="n">
        <v>46320</v>
      </c>
      <c r="C42" s="34" t="s">
        <v>8</v>
      </c>
      <c r="D42" s="34" t="s">
        <v>90</v>
      </c>
      <c r="E42" s="38" t="n">
        <v>5.90555934628068</v>
      </c>
      <c r="F42" s="38" t="n">
        <v>4.0536009733108</v>
      </c>
      <c r="G42" s="38" t="n">
        <v>9.95916031959148</v>
      </c>
      <c r="H42" s="36" t="n">
        <v>0.744733816539336</v>
      </c>
      <c r="I42" s="37" t="n">
        <f aca="false">IFERROR(1/H42,"")</f>
        <v>1.34276163884547</v>
      </c>
      <c r="J42" s="36" t="n">
        <v>0.637281556610685</v>
      </c>
      <c r="K42" s="37" t="n">
        <f aca="false">IFERROR(1/J42,"")</f>
        <v>1.56916513529498</v>
      </c>
      <c r="L42" s="36" t="n">
        <v>0.523203620984802</v>
      </c>
      <c r="M42" s="37" t="n">
        <f aca="false">IFERROR(1/L42,"")</f>
        <v>1.91130175689103</v>
      </c>
      <c r="N42" s="36" t="n">
        <v>0.411849065726888</v>
      </c>
      <c r="O42" s="37" t="n">
        <f aca="false">IFERROR(1/N42,"")</f>
        <v>2.42807397956594</v>
      </c>
      <c r="P42" s="36" t="n">
        <v>0.31094578134242</v>
      </c>
      <c r="Q42" s="37" t="n">
        <f aca="false">IFERROR(1/P42,"")</f>
        <v>3.2159947489327</v>
      </c>
      <c r="R42" s="36" t="n">
        <v>0.225397435702326</v>
      </c>
      <c r="S42" s="37" t="n">
        <f aca="false">IFERROR(1/R42,"")</f>
        <v>4.43660770533638</v>
      </c>
    </row>
    <row r="43" customFormat="false" ht="18.75" hidden="false" customHeight="true" outlineLevel="0" collapsed="false">
      <c r="A43" s="42" t="n">
        <v>32</v>
      </c>
      <c r="B43" s="40" t="n">
        <v>46320</v>
      </c>
      <c r="C43" s="41" t="s">
        <v>100</v>
      </c>
      <c r="D43" s="41" t="s">
        <v>93</v>
      </c>
      <c r="E43" s="45" t="n">
        <v>5.57521879856797</v>
      </c>
      <c r="F43" s="45" t="n">
        <v>3.69968226721925</v>
      </c>
      <c r="G43" s="45" t="n">
        <v>9.27490106578722</v>
      </c>
      <c r="H43" s="43" t="n">
        <v>0.68044975827581</v>
      </c>
      <c r="I43" s="44" t="n">
        <f aca="false">IFERROR(1/H43,"")</f>
        <v>1.46961621756454</v>
      </c>
      <c r="J43" s="43" t="n">
        <v>0.562673686241946</v>
      </c>
      <c r="K43" s="44" t="n">
        <f aca="false">IFERROR(1/J43,"")</f>
        <v>1.77722901292741</v>
      </c>
      <c r="L43" s="43" t="n">
        <v>0.444551898131073</v>
      </c>
      <c r="M43" s="44" t="n">
        <f aca="false">IFERROR(1/L43,"")</f>
        <v>2.24945614719917</v>
      </c>
      <c r="N43" s="43" t="n">
        <v>0.335627995335365</v>
      </c>
      <c r="O43" s="44" t="n">
        <f aca="false">IFERROR(1/N43,"")</f>
        <v>2.9794892377818</v>
      </c>
      <c r="P43" s="43" t="n">
        <v>0.242386902300195</v>
      </c>
      <c r="Q43" s="44" t="n">
        <f aca="false">IFERROR(1/P43,"")</f>
        <v>4.12563546342741</v>
      </c>
      <c r="R43" s="43" t="n">
        <v>0.167707554608802</v>
      </c>
      <c r="S43" s="44" t="n">
        <f aca="false">IFERROR(1/R43,"")</f>
        <v>5.96276060629838</v>
      </c>
    </row>
    <row r="44" customFormat="false" ht="18.75" hidden="false" customHeight="true" outlineLevel="0" collapsed="false">
      <c r="A44" s="35" t="n">
        <v>32</v>
      </c>
      <c r="B44" s="33" t="n">
        <v>46320</v>
      </c>
      <c r="C44" s="34" t="s">
        <v>95</v>
      </c>
      <c r="D44" s="34" t="s">
        <v>87</v>
      </c>
      <c r="E44" s="38" t="n">
        <v>5.76367064219549</v>
      </c>
      <c r="F44" s="38" t="n">
        <v>5.25083256138072</v>
      </c>
      <c r="G44" s="38" t="n">
        <v>11.0145032035762</v>
      </c>
      <c r="H44" s="36" t="n">
        <v>0.823884670845314</v>
      </c>
      <c r="I44" s="37" t="n">
        <f aca="false">IFERROR(1/H44,"")</f>
        <v>1.21376211427018</v>
      </c>
      <c r="J44" s="36" t="n">
        <v>0.735543469303346</v>
      </c>
      <c r="K44" s="37" t="n">
        <f aca="false">IFERROR(1/J44,"")</f>
        <v>1.35953895552513</v>
      </c>
      <c r="L44" s="36" t="n">
        <v>0.634035755919083</v>
      </c>
      <c r="M44" s="37" t="n">
        <f aca="false">IFERROR(1/L44,"")</f>
        <v>1.5771981164539</v>
      </c>
      <c r="N44" s="36" t="n">
        <v>0.526796196198277</v>
      </c>
      <c r="O44" s="37" t="n">
        <f aca="false">IFERROR(1/N44,"")</f>
        <v>1.8982673132735</v>
      </c>
      <c r="P44" s="36" t="n">
        <v>0.421623748709842</v>
      </c>
      <c r="Q44" s="37" t="n">
        <f aca="false">IFERROR(1/P44,"")</f>
        <v>2.37178290610995</v>
      </c>
      <c r="R44" s="36" t="n">
        <v>0.325116943978909</v>
      </c>
      <c r="S44" s="37" t="n">
        <f aca="false">IFERROR(1/R44,"")</f>
        <v>3.07581631323673</v>
      </c>
    </row>
    <row r="45" customFormat="false" ht="18.75" hidden="false" customHeight="true" outlineLevel="0" collapsed="false">
      <c r="A45" s="42" t="n">
        <v>32</v>
      </c>
      <c r="B45" s="40" t="n">
        <v>46320</v>
      </c>
      <c r="C45" s="41" t="s">
        <v>102</v>
      </c>
      <c r="D45" s="41" t="s">
        <v>91</v>
      </c>
      <c r="E45" s="45" t="n">
        <v>7.54825338611149</v>
      </c>
      <c r="F45" s="45" t="n">
        <v>4.27313280121696</v>
      </c>
      <c r="G45" s="45" t="n">
        <v>11.8213861873285</v>
      </c>
      <c r="H45" s="43" t="n">
        <v>0.869635897249841</v>
      </c>
      <c r="I45" s="44" t="n">
        <f aca="false">IFERROR(1/H45,"")</f>
        <v>1.14990653348422</v>
      </c>
      <c r="J45" s="43" t="n">
        <v>0.796278506448761</v>
      </c>
      <c r="K45" s="44" t="n">
        <f aca="false">IFERROR(1/J45,"")</f>
        <v>1.25584200992665</v>
      </c>
      <c r="L45" s="43" t="n">
        <v>0.707268991876525</v>
      </c>
      <c r="M45" s="44" t="n">
        <f aca="false">IFERROR(1/L45,"")</f>
        <v>1.41388921539852</v>
      </c>
      <c r="N45" s="43" t="n">
        <v>0.607968997487204</v>
      </c>
      <c r="O45" s="44" t="n">
        <f aca="false">IFERROR(1/N45,"")</f>
        <v>1.64482071311711</v>
      </c>
      <c r="P45" s="43" t="n">
        <v>0.505131145660512</v>
      </c>
      <c r="Q45" s="44" t="n">
        <f aca="false">IFERROR(1/P45,"")</f>
        <v>1.97968390702259</v>
      </c>
      <c r="R45" s="43" t="n">
        <v>0.405483792810355</v>
      </c>
      <c r="S45" s="44" t="n">
        <f aca="false">IFERROR(1/R45,"")</f>
        <v>2.46618981505804</v>
      </c>
    </row>
    <row r="46" customFormat="false" ht="18.75" hidden="false" customHeight="true" outlineLevel="0" collapsed="false">
      <c r="A46" s="35" t="n">
        <v>32</v>
      </c>
      <c r="B46" s="33" t="n">
        <v>46320</v>
      </c>
      <c r="C46" s="34" t="s">
        <v>88</v>
      </c>
      <c r="D46" s="34" t="s">
        <v>103</v>
      </c>
      <c r="E46" s="38" t="n">
        <v>5.31675361333284</v>
      </c>
      <c r="F46" s="38" t="n">
        <v>4.82328653256971</v>
      </c>
      <c r="G46" s="38" t="n">
        <v>10.1400401459026</v>
      </c>
      <c r="H46" s="36" t="n">
        <v>0.759985516681367</v>
      </c>
      <c r="I46" s="37" t="n">
        <f aca="false">IFERROR(1/H46,"")</f>
        <v>1.31581454915971</v>
      </c>
      <c r="J46" s="36" t="n">
        <v>0.655627655310908</v>
      </c>
      <c r="K46" s="37" t="n">
        <f aca="false">IFERROR(1/J46,"")</f>
        <v>1.52525597707709</v>
      </c>
      <c r="L46" s="36" t="n">
        <v>0.543243807242099</v>
      </c>
      <c r="M46" s="37" t="n">
        <f aca="false">IFERROR(1/L46,"")</f>
        <v>1.84079410877545</v>
      </c>
      <c r="N46" s="36" t="n">
        <v>0.431967459986392</v>
      </c>
      <c r="O46" s="37" t="n">
        <f aca="false">IFERROR(1/N46,"")</f>
        <v>2.31498918930491</v>
      </c>
      <c r="P46" s="36" t="n">
        <v>0.329686968903371</v>
      </c>
      <c r="Q46" s="37" t="n">
        <f aca="false">IFERROR(1/P46,"")</f>
        <v>3.03318024162822</v>
      </c>
      <c r="R46" s="36" t="n">
        <v>0.24172564732923</v>
      </c>
      <c r="S46" s="37" t="n">
        <f aca="false">IFERROR(1/R46,"")</f>
        <v>4.13692138607867</v>
      </c>
    </row>
    <row r="47" customFormat="false" ht="18.75" hidden="false" customHeight="true" outlineLevel="0" collapsed="false">
      <c r="A47" s="42" t="n">
        <v>32</v>
      </c>
      <c r="B47" s="40" t="n">
        <v>46320</v>
      </c>
      <c r="C47" s="41" t="s">
        <v>84</v>
      </c>
      <c r="D47" s="41" t="s">
        <v>101</v>
      </c>
      <c r="E47" s="45" t="n">
        <v>5.06158536331811</v>
      </c>
      <c r="F47" s="45" t="n">
        <v>4.00171344368038</v>
      </c>
      <c r="G47" s="45" t="n">
        <v>9.06329880699849</v>
      </c>
      <c r="H47" s="43" t="n">
        <v>0.658459354736852</v>
      </c>
      <c r="I47" s="44" t="n">
        <f aca="false">IFERROR(1/H47,"")</f>
        <v>1.51869662539709</v>
      </c>
      <c r="J47" s="43" t="n">
        <v>0.538092122068083</v>
      </c>
      <c r="K47" s="44" t="n">
        <f aca="false">IFERROR(1/J47,"")</f>
        <v>1.85841784145926</v>
      </c>
      <c r="L47" s="43" t="n">
        <v>0.419598851299289</v>
      </c>
      <c r="M47" s="44" t="n">
        <f aca="false">IFERROR(1/L47,"")</f>
        <v>2.38322864064927</v>
      </c>
      <c r="N47" s="43" t="n">
        <v>0.312348349278162</v>
      </c>
      <c r="O47" s="44" t="n">
        <f aca="false">IFERROR(1/N47,"")</f>
        <v>3.20155365735405</v>
      </c>
      <c r="P47" s="43" t="n">
        <v>0.222233582986253</v>
      </c>
      <c r="Q47" s="44" t="n">
        <f aca="false">IFERROR(1/P47,"")</f>
        <v>4.49976995628899</v>
      </c>
      <c r="R47" s="43" t="n">
        <v>0.151389825854858</v>
      </c>
      <c r="S47" s="44" t="n">
        <f aca="false">IFERROR(1/R47,"")</f>
        <v>6.60546370506253</v>
      </c>
    </row>
    <row r="48" customFormat="false" ht="18.75" hidden="false" customHeight="true" outlineLevel="0" collapsed="false">
      <c r="A48" s="35" t="n">
        <v>32</v>
      </c>
      <c r="B48" s="33" t="n">
        <v>46320</v>
      </c>
      <c r="C48" s="34" t="s">
        <v>106</v>
      </c>
      <c r="D48" s="34" t="s">
        <v>92</v>
      </c>
      <c r="E48" s="38" t="n">
        <v>4.66922762018311</v>
      </c>
      <c r="F48" s="38" t="n">
        <v>4.6774639672811</v>
      </c>
      <c r="G48" s="38" t="n">
        <v>9.34669158746421</v>
      </c>
      <c r="H48" s="36" t="n">
        <v>0.687685462877068</v>
      </c>
      <c r="I48" s="37" t="n">
        <f aca="false">IFERROR(1/H48,"")</f>
        <v>1.45415317609929</v>
      </c>
      <c r="J48" s="36" t="n">
        <v>0.570863093635036</v>
      </c>
      <c r="K48" s="37" t="n">
        <f aca="false">IFERROR(1/J48,"")</f>
        <v>1.75173349118155</v>
      </c>
      <c r="L48" s="36" t="n">
        <v>0.45296877006628</v>
      </c>
      <c r="M48" s="37" t="n">
        <f aca="false">IFERROR(1/L48,"")</f>
        <v>2.20765771524089</v>
      </c>
      <c r="N48" s="36" t="n">
        <v>0.343578167439789</v>
      </c>
      <c r="O48" s="37" t="n">
        <f aca="false">IFERROR(1/N48,"")</f>
        <v>2.91054582266275</v>
      </c>
      <c r="P48" s="36" t="n">
        <v>0.249354909766552</v>
      </c>
      <c r="Q48" s="37" t="n">
        <f aca="false">IFERROR(1/P48,"")</f>
        <v>4.01034814568603</v>
      </c>
      <c r="R48" s="36" t="n">
        <v>0.173419347355424</v>
      </c>
      <c r="S48" s="37" t="n">
        <f aca="false">IFERROR(1/R48,"")</f>
        <v>5.76636929644588</v>
      </c>
    </row>
    <row r="49" customFormat="false" ht="18.75" hidden="false" customHeight="true" outlineLevel="0" collapsed="false">
      <c r="A49" s="42" t="n">
        <v>33</v>
      </c>
      <c r="B49" s="40" t="n">
        <v>46323</v>
      </c>
      <c r="C49" s="41" t="s">
        <v>90</v>
      </c>
      <c r="D49" s="41" t="s">
        <v>96</v>
      </c>
      <c r="E49" s="45" t="n">
        <v>5.36544220226637</v>
      </c>
      <c r="F49" s="45" t="n">
        <v>4.67814642761155</v>
      </c>
      <c r="G49" s="45" t="n">
        <v>10.0435886298779</v>
      </c>
      <c r="H49" s="43" t="n">
        <v>0.751942404961409</v>
      </c>
      <c r="I49" s="44" t="n">
        <f aca="false">IFERROR(1/H49,"")</f>
        <v>1.32988908911358</v>
      </c>
      <c r="J49" s="43" t="n">
        <v>0.645920099041261</v>
      </c>
      <c r="K49" s="44" t="n">
        <f aca="false">IFERROR(1/J49,"")</f>
        <v>1.54817910370694</v>
      </c>
      <c r="L49" s="43" t="n">
        <v>0.532604263463737</v>
      </c>
      <c r="M49" s="44" t="n">
        <f aca="false">IFERROR(1/L49,"")</f>
        <v>1.87756664487927</v>
      </c>
      <c r="N49" s="43" t="n">
        <v>0.421250679339422</v>
      </c>
      <c r="O49" s="44" t="n">
        <f aca="false">IFERROR(1/N49,"")</f>
        <v>2.37388341205321</v>
      </c>
      <c r="P49" s="43" t="n">
        <v>0.31967054670896</v>
      </c>
      <c r="Q49" s="44" t="n">
        <f aca="false">IFERROR(1/P49,"")</f>
        <v>3.12822063307082</v>
      </c>
      <c r="R49" s="43" t="n">
        <v>0.232969897650496</v>
      </c>
      <c r="S49" s="44" t="n">
        <f aca="false">IFERROR(1/R49,"")</f>
        <v>4.29240004861149</v>
      </c>
    </row>
    <row r="50" customFormat="false" ht="18.75" hidden="false" customHeight="true" outlineLevel="0" collapsed="false">
      <c r="A50" s="35" t="n">
        <v>33</v>
      </c>
      <c r="B50" s="33" t="n">
        <v>46323</v>
      </c>
      <c r="C50" s="34" t="s">
        <v>103</v>
      </c>
      <c r="D50" s="34" t="s">
        <v>87</v>
      </c>
      <c r="E50" s="38" t="n">
        <v>5.45956222079095</v>
      </c>
      <c r="F50" s="38" t="n">
        <v>4.72289926804553</v>
      </c>
      <c r="G50" s="38" t="n">
        <v>10.1824614888365</v>
      </c>
      <c r="H50" s="36" t="n">
        <v>0.76345856026253</v>
      </c>
      <c r="I50" s="37" t="n">
        <f aca="false">IFERROR(1/H50,"")</f>
        <v>1.30982878711338</v>
      </c>
      <c r="J50" s="36" t="n">
        <v>0.659842265850621</v>
      </c>
      <c r="K50" s="37" t="n">
        <f aca="false">IFERROR(1/J50,"")</f>
        <v>1.5155137094937</v>
      </c>
      <c r="L50" s="36" t="n">
        <v>0.547888214141564</v>
      </c>
      <c r="M50" s="37" t="n">
        <f aca="false">IFERROR(1/L50,"")</f>
        <v>1.8251898365195</v>
      </c>
      <c r="N50" s="36" t="n">
        <v>0.43667105199274</v>
      </c>
      <c r="O50" s="37" t="n">
        <f aca="false">IFERROR(1/N50,"")</f>
        <v>2.29005333748715</v>
      </c>
      <c r="P50" s="36" t="n">
        <v>0.334107091277509</v>
      </c>
      <c r="Q50" s="37" t="n">
        <f aca="false">IFERROR(1/P50,"")</f>
        <v>2.99305230600269</v>
      </c>
      <c r="R50" s="36" t="n">
        <v>0.245610456592628</v>
      </c>
      <c r="S50" s="37" t="n">
        <f aca="false">IFERROR(1/R50,"")</f>
        <v>4.07148789132627</v>
      </c>
    </row>
    <row r="51" customFormat="false" ht="18.75" hidden="false" customHeight="true" outlineLevel="0" collapsed="false">
      <c r="A51" s="42" t="n">
        <v>33</v>
      </c>
      <c r="B51" s="40" t="n">
        <v>46323</v>
      </c>
      <c r="C51" s="41" t="s">
        <v>91</v>
      </c>
      <c r="D51" s="41" t="s">
        <v>83</v>
      </c>
      <c r="E51" s="45" t="n">
        <v>7.23043864376221</v>
      </c>
      <c r="F51" s="45" t="n">
        <v>3.76282504247659</v>
      </c>
      <c r="G51" s="45" t="n">
        <v>10.9932636862388</v>
      </c>
      <c r="H51" s="43" t="n">
        <v>0.822517472144319</v>
      </c>
      <c r="I51" s="44" t="n">
        <f aca="false">IFERROR(1/H51,"")</f>
        <v>1.21577964464752</v>
      </c>
      <c r="J51" s="43" t="n">
        <v>0.733777455437891</v>
      </c>
      <c r="K51" s="44" t="n">
        <f aca="false">IFERROR(1/J51,"")</f>
        <v>1.36281101659527</v>
      </c>
      <c r="L51" s="43" t="n">
        <v>0.631964270574319</v>
      </c>
      <c r="M51" s="44" t="n">
        <f aca="false">IFERROR(1/L51,"")</f>
        <v>1.58236793844566</v>
      </c>
      <c r="N51" s="43" t="n">
        <v>0.524563159409945</v>
      </c>
      <c r="O51" s="44" t="n">
        <f aca="false">IFERROR(1/N51,"")</f>
        <v>1.90634813379737</v>
      </c>
      <c r="P51" s="43" t="n">
        <v>0.4193901001345</v>
      </c>
      <c r="Q51" s="44" t="n">
        <f aca="false">IFERROR(1/P51,"")</f>
        <v>2.38441489124158</v>
      </c>
      <c r="R51" s="43" t="n">
        <v>0.323027338691518</v>
      </c>
      <c r="S51" s="44" t="n">
        <f aca="false">IFERROR(1/R51,"")</f>
        <v>3.09571321130492</v>
      </c>
    </row>
    <row r="52" customFormat="false" ht="18.75" hidden="false" customHeight="true" outlineLevel="0" collapsed="false">
      <c r="A52" s="35" t="n">
        <v>33</v>
      </c>
      <c r="B52" s="33" t="n">
        <v>46323</v>
      </c>
      <c r="C52" s="34" t="s">
        <v>101</v>
      </c>
      <c r="D52" s="34" t="s">
        <v>95</v>
      </c>
      <c r="E52" s="38" t="n">
        <v>5.87045392994805</v>
      </c>
      <c r="F52" s="38" t="n">
        <v>4.82319433450822</v>
      </c>
      <c r="G52" s="38" t="n">
        <v>10.6936482644563</v>
      </c>
      <c r="H52" s="36" t="n">
        <v>0.802277226672134</v>
      </c>
      <c r="I52" s="37" t="n">
        <f aca="false">IFERROR(1/H52,"")</f>
        <v>1.24645193301576</v>
      </c>
      <c r="J52" s="36" t="n">
        <v>0.707934543837977</v>
      </c>
      <c r="K52" s="37" t="n">
        <f aca="false">IFERROR(1/J52,"")</f>
        <v>1.41255997281702</v>
      </c>
      <c r="L52" s="36" t="n">
        <v>0.601999628477639</v>
      </c>
      <c r="M52" s="37" t="n">
        <f aca="false">IFERROR(1/L52,"")</f>
        <v>1.66113059326771</v>
      </c>
      <c r="N52" s="36" t="n">
        <v>0.492631630976504</v>
      </c>
      <c r="O52" s="37" t="n">
        <f aca="false">IFERROR(1/N52,"")</f>
        <v>2.02991431552574</v>
      </c>
      <c r="P52" s="36" t="n">
        <v>0.387814473593813</v>
      </c>
      <c r="Q52" s="37" t="n">
        <f aca="false">IFERROR(1/P52,"")</f>
        <v>2.57855255048416</v>
      </c>
      <c r="R52" s="36" t="n">
        <v>0.293824074741817</v>
      </c>
      <c r="S52" s="37" t="n">
        <f aca="false">IFERROR(1/R52,"")</f>
        <v>3.40339708677276</v>
      </c>
    </row>
    <row r="53" customFormat="false" ht="18.75" hidden="false" customHeight="true" outlineLevel="0" collapsed="false">
      <c r="A53" s="42" t="n">
        <v>33</v>
      </c>
      <c r="B53" s="40" t="n">
        <v>46323</v>
      </c>
      <c r="C53" s="41" t="s">
        <v>99</v>
      </c>
      <c r="D53" s="41" t="s">
        <v>106</v>
      </c>
      <c r="E53" s="45" t="n">
        <v>4.33567305874409</v>
      </c>
      <c r="F53" s="45" t="n">
        <v>4.67782326389942</v>
      </c>
      <c r="G53" s="45" t="n">
        <v>9.01349632264351</v>
      </c>
      <c r="H53" s="43" t="n">
        <v>0.653141059556723</v>
      </c>
      <c r="I53" s="44" t="n">
        <f aca="false">IFERROR(1/H53,"")</f>
        <v>1.53106283147883</v>
      </c>
      <c r="J53" s="43" t="n">
        <v>0.532215306794321</v>
      </c>
      <c r="K53" s="44" t="n">
        <f aca="false">IFERROR(1/J53,"")</f>
        <v>1.87893881899654</v>
      </c>
      <c r="L53" s="43" t="n">
        <v>0.413701763913757</v>
      </c>
      <c r="M53" s="44" t="n">
        <f aca="false">IFERROR(1/L53,"")</f>
        <v>2.41720023269823</v>
      </c>
      <c r="N53" s="43" t="n">
        <v>0.306910089094853</v>
      </c>
      <c r="O53" s="44" t="n">
        <f aca="false">IFERROR(1/N53,"")</f>
        <v>3.2582832416791</v>
      </c>
      <c r="P53" s="43" t="n">
        <v>0.21757999432075</v>
      </c>
      <c r="Q53" s="44" t="n">
        <f aca="false">IFERROR(1/P53,"")</f>
        <v>4.59601078270933</v>
      </c>
      <c r="R53" s="43" t="n">
        <v>0.147665505013832</v>
      </c>
      <c r="S53" s="44" t="n">
        <f aca="false">IFERROR(1/R53,"")</f>
        <v>6.77206230328696</v>
      </c>
    </row>
    <row r="54" customFormat="false" ht="18.75" hidden="false" customHeight="true" outlineLevel="0" collapsed="false">
      <c r="A54" s="35" t="n">
        <v>33</v>
      </c>
      <c r="B54" s="33" t="n">
        <v>46323</v>
      </c>
      <c r="C54" s="34" t="s">
        <v>98</v>
      </c>
      <c r="D54" s="34" t="s">
        <v>100</v>
      </c>
      <c r="E54" s="38" t="n">
        <v>4.95013546911532</v>
      </c>
      <c r="F54" s="38" t="n">
        <v>4.39648470472382</v>
      </c>
      <c r="G54" s="38" t="n">
        <v>9.34662017383915</v>
      </c>
      <c r="H54" s="36" t="n">
        <v>0.687678322146954</v>
      </c>
      <c r="I54" s="37" t="n">
        <f aca="false">IFERROR(1/H54,"")</f>
        <v>1.45416827576878</v>
      </c>
      <c r="J54" s="36" t="n">
        <v>0.570854986625328</v>
      </c>
      <c r="K54" s="37" t="n">
        <f aca="false">IFERROR(1/J54,"")</f>
        <v>1.75175836846343</v>
      </c>
      <c r="L54" s="36" t="n">
        <v>0.452960412035443</v>
      </c>
      <c r="M54" s="37" t="n">
        <f aca="false">IFERROR(1/L54,"")</f>
        <v>2.20769845096695</v>
      </c>
      <c r="N54" s="36" t="n">
        <v>0.343570248383659</v>
      </c>
      <c r="O54" s="37" t="n">
        <f aca="false">IFERROR(1/N54,"")</f>
        <v>2.91061290872694</v>
      </c>
      <c r="P54" s="36" t="n">
        <v>0.249347947546484</v>
      </c>
      <c r="Q54" s="37" t="n">
        <f aca="false">IFERROR(1/P54,"")</f>
        <v>4.01046012144768</v>
      </c>
      <c r="R54" s="36" t="n">
        <v>0.173413622659334</v>
      </c>
      <c r="S54" s="37" t="n">
        <f aca="false">IFERROR(1/R54,"")</f>
        <v>5.76655965468453</v>
      </c>
    </row>
    <row r="55" customFormat="false" ht="18.75" hidden="false" customHeight="true" outlineLevel="0" collapsed="false">
      <c r="A55" s="42" t="n">
        <v>33</v>
      </c>
      <c r="B55" s="40" t="n">
        <v>46323</v>
      </c>
      <c r="C55" s="41" t="s">
        <v>105</v>
      </c>
      <c r="D55" s="41" t="s">
        <v>92</v>
      </c>
      <c r="E55" s="45" t="n">
        <v>4.79731717214601</v>
      </c>
      <c r="F55" s="45" t="n">
        <v>4.7176351468563</v>
      </c>
      <c r="G55" s="45" t="n">
        <v>9.51495231900231</v>
      </c>
      <c r="H55" s="43" t="n">
        <v>0.704193876162695</v>
      </c>
      <c r="I55" s="44" t="n">
        <f aca="false">IFERROR(1/H55,"")</f>
        <v>1.42006347094243</v>
      </c>
      <c r="J55" s="43" t="n">
        <v>0.589739908801077</v>
      </c>
      <c r="K55" s="44" t="n">
        <f aca="false">IFERROR(1/J55,"")</f>
        <v>1.69566275755861</v>
      </c>
      <c r="L55" s="43" t="n">
        <v>0.472570063731928</v>
      </c>
      <c r="M55" s="44" t="n">
        <f aca="false">IFERROR(1/L55,"")</f>
        <v>2.11608833641071</v>
      </c>
      <c r="N55" s="43" t="n">
        <v>0.362283883639715</v>
      </c>
      <c r="O55" s="44" t="n">
        <f aca="false">IFERROR(1/N55,"")</f>
        <v>2.76026631368036</v>
      </c>
      <c r="P55" s="43" t="n">
        <v>0.265919329949447</v>
      </c>
      <c r="Q55" s="44" t="n">
        <f aca="false">IFERROR(1/P55,"")</f>
        <v>3.76053895814986</v>
      </c>
      <c r="R55" s="43" t="n">
        <v>0.18713814081442</v>
      </c>
      <c r="S55" s="44" t="n">
        <f aca="false">IFERROR(1/R55,"")</f>
        <v>5.34364611964202</v>
      </c>
    </row>
    <row r="56" customFormat="false" ht="18.75" hidden="false" customHeight="true" outlineLevel="0" collapsed="false">
      <c r="A56" s="35" t="n">
        <v>33</v>
      </c>
      <c r="B56" s="33" t="n">
        <v>46323</v>
      </c>
      <c r="C56" s="34" t="s">
        <v>104</v>
      </c>
      <c r="D56" s="34" t="s">
        <v>93</v>
      </c>
      <c r="E56" s="38" t="n">
        <v>4.64332449713093</v>
      </c>
      <c r="F56" s="38" t="n">
        <v>5.52861170978507</v>
      </c>
      <c r="G56" s="38" t="n">
        <v>10.171936206916</v>
      </c>
      <c r="H56" s="36" t="n">
        <v>0.762600514926692</v>
      </c>
      <c r="I56" s="37" t="n">
        <f aca="false">IFERROR(1/H56,"")</f>
        <v>1.31130255019055</v>
      </c>
      <c r="J56" s="36" t="n">
        <v>0.658799715490267</v>
      </c>
      <c r="K56" s="37" t="n">
        <f aca="false">IFERROR(1/J56,"")</f>
        <v>1.51791200950325</v>
      </c>
      <c r="L56" s="36" t="n">
        <v>0.546737919550909</v>
      </c>
      <c r="M56" s="37" t="n">
        <f aca="false">IFERROR(1/L56,"")</f>
        <v>1.82902989575225</v>
      </c>
      <c r="N56" s="36" t="n">
        <v>0.435504652527524</v>
      </c>
      <c r="O56" s="37" t="n">
        <f aca="false">IFERROR(1/N56,"")</f>
        <v>2.29618672084519</v>
      </c>
      <c r="P56" s="36" t="n">
        <v>0.333009626871133</v>
      </c>
      <c r="Q56" s="37" t="n">
        <f aca="false">IFERROR(1/P56,"")</f>
        <v>3.00291619012857</v>
      </c>
      <c r="R56" s="36" t="n">
        <v>0.244644708267337</v>
      </c>
      <c r="S56" s="37" t="n">
        <f aca="false">IFERROR(1/R56,"")</f>
        <v>4.0875603117777</v>
      </c>
    </row>
    <row r="57" customFormat="false" ht="18.75" hidden="false" customHeight="true" outlineLevel="0" collapsed="false">
      <c r="A57" s="42" t="n">
        <v>33</v>
      </c>
      <c r="B57" s="40" t="n">
        <v>46323</v>
      </c>
      <c r="C57" s="41" t="s">
        <v>88</v>
      </c>
      <c r="D57" s="41" t="s">
        <v>102</v>
      </c>
      <c r="E57" s="45" t="n">
        <v>5.00195075412571</v>
      </c>
      <c r="F57" s="45" t="n">
        <v>5.6433503107859</v>
      </c>
      <c r="G57" s="45" t="n">
        <v>10.6453010649116</v>
      </c>
      <c r="H57" s="43" t="n">
        <v>0.798840941190556</v>
      </c>
      <c r="I57" s="44" t="n">
        <f aca="false">IFERROR(1/H57,"")</f>
        <v>1.25181365705874</v>
      </c>
      <c r="J57" s="43" t="n">
        <v>0.703601409407764</v>
      </c>
      <c r="K57" s="44" t="n">
        <f aca="false">IFERROR(1/J57,"")</f>
        <v>1.42125923374958</v>
      </c>
      <c r="L57" s="43" t="n">
        <v>0.597037811444714</v>
      </c>
      <c r="M57" s="44" t="n">
        <f aca="false">IFERROR(1/L57,"")</f>
        <v>1.67493579272676</v>
      </c>
      <c r="N57" s="43" t="n">
        <v>0.487410002615704</v>
      </c>
      <c r="O57" s="44" t="n">
        <f aca="false">IFERROR(1/N57,"")</f>
        <v>2.05166080842302</v>
      </c>
      <c r="P57" s="43" t="n">
        <v>0.382715573535511</v>
      </c>
      <c r="Q57" s="44" t="n">
        <f aca="false">IFERROR(1/P57,"")</f>
        <v>2.61290647454464</v>
      </c>
      <c r="R57" s="43" t="n">
        <v>0.289167379042864</v>
      </c>
      <c r="S57" s="44" t="n">
        <f aca="false">IFERROR(1/R57,"")</f>
        <v>3.45820473702799</v>
      </c>
    </row>
    <row r="58" customFormat="false" ht="18.75" hidden="false" customHeight="true" outlineLevel="0" collapsed="false">
      <c r="A58" s="35" t="n">
        <v>33</v>
      </c>
      <c r="B58" s="33" t="n">
        <v>46323</v>
      </c>
      <c r="C58" s="34" t="s">
        <v>84</v>
      </c>
      <c r="D58" s="34" t="s">
        <v>8</v>
      </c>
      <c r="E58" s="38" t="n">
        <v>4.48402230252997</v>
      </c>
      <c r="F58" s="38" t="n">
        <v>4.59062551460681</v>
      </c>
      <c r="G58" s="38" t="n">
        <v>9.07464781713678</v>
      </c>
      <c r="H58" s="36" t="n">
        <v>0.659663735260796</v>
      </c>
      <c r="I58" s="37" t="n">
        <f aca="false">IFERROR(1/H58,"")</f>
        <v>1.5159238662781</v>
      </c>
      <c r="J58" s="36" t="n">
        <v>0.539426630658416</v>
      </c>
      <c r="K58" s="37" t="n">
        <f aca="false">IFERROR(1/J58,"")</f>
        <v>1.85382022904471</v>
      </c>
      <c r="L58" s="36" t="n">
        <v>0.420941629442126</v>
      </c>
      <c r="M58" s="37" t="n">
        <f aca="false">IFERROR(1/L58,"")</f>
        <v>2.37562628653597</v>
      </c>
      <c r="N58" s="36" t="n">
        <v>0.31359003979824</v>
      </c>
      <c r="O58" s="37" t="n">
        <f aca="false">IFERROR(1/N58,"")</f>
        <v>3.1888767916334</v>
      </c>
      <c r="P58" s="36" t="n">
        <v>0.22329901901326</v>
      </c>
      <c r="Q58" s="37" t="n">
        <f aca="false">IFERROR(1/P58,"")</f>
        <v>4.47830001411971</v>
      </c>
      <c r="R58" s="36" t="n">
        <v>0.152244837030817</v>
      </c>
      <c r="S58" s="37" t="n">
        <f aca="false">IFERROR(1/R58,"")</f>
        <v>6.56836723991884</v>
      </c>
    </row>
    <row r="59" customFormat="false" ht="18.75" hidden="false" customHeight="true" outlineLevel="0" collapsed="false">
      <c r="A59" s="42" t="n">
        <v>34</v>
      </c>
      <c r="B59" s="40" t="n">
        <v>46330</v>
      </c>
      <c r="C59" s="41" t="s">
        <v>92</v>
      </c>
      <c r="D59" s="41" t="s">
        <v>84</v>
      </c>
      <c r="E59" s="45" t="n">
        <v>5.55067041727313</v>
      </c>
      <c r="F59" s="45" t="n">
        <v>3.9227715653008</v>
      </c>
      <c r="G59" s="45" t="n">
        <v>9.47344198257393</v>
      </c>
      <c r="H59" s="43" t="n">
        <v>0.700180018266543</v>
      </c>
      <c r="I59" s="44" t="n">
        <f aca="false">IFERROR(1/H59,"")</f>
        <v>1.42820413880952</v>
      </c>
      <c r="J59" s="43" t="n">
        <v>0.585125263460985</v>
      </c>
      <c r="K59" s="44" t="n">
        <f aca="false">IFERROR(1/J59,"")</f>
        <v>1.7090357611378</v>
      </c>
      <c r="L59" s="43" t="n">
        <v>0.467752357531258</v>
      </c>
      <c r="M59" s="44" t="n">
        <f aca="false">IFERROR(1/L59,"")</f>
        <v>2.13788339898035</v>
      </c>
      <c r="N59" s="43" t="n">
        <v>0.357661468846067</v>
      </c>
      <c r="O59" s="44" t="n">
        <f aca="false">IFERROR(1/N59,"")</f>
        <v>2.79593997985393</v>
      </c>
      <c r="P59" s="43" t="n">
        <v>0.261804017301844</v>
      </c>
      <c r="Q59" s="44" t="n">
        <f aca="false">IFERROR(1/P59,"")</f>
        <v>3.81965108979616</v>
      </c>
      <c r="R59" s="43" t="n">
        <v>0.183711508047687</v>
      </c>
      <c r="S59" s="44" t="n">
        <f aca="false">IFERROR(1/R59,"")</f>
        <v>5.44331713689064</v>
      </c>
    </row>
    <row r="60" customFormat="false" ht="18.75" hidden="false" customHeight="true" outlineLevel="0" collapsed="false">
      <c r="A60" s="35" t="n">
        <v>34</v>
      </c>
      <c r="B60" s="33" t="n">
        <v>46330</v>
      </c>
      <c r="C60" s="34" t="s">
        <v>93</v>
      </c>
      <c r="D60" s="34" t="s">
        <v>90</v>
      </c>
      <c r="E60" s="38" t="n">
        <v>4.99805271731447</v>
      </c>
      <c r="F60" s="38" t="n">
        <v>4.27409485778222</v>
      </c>
      <c r="G60" s="38" t="n">
        <v>9.27214757509669</v>
      </c>
      <c r="H60" s="36" t="n">
        <v>0.680169955520214</v>
      </c>
      <c r="I60" s="37" t="n">
        <f aca="false">IFERROR(1/H60,"")</f>
        <v>1.47022077626932</v>
      </c>
      <c r="J60" s="36" t="n">
        <v>0.562358021886192</v>
      </c>
      <c r="K60" s="37" t="n">
        <f aca="false">IFERROR(1/J60,"")</f>
        <v>1.77822661201831</v>
      </c>
      <c r="L60" s="36" t="n">
        <v>0.444228509827983</v>
      </c>
      <c r="M60" s="37" t="n">
        <f aca="false">IFERROR(1/L60,"")</f>
        <v>2.25109370037332</v>
      </c>
      <c r="N60" s="36" t="n">
        <v>0.33532352201215</v>
      </c>
      <c r="O60" s="37" t="n">
        <f aca="false">IFERROR(1/N60,"")</f>
        <v>2.98219461014658</v>
      </c>
      <c r="P60" s="36" t="n">
        <v>0.242120903876534</v>
      </c>
      <c r="Q60" s="37" t="n">
        <f aca="false">IFERROR(1/P60,"")</f>
        <v>4.13016796149884</v>
      </c>
      <c r="R60" s="36" t="n">
        <v>0.167490214818215</v>
      </c>
      <c r="S60" s="37" t="n">
        <f aca="false">IFERROR(1/R60,"")</f>
        <v>5.97049804423111</v>
      </c>
    </row>
    <row r="61" customFormat="false" ht="18.75" hidden="false" customHeight="true" outlineLevel="0" collapsed="false">
      <c r="A61" s="42" t="n">
        <v>34</v>
      </c>
      <c r="B61" s="40" t="n">
        <v>46330</v>
      </c>
      <c r="C61" s="41" t="s">
        <v>91</v>
      </c>
      <c r="D61" s="41" t="s">
        <v>88</v>
      </c>
      <c r="E61" s="45" t="n">
        <v>6.18714667279606</v>
      </c>
      <c r="F61" s="45" t="n">
        <v>4.75659680221437</v>
      </c>
      <c r="G61" s="45" t="n">
        <v>10.9437434750104</v>
      </c>
      <c r="H61" s="43" t="n">
        <v>0.819295545157144</v>
      </c>
      <c r="I61" s="44" t="n">
        <f aca="false">IFERROR(1/H61,"")</f>
        <v>1.2205607682246</v>
      </c>
      <c r="J61" s="43" t="n">
        <v>0.729626103116744</v>
      </c>
      <c r="K61" s="44" t="n">
        <f aca="false">IFERROR(1/J61,"")</f>
        <v>1.37056499997506</v>
      </c>
      <c r="L61" s="43" t="n">
        <v>0.627107035300428</v>
      </c>
      <c r="M61" s="44" t="n">
        <f aca="false">IFERROR(1/L61,"")</f>
        <v>1.59462411312437</v>
      </c>
      <c r="N61" s="43" t="n">
        <v>0.519340216140544</v>
      </c>
      <c r="O61" s="44" t="n">
        <f aca="false">IFERROR(1/N61,"")</f>
        <v>1.92552005202189</v>
      </c>
      <c r="P61" s="43" t="n">
        <v>0.414178791478073</v>
      </c>
      <c r="Q61" s="44" t="n">
        <f aca="false">IFERROR(1/P61,"")</f>
        <v>2.41441623901436</v>
      </c>
      <c r="R61" s="43" t="n">
        <v>0.318164284672712</v>
      </c>
      <c r="S61" s="44" t="n">
        <f aca="false">IFERROR(1/R61,"")</f>
        <v>3.14303034053202</v>
      </c>
    </row>
    <row r="62" customFormat="false" ht="18.75" hidden="false" customHeight="true" outlineLevel="0" collapsed="false">
      <c r="A62" s="35" t="n">
        <v>34</v>
      </c>
      <c r="B62" s="33" t="n">
        <v>46330</v>
      </c>
      <c r="C62" s="34" t="s">
        <v>83</v>
      </c>
      <c r="D62" s="34" t="s">
        <v>95</v>
      </c>
      <c r="E62" s="38" t="n">
        <v>4.67609911446956</v>
      </c>
      <c r="F62" s="38" t="n">
        <v>5.95057086797955</v>
      </c>
      <c r="G62" s="38" t="n">
        <v>10.6266699824491</v>
      </c>
      <c r="H62" s="36" t="n">
        <v>0.797503872838824</v>
      </c>
      <c r="I62" s="37" t="n">
        <f aca="false">IFERROR(1/H62,"")</f>
        <v>1.253912406018</v>
      </c>
      <c r="J62" s="36" t="n">
        <v>0.7019195104404</v>
      </c>
      <c r="K62" s="37" t="n">
        <f aca="false">IFERROR(1/J62,"")</f>
        <v>1.42466477299168</v>
      </c>
      <c r="L62" s="36" t="n">
        <v>0.595116616348469</v>
      </c>
      <c r="M62" s="37" t="n">
        <f aca="false">IFERROR(1/L62,"")</f>
        <v>1.6803429320052</v>
      </c>
      <c r="N62" s="36" t="n">
        <v>0.485393172682805</v>
      </c>
      <c r="O62" s="37" t="n">
        <f aca="false">IFERROR(1/N62,"")</f>
        <v>2.0601855491146</v>
      </c>
      <c r="P62" s="36" t="n">
        <v>0.380750983084552</v>
      </c>
      <c r="Q62" s="37" t="n">
        <f aca="false">IFERROR(1/P62,"")</f>
        <v>2.62638849123585</v>
      </c>
      <c r="R62" s="36" t="n">
        <v>0.28737757612812</v>
      </c>
      <c r="S62" s="37" t="n">
        <f aca="false">IFERROR(1/R62,"")</f>
        <v>3.47974262109503</v>
      </c>
    </row>
    <row r="63" customFormat="false" ht="18.75" hidden="false" customHeight="true" outlineLevel="0" collapsed="false">
      <c r="A63" s="42" t="n">
        <v>34</v>
      </c>
      <c r="B63" s="40" t="n">
        <v>46330</v>
      </c>
      <c r="C63" s="41" t="s">
        <v>96</v>
      </c>
      <c r="D63" s="41" t="s">
        <v>103</v>
      </c>
      <c r="E63" s="45" t="n">
        <v>6.08213937902834</v>
      </c>
      <c r="F63" s="45" t="n">
        <v>4.22642951629653</v>
      </c>
      <c r="G63" s="45" t="n">
        <v>10.3085688953249</v>
      </c>
      <c r="H63" s="43" t="n">
        <v>0.773552159565883</v>
      </c>
      <c r="I63" s="44" t="n">
        <f aca="false">IFERROR(1/H63,"")</f>
        <v>1.29273764882409</v>
      </c>
      <c r="J63" s="43" t="n">
        <v>0.672170876942274</v>
      </c>
      <c r="K63" s="44" t="n">
        <f aca="false">IFERROR(1/J63,"")</f>
        <v>1.48771693969996</v>
      </c>
      <c r="L63" s="43" t="n">
        <v>0.561562695444258</v>
      </c>
      <c r="M63" s="44" t="n">
        <f aca="false">IFERROR(1/L63,"")</f>
        <v>1.78074506749222</v>
      </c>
      <c r="N63" s="43" t="n">
        <v>0.450610229841026</v>
      </c>
      <c r="O63" s="44" t="n">
        <f aca="false">IFERROR(1/N63,"")</f>
        <v>2.21921282247143</v>
      </c>
      <c r="P63" s="43" t="n">
        <v>0.347291836544071</v>
      </c>
      <c r="Q63" s="44" t="n">
        <f aca="false">IFERROR(1/P63,"")</f>
        <v>2.87942270670996</v>
      </c>
      <c r="R63" s="43" t="n">
        <v>0.257274257680957</v>
      </c>
      <c r="S63" s="44" t="n">
        <f aca="false">IFERROR(1/R63,"")</f>
        <v>3.88690267348897</v>
      </c>
    </row>
    <row r="64" customFormat="false" ht="18.75" hidden="false" customHeight="true" outlineLevel="0" collapsed="false">
      <c r="A64" s="35" t="n">
        <v>34</v>
      </c>
      <c r="B64" s="33" t="n">
        <v>46330</v>
      </c>
      <c r="C64" s="34" t="s">
        <v>8</v>
      </c>
      <c r="D64" s="34" t="s">
        <v>105</v>
      </c>
      <c r="E64" s="38" t="n">
        <v>6.26876243114539</v>
      </c>
      <c r="F64" s="38" t="n">
        <v>3.41304600246585</v>
      </c>
      <c r="G64" s="38" t="n">
        <v>9.68180843361123</v>
      </c>
      <c r="H64" s="36" t="n">
        <v>0.719938848169668</v>
      </c>
      <c r="I64" s="37" t="n">
        <f aca="false">IFERROR(1/H64,"")</f>
        <v>1.38900686154434</v>
      </c>
      <c r="J64" s="36" t="n">
        <v>0.60799954739046</v>
      </c>
      <c r="K64" s="37" t="n">
        <f aca="false">IFERROR(1/J64,"")</f>
        <v>1.64473806648707</v>
      </c>
      <c r="L64" s="36" t="n">
        <v>0.491799858896612</v>
      </c>
      <c r="M64" s="37" t="n">
        <f aca="false">IFERROR(1/L64,"")</f>
        <v>2.03334747237132</v>
      </c>
      <c r="N64" s="36" t="n">
        <v>0.380895766385996</v>
      </c>
      <c r="O64" s="37" t="n">
        <f aca="false">IFERROR(1/N64,"")</f>
        <v>2.62539016773058</v>
      </c>
      <c r="P64" s="36" t="n">
        <v>0.282634770388118</v>
      </c>
      <c r="Q64" s="37" t="n">
        <f aca="false">IFERROR(1/P64,"")</f>
        <v>3.53813509437209</v>
      </c>
      <c r="R64" s="36" t="n">
        <v>0.201178644819058</v>
      </c>
      <c r="S64" s="37" t="n">
        <f aca="false">IFERROR(1/R64,"")</f>
        <v>4.97070651260927</v>
      </c>
    </row>
    <row r="65" customFormat="false" ht="18.75" hidden="false" customHeight="true" outlineLevel="0" collapsed="false">
      <c r="A65" s="42" t="n">
        <v>34</v>
      </c>
      <c r="B65" s="40" t="n">
        <v>46330</v>
      </c>
      <c r="C65" s="41" t="s">
        <v>100</v>
      </c>
      <c r="D65" s="41" t="s">
        <v>99</v>
      </c>
      <c r="E65" s="45" t="n">
        <v>7.44584187657984</v>
      </c>
      <c r="F65" s="45" t="n">
        <v>3.04939193632821</v>
      </c>
      <c r="G65" s="45" t="n">
        <v>10.4952338129081</v>
      </c>
      <c r="H65" s="43" t="n">
        <v>0.787866143808046</v>
      </c>
      <c r="I65" s="44" t="n">
        <f aca="false">IFERROR(1/H65,"")</f>
        <v>1.26925113848227</v>
      </c>
      <c r="J65" s="43" t="n">
        <v>0.689863636389382</v>
      </c>
      <c r="K65" s="44" t="n">
        <f aca="false">IFERROR(1/J65,"")</f>
        <v>1.44956183693609</v>
      </c>
      <c r="L65" s="43" t="n">
        <v>0.58142195364414</v>
      </c>
      <c r="M65" s="44" t="n">
        <f aca="false">IFERROR(1/L65,"")</f>
        <v>1.71992129594069</v>
      </c>
      <c r="N65" s="43" t="n">
        <v>0.471096545298466</v>
      </c>
      <c r="O65" s="44" t="n">
        <f aca="false">IFERROR(1/N65,"")</f>
        <v>2.1227071392902</v>
      </c>
      <c r="P65" s="43" t="n">
        <v>0.366901799428866</v>
      </c>
      <c r="Q65" s="44" t="n">
        <f aca="false">IFERROR(1/P65,"")</f>
        <v>2.7255249267151</v>
      </c>
      <c r="R65" s="43" t="n">
        <v>0.274830325897522</v>
      </c>
      <c r="S65" s="44" t="n">
        <f aca="false">IFERROR(1/R65,"")</f>
        <v>3.63860864602284</v>
      </c>
    </row>
    <row r="66" customFormat="false" ht="18.75" hidden="false" customHeight="true" outlineLevel="0" collapsed="false">
      <c r="A66" s="35" t="n">
        <v>34</v>
      </c>
      <c r="B66" s="33" t="n">
        <v>46330</v>
      </c>
      <c r="C66" s="34" t="s">
        <v>102</v>
      </c>
      <c r="D66" s="34" t="s">
        <v>104</v>
      </c>
      <c r="E66" s="38" t="n">
        <v>9.09902552948241</v>
      </c>
      <c r="F66" s="38" t="n">
        <v>3.62451825899571</v>
      </c>
      <c r="G66" s="38" t="n">
        <v>12.7235437884781</v>
      </c>
      <c r="H66" s="36" t="n">
        <v>0.908198345134899</v>
      </c>
      <c r="I66" s="37" t="n">
        <f aca="false">IFERROR(1/H66,"")</f>
        <v>1.10108106379721</v>
      </c>
      <c r="J66" s="36" t="n">
        <v>0.850356518058861</v>
      </c>
      <c r="K66" s="37" t="n">
        <f aca="false">IFERROR(1/J66,"")</f>
        <v>1.17597734451749</v>
      </c>
      <c r="L66" s="36" t="n">
        <v>0.776152303784006</v>
      </c>
      <c r="M66" s="37" t="n">
        <f aca="false">IFERROR(1/L66,"")</f>
        <v>1.28840692107034</v>
      </c>
      <c r="N66" s="36" t="n">
        <v>0.688626647960611</v>
      </c>
      <c r="O66" s="37" t="n">
        <f aca="false">IFERROR(1/N66,"")</f>
        <v>1.4521657025059</v>
      </c>
      <c r="P66" s="36" t="n">
        <v>0.592789659741419</v>
      </c>
      <c r="Q66" s="37" t="n">
        <f aca="false">IFERROR(1/P66,"")</f>
        <v>1.68693900706063</v>
      </c>
      <c r="R66" s="36" t="n">
        <v>0.494605836718665</v>
      </c>
      <c r="S66" s="37" t="n">
        <f aca="false">IFERROR(1/R66,"")</f>
        <v>2.02181196775647</v>
      </c>
    </row>
    <row r="67" customFormat="false" ht="18.75" hidden="false" customHeight="true" outlineLevel="0" collapsed="false">
      <c r="A67" s="42" t="n">
        <v>34</v>
      </c>
      <c r="B67" s="40" t="n">
        <v>46330</v>
      </c>
      <c r="C67" s="41" t="s">
        <v>87</v>
      </c>
      <c r="D67" s="41" t="s">
        <v>101</v>
      </c>
      <c r="E67" s="45" t="n">
        <v>6.09390870438267</v>
      </c>
      <c r="F67" s="45" t="n">
        <v>3.99767329301187</v>
      </c>
      <c r="G67" s="45" t="n">
        <v>10.0915819973945</v>
      </c>
      <c r="H67" s="43" t="n">
        <v>0.755970098735049</v>
      </c>
      <c r="I67" s="44" t="n">
        <f aca="false">IFERROR(1/H67,"")</f>
        <v>1.32280364219866</v>
      </c>
      <c r="J67" s="43" t="n">
        <v>0.650772105930107</v>
      </c>
      <c r="K67" s="44" t="n">
        <f aca="false">IFERROR(1/J67,"")</f>
        <v>1.53663623699846</v>
      </c>
      <c r="L67" s="43" t="n">
        <v>0.537912033428055</v>
      </c>
      <c r="M67" s="44" t="n">
        <f aca="false">IFERROR(1/L67,"")</f>
        <v>1.85904002486635</v>
      </c>
      <c r="N67" s="43" t="n">
        <v>0.426586847010653</v>
      </c>
      <c r="O67" s="44" t="n">
        <f aca="false">IFERROR(1/N67,"")</f>
        <v>2.34418854450763</v>
      </c>
      <c r="P67" s="43" t="n">
        <v>0.324648516210948</v>
      </c>
      <c r="Q67" s="44" t="n">
        <f aca="false">IFERROR(1/P67,"")</f>
        <v>3.08025433681707</v>
      </c>
      <c r="R67" s="43" t="n">
        <v>0.237313058113603</v>
      </c>
      <c r="S67" s="44" t="n">
        <f aca="false">IFERROR(1/R67,"")</f>
        <v>4.2138431317222</v>
      </c>
    </row>
    <row r="68" customFormat="false" ht="18.75" hidden="false" customHeight="true" outlineLevel="0" collapsed="false">
      <c r="A68" s="35" t="n">
        <v>34</v>
      </c>
      <c r="B68" s="33" t="n">
        <v>46330</v>
      </c>
      <c r="C68" s="34" t="s">
        <v>106</v>
      </c>
      <c r="D68" s="34" t="s">
        <v>98</v>
      </c>
      <c r="E68" s="38" t="n">
        <v>4.43778852611142</v>
      </c>
      <c r="F68" s="38" t="n">
        <v>4.38055690688303</v>
      </c>
      <c r="G68" s="38" t="n">
        <v>8.81834543299445</v>
      </c>
      <c r="H68" s="36" t="n">
        <v>0.63178661844474</v>
      </c>
      <c r="I68" s="37" t="n">
        <f aca="false">IFERROR(1/H68,"")</f>
        <v>1.58281288461235</v>
      </c>
      <c r="J68" s="36" t="n">
        <v>0.508879006081551</v>
      </c>
      <c r="K68" s="37" t="n">
        <f aca="false">IFERROR(1/J68,"")</f>
        <v>1.96510366521142</v>
      </c>
      <c r="L68" s="36" t="n">
        <v>0.39054315717398</v>
      </c>
      <c r="M68" s="37" t="n">
        <f aca="false">IFERROR(1/L68,"")</f>
        <v>2.56053647754611</v>
      </c>
      <c r="N68" s="36" t="n">
        <v>0.285788313303676</v>
      </c>
      <c r="O68" s="37" t="n">
        <f aca="false">IFERROR(1/N68,"")</f>
        <v>3.49909339692771</v>
      </c>
      <c r="P68" s="36" t="n">
        <v>0.199704226265885</v>
      </c>
      <c r="Q68" s="37" t="n">
        <f aca="false">IFERROR(1/P68,"")</f>
        <v>5.00740529481138</v>
      </c>
      <c r="R68" s="36" t="n">
        <v>0.133516015715636</v>
      </c>
      <c r="S68" s="37" t="n">
        <f aca="false">IFERROR(1/R68,"")</f>
        <v>7.48973817590404</v>
      </c>
    </row>
    <row r="69" customFormat="false" ht="18.75" hidden="false" customHeight="true" outlineLevel="0" collapsed="false">
      <c r="A69" s="42" t="n">
        <v>35</v>
      </c>
      <c r="B69" s="40" t="n">
        <v>46344</v>
      </c>
      <c r="C69" s="41" t="s">
        <v>101</v>
      </c>
      <c r="D69" s="41" t="s">
        <v>93</v>
      </c>
      <c r="E69" s="45" t="n">
        <v>5.02063095407848</v>
      </c>
      <c r="F69" s="45" t="n">
        <v>4.11693581506102</v>
      </c>
      <c r="G69" s="45" t="n">
        <v>9.1375667691395</v>
      </c>
      <c r="H69" s="43" t="n">
        <v>0.666289731859236</v>
      </c>
      <c r="I69" s="44" t="n">
        <f aca="false">IFERROR(1/H69,"")</f>
        <v>1.50084858310749</v>
      </c>
      <c r="J69" s="43" t="n">
        <v>0.546792778730582</v>
      </c>
      <c r="K69" s="44" t="n">
        <f aca="false">IFERROR(1/J69,"")</f>
        <v>1.8288463909885</v>
      </c>
      <c r="L69" s="43" t="n">
        <v>0.428377914192914</v>
      </c>
      <c r="M69" s="44" t="n">
        <f aca="false">IFERROR(1/L69,"")</f>
        <v>2.3343873875572</v>
      </c>
      <c r="N69" s="43" t="n">
        <v>0.320489242128501</v>
      </c>
      <c r="O69" s="44" t="n">
        <f aca="false">IFERROR(1/N69,"")</f>
        <v>3.12022953831021</v>
      </c>
      <c r="P69" s="43" t="n">
        <v>0.229238489833432</v>
      </c>
      <c r="Q69" s="44" t="n">
        <f aca="false">IFERROR(1/P69,"")</f>
        <v>4.36226918405637</v>
      </c>
      <c r="R69" s="43" t="n">
        <v>0.157027041226894</v>
      </c>
      <c r="S69" s="44" t="n">
        <f aca="false">IFERROR(1/R69,"")</f>
        <v>6.36832988883149</v>
      </c>
    </row>
    <row r="70" customFormat="false" ht="18.75" hidden="false" customHeight="true" outlineLevel="0" collapsed="false">
      <c r="A70" s="35" t="n">
        <v>35</v>
      </c>
      <c r="B70" s="33" t="n">
        <v>46344</v>
      </c>
      <c r="C70" s="34" t="s">
        <v>99</v>
      </c>
      <c r="D70" s="34" t="s">
        <v>88</v>
      </c>
      <c r="E70" s="38" t="n">
        <v>4.54085957080823</v>
      </c>
      <c r="F70" s="38" t="n">
        <v>5.32646419677938</v>
      </c>
      <c r="G70" s="38" t="n">
        <v>9.86732376758761</v>
      </c>
      <c r="H70" s="36" t="n">
        <v>0.736713470493749</v>
      </c>
      <c r="I70" s="37" t="n">
        <f aca="false">IFERROR(1/H70,"")</f>
        <v>1.35737982275497</v>
      </c>
      <c r="J70" s="36" t="n">
        <v>0.627737537277186</v>
      </c>
      <c r="K70" s="37" t="n">
        <f aca="false">IFERROR(1/J70,"")</f>
        <v>1.59302246658293</v>
      </c>
      <c r="L70" s="36" t="n">
        <v>0.512890344109722</v>
      </c>
      <c r="M70" s="37" t="n">
        <f aca="false">IFERROR(1/L70,"")</f>
        <v>1.94973450267582</v>
      </c>
      <c r="N70" s="36" t="n">
        <v>0.40160693818664</v>
      </c>
      <c r="O70" s="37" t="n">
        <f aca="false">IFERROR(1/N70,"")</f>
        <v>2.48999682255307</v>
      </c>
      <c r="P70" s="36" t="n">
        <v>0.301507552225198</v>
      </c>
      <c r="Q70" s="37" t="n">
        <f aca="false">IFERROR(1/P70,"")</f>
        <v>3.31666650675832</v>
      </c>
      <c r="R70" s="36" t="n">
        <v>0.217263079689876</v>
      </c>
      <c r="S70" s="37" t="n">
        <f aca="false">IFERROR(1/R70,"")</f>
        <v>4.6027148350627</v>
      </c>
    </row>
    <row r="71" customFormat="false" ht="18.75" hidden="false" customHeight="true" outlineLevel="0" collapsed="false">
      <c r="A71" s="42" t="n">
        <v>35</v>
      </c>
      <c r="B71" s="40" t="n">
        <v>46344</v>
      </c>
      <c r="C71" s="41" t="s">
        <v>96</v>
      </c>
      <c r="D71" s="41" t="s">
        <v>102</v>
      </c>
      <c r="E71" s="45" t="n">
        <v>5.72201833414618</v>
      </c>
      <c r="F71" s="45" t="n">
        <v>4.94501460015884</v>
      </c>
      <c r="G71" s="45" t="n">
        <v>10.667032934305</v>
      </c>
      <c r="H71" s="43" t="n">
        <v>0.800391487262156</v>
      </c>
      <c r="I71" s="44" t="n">
        <f aca="false">IFERROR(1/H71,"")</f>
        <v>1.24938860034685</v>
      </c>
      <c r="J71" s="43" t="n">
        <v>0.705554737173085</v>
      </c>
      <c r="K71" s="44" t="n">
        <f aca="false">IFERROR(1/J71,"")</f>
        <v>1.41732447861757</v>
      </c>
      <c r="L71" s="43" t="n">
        <v>0.599272365508166</v>
      </c>
      <c r="M71" s="44" t="n">
        <f aca="false">IFERROR(1/L71,"")</f>
        <v>1.66869032773108</v>
      </c>
      <c r="N71" s="43" t="n">
        <v>0.489759272315286</v>
      </c>
      <c r="O71" s="44" t="n">
        <f aca="false">IFERROR(1/N71,"")</f>
        <v>2.04181943360175</v>
      </c>
      <c r="P71" s="43" t="n">
        <v>0.385007390098073</v>
      </c>
      <c r="Q71" s="44" t="n">
        <f aca="false">IFERROR(1/P71,"")</f>
        <v>2.59735274106108</v>
      </c>
      <c r="R71" s="43" t="n">
        <v>0.291258394705614</v>
      </c>
      <c r="S71" s="44" t="n">
        <f aca="false">IFERROR(1/R71,"")</f>
        <v>3.43337743453107</v>
      </c>
    </row>
    <row r="72" customFormat="false" ht="18.75" hidden="false" customHeight="true" outlineLevel="0" collapsed="false">
      <c r="A72" s="35" t="n">
        <v>35</v>
      </c>
      <c r="B72" s="33" t="n">
        <v>46344</v>
      </c>
      <c r="C72" s="34" t="s">
        <v>8</v>
      </c>
      <c r="D72" s="34" t="s">
        <v>92</v>
      </c>
      <c r="E72" s="38" t="n">
        <v>6.0571982874295</v>
      </c>
      <c r="F72" s="38" t="n">
        <v>4.11077358336441</v>
      </c>
      <c r="G72" s="38" t="n">
        <v>10.1679718707939</v>
      </c>
      <c r="H72" s="36" t="n">
        <v>0.762276707079803</v>
      </c>
      <c r="I72" s="37" t="n">
        <f aca="false">IFERROR(1/H72,"")</f>
        <v>1.31185957895905</v>
      </c>
      <c r="J72" s="36" t="n">
        <v>0.658406500671313</v>
      </c>
      <c r="K72" s="37" t="n">
        <f aca="false">IFERROR(1/J72,"")</f>
        <v>1.5188185398844</v>
      </c>
      <c r="L72" s="36" t="n">
        <v>0.546304311247149</v>
      </c>
      <c r="M72" s="37" t="n">
        <f aca="false">IFERROR(1/L72,"")</f>
        <v>1.83048161878334</v>
      </c>
      <c r="N72" s="36" t="n">
        <v>0.435065220726495</v>
      </c>
      <c r="O72" s="37" t="n">
        <f aca="false">IFERROR(1/N72,"")</f>
        <v>2.29850595349853</v>
      </c>
      <c r="P72" s="36" t="n">
        <v>0.332596398384611</v>
      </c>
      <c r="Q72" s="37" t="n">
        <f aca="false">IFERROR(1/P72,"")</f>
        <v>3.00664711000151</v>
      </c>
      <c r="R72" s="36" t="n">
        <v>0.244281279426079</v>
      </c>
      <c r="S72" s="37" t="n">
        <f aca="false">IFERROR(1/R72,"")</f>
        <v>4.0936415690528</v>
      </c>
    </row>
    <row r="73" customFormat="false" ht="18.75" hidden="false" customHeight="true" outlineLevel="0" collapsed="false">
      <c r="A73" s="42" t="n">
        <v>35</v>
      </c>
      <c r="B73" s="40" t="n">
        <v>46344</v>
      </c>
      <c r="C73" s="41" t="s">
        <v>105</v>
      </c>
      <c r="D73" s="41" t="s">
        <v>103</v>
      </c>
      <c r="E73" s="45" t="n">
        <v>4.79738661239458</v>
      </c>
      <c r="F73" s="45" t="n">
        <v>4.64488981997814</v>
      </c>
      <c r="G73" s="45" t="n">
        <v>9.44227643237272</v>
      </c>
      <c r="H73" s="43" t="n">
        <v>0.697141116314885</v>
      </c>
      <c r="I73" s="44" t="n">
        <f aca="false">IFERROR(1/H73,"")</f>
        <v>1.43442981140754</v>
      </c>
      <c r="J73" s="43" t="n">
        <v>0.581642223633706</v>
      </c>
      <c r="K73" s="44" t="n">
        <f aca="false">IFERROR(1/J73,"")</f>
        <v>1.71926995559689</v>
      </c>
      <c r="L73" s="43" t="n">
        <v>0.464127210309668</v>
      </c>
      <c r="M73" s="44" t="n">
        <f aca="false">IFERROR(1/L73,"")</f>
        <v>2.15458171334707</v>
      </c>
      <c r="N73" s="43" t="n">
        <v>0.35419394637162</v>
      </c>
      <c r="O73" s="44" t="n">
        <f aca="false">IFERROR(1/N73,"")</f>
        <v>2.82331194602293</v>
      </c>
      <c r="P73" s="43" t="n">
        <v>0.258726375677859</v>
      </c>
      <c r="Q73" s="44" t="n">
        <f aca="false">IFERROR(1/P73,"")</f>
        <v>3.86508718865642</v>
      </c>
      <c r="R73" s="43" t="n">
        <v>0.181156763823823</v>
      </c>
      <c r="S73" s="44" t="n">
        <f aca="false">IFERROR(1/R73,"")</f>
        <v>5.52008094476955</v>
      </c>
    </row>
    <row r="74" customFormat="false" ht="18.75" hidden="false" customHeight="true" outlineLevel="0" collapsed="false">
      <c r="A74" s="35" t="n">
        <v>35</v>
      </c>
      <c r="B74" s="33" t="n">
        <v>46344</v>
      </c>
      <c r="C74" s="34" t="s">
        <v>95</v>
      </c>
      <c r="D74" s="34" t="s">
        <v>90</v>
      </c>
      <c r="E74" s="38" t="n">
        <v>5.85546645190223</v>
      </c>
      <c r="F74" s="38" t="n">
        <v>4.99755452737588</v>
      </c>
      <c r="G74" s="38" t="n">
        <v>10.8530209792781</v>
      </c>
      <c r="H74" s="36" t="n">
        <v>0.813267241310472</v>
      </c>
      <c r="I74" s="37" t="n">
        <f aca="false">IFERROR(1/H74,"")</f>
        <v>1.22960811551764</v>
      </c>
      <c r="J74" s="36" t="n">
        <v>0.721897565649711</v>
      </c>
      <c r="K74" s="37" t="n">
        <f aca="false">IFERROR(1/J74,"")</f>
        <v>1.38523808305129</v>
      </c>
      <c r="L74" s="36" t="n">
        <v>0.618109444831015</v>
      </c>
      <c r="M74" s="37" t="n">
        <f aca="false">IFERROR(1/L74,"")</f>
        <v>1.61783646628048</v>
      </c>
      <c r="N74" s="36" t="n">
        <v>0.509713396774221</v>
      </c>
      <c r="O74" s="37" t="n">
        <f aca="false">IFERROR(1/N74,"")</f>
        <v>1.96188682959603</v>
      </c>
      <c r="P74" s="36" t="n">
        <v>0.404621258231212</v>
      </c>
      <c r="Q74" s="37" t="n">
        <f aca="false">IFERROR(1/P74,"")</f>
        <v>2.4714470128719</v>
      </c>
      <c r="R74" s="36" t="n">
        <v>0.309289850022873</v>
      </c>
      <c r="S74" s="37" t="n">
        <f aca="false">IFERROR(1/R74,"")</f>
        <v>3.23321311684185</v>
      </c>
    </row>
    <row r="75" customFormat="false" ht="18.75" hidden="false" customHeight="true" outlineLevel="0" collapsed="false">
      <c r="A75" s="42" t="n">
        <v>35</v>
      </c>
      <c r="B75" s="40" t="n">
        <v>46344</v>
      </c>
      <c r="C75" s="41" t="s">
        <v>104</v>
      </c>
      <c r="D75" s="41" t="s">
        <v>83</v>
      </c>
      <c r="E75" s="45" t="n">
        <v>6.13293761368726</v>
      </c>
      <c r="F75" s="45" t="n">
        <v>4.53588921477742</v>
      </c>
      <c r="G75" s="45" t="n">
        <v>10.6688268284647</v>
      </c>
      <c r="H75" s="43" t="n">
        <v>0.800519045092336</v>
      </c>
      <c r="I75" s="44" t="n">
        <f aca="false">IFERROR(1/H75,"")</f>
        <v>1.24918951788918</v>
      </c>
      <c r="J75" s="43" t="n">
        <v>0.705715569290759</v>
      </c>
      <c r="K75" s="44" t="n">
        <f aca="false">IFERROR(1/J75,"")</f>
        <v>1.41700147129388</v>
      </c>
      <c r="L75" s="43" t="n">
        <v>0.59945651208117</v>
      </c>
      <c r="M75" s="44" t="n">
        <f aca="false">IFERROR(1/L75,"")</f>
        <v>1.66817772406582</v>
      </c>
      <c r="N75" s="43" t="n">
        <v>0.489953039700225</v>
      </c>
      <c r="O75" s="44" t="n">
        <f aca="false">IFERROR(1/N75,"")</f>
        <v>2.04101193169828</v>
      </c>
      <c r="P75" s="43" t="n">
        <v>0.385196582019965</v>
      </c>
      <c r="Q75" s="44" t="n">
        <f aca="false">IFERROR(1/P75,"")</f>
        <v>2.59607703359157</v>
      </c>
      <c r="R75" s="43" t="n">
        <v>0.291431159347457</v>
      </c>
      <c r="S75" s="44" t="n">
        <f aca="false">IFERROR(1/R75,"")</f>
        <v>3.43134207831138</v>
      </c>
    </row>
    <row r="76" customFormat="false" ht="18.75" hidden="false" customHeight="true" outlineLevel="0" collapsed="false">
      <c r="A76" s="35" t="n">
        <v>35</v>
      </c>
      <c r="B76" s="33" t="n">
        <v>46344</v>
      </c>
      <c r="C76" s="34" t="s">
        <v>87</v>
      </c>
      <c r="D76" s="34" t="s">
        <v>98</v>
      </c>
      <c r="E76" s="38" t="n">
        <v>5.68970135834887</v>
      </c>
      <c r="F76" s="38" t="n">
        <v>4.09694478912799</v>
      </c>
      <c r="G76" s="38" t="n">
        <v>9.78664614747687</v>
      </c>
      <c r="H76" s="36" t="n">
        <v>0.72951286829411</v>
      </c>
      <c r="I76" s="37" t="n">
        <f aca="false">IFERROR(1/H76,"")</f>
        <v>1.37077773876477</v>
      </c>
      <c r="J76" s="36" t="n">
        <v>0.619228299644801</v>
      </c>
      <c r="K76" s="37" t="n">
        <f aca="false">IFERROR(1/J76,"")</f>
        <v>1.61491327281653</v>
      </c>
      <c r="L76" s="36" t="n">
        <v>0.503758904878997</v>
      </c>
      <c r="M76" s="37" t="n">
        <f aca="false">IFERROR(1/L76,"")</f>
        <v>1.98507657197683</v>
      </c>
      <c r="N76" s="36" t="n">
        <v>0.392601278430564</v>
      </c>
      <c r="O76" s="37" t="n">
        <f aca="false">IFERROR(1/N76,"")</f>
        <v>2.5471134582076</v>
      </c>
      <c r="P76" s="36" t="n">
        <v>0.293266204190102</v>
      </c>
      <c r="Q76" s="37" t="n">
        <f aca="false">IFERROR(1/P76,"")</f>
        <v>3.40987125591798</v>
      </c>
      <c r="R76" s="36" t="n">
        <v>0.210209446296688</v>
      </c>
      <c r="S76" s="37" t="n">
        <f aca="false">IFERROR(1/R76,"")</f>
        <v>4.75716014488048</v>
      </c>
    </row>
    <row r="77" customFormat="false" ht="18.75" hidden="false" customHeight="true" outlineLevel="0" collapsed="false">
      <c r="A77" s="42" t="n">
        <v>35</v>
      </c>
      <c r="B77" s="40" t="n">
        <v>46344</v>
      </c>
      <c r="C77" s="41" t="s">
        <v>84</v>
      </c>
      <c r="D77" s="41" t="s">
        <v>100</v>
      </c>
      <c r="E77" s="45" t="n">
        <v>4.54859110122099</v>
      </c>
      <c r="F77" s="45" t="n">
        <v>4.4437498437453</v>
      </c>
      <c r="G77" s="45" t="n">
        <v>8.99234094496629</v>
      </c>
      <c r="H77" s="43" t="n">
        <v>0.650865635683127</v>
      </c>
      <c r="I77" s="44" t="n">
        <f aca="false">IFERROR(1/H77,"")</f>
        <v>1.5364154215185</v>
      </c>
      <c r="J77" s="43" t="n">
        <v>0.529708904329474</v>
      </c>
      <c r="K77" s="44" t="n">
        <f aca="false">IFERROR(1/J77,"")</f>
        <v>1.88782931875733</v>
      </c>
      <c r="L77" s="43" t="n">
        <v>0.411194704412555</v>
      </c>
      <c r="M77" s="44" t="n">
        <f aca="false">IFERROR(1/L77,"")</f>
        <v>2.43193793419259</v>
      </c>
      <c r="N77" s="43" t="n">
        <v>0.304605440154078</v>
      </c>
      <c r="O77" s="44" t="n">
        <f aca="false">IFERROR(1/N77,"")</f>
        <v>3.28293545740408</v>
      </c>
      <c r="P77" s="43" t="n">
        <v>0.215614146372679</v>
      </c>
      <c r="Q77" s="44" t="n">
        <f aca="false">IFERROR(1/P77,"")</f>
        <v>4.63791461192693</v>
      </c>
      <c r="R77" s="43" t="n">
        <v>0.146097217944718</v>
      </c>
      <c r="S77" s="44" t="n">
        <f aca="false">IFERROR(1/R77,"")</f>
        <v>6.84475730659286</v>
      </c>
    </row>
    <row r="78" customFormat="false" ht="18.75" hidden="false" customHeight="true" outlineLevel="0" collapsed="false">
      <c r="A78" s="35" t="n">
        <v>35</v>
      </c>
      <c r="B78" s="33" t="n">
        <v>46344</v>
      </c>
      <c r="C78" s="34" t="s">
        <v>106</v>
      </c>
      <c r="D78" s="34" t="s">
        <v>91</v>
      </c>
      <c r="E78" s="38" t="n">
        <v>5.29500841759801</v>
      </c>
      <c r="F78" s="38" t="n">
        <v>4.66061628211273</v>
      </c>
      <c r="G78" s="38" t="n">
        <v>9.95562469971074</v>
      </c>
      <c r="H78" s="36" t="n">
        <v>0.744428503526608</v>
      </c>
      <c r="I78" s="37" t="n">
        <f aca="false">IFERROR(1/H78,"")</f>
        <v>1.34331234666951</v>
      </c>
      <c r="J78" s="36" t="n">
        <v>0.636916951514003</v>
      </c>
      <c r="K78" s="37" t="n">
        <f aca="false">IFERROR(1/J78,"")</f>
        <v>1.57006340877397</v>
      </c>
      <c r="L78" s="36" t="n">
        <v>0.522808231276054</v>
      </c>
      <c r="M78" s="37" t="n">
        <f aca="false">IFERROR(1/L78,"")</f>
        <v>1.91274723727901</v>
      </c>
      <c r="N78" s="36" t="n">
        <v>0.411455013155716</v>
      </c>
      <c r="O78" s="37" t="n">
        <f aca="false">IFERROR(1/N78,"")</f>
        <v>2.43039935843861</v>
      </c>
      <c r="P78" s="36" t="n">
        <v>0.31058137338966</v>
      </c>
      <c r="Q78" s="37" t="n">
        <f aca="false">IFERROR(1/P78,"")</f>
        <v>3.21976810484828</v>
      </c>
      <c r="R78" s="36" t="n">
        <v>0.225082260606398</v>
      </c>
      <c r="S78" s="37" t="n">
        <f aca="false">IFERROR(1/R78,"")</f>
        <v>4.44282013742835</v>
      </c>
    </row>
    <row r="79" customFormat="false" ht="18.75" hidden="false" customHeight="true" outlineLevel="0" collapsed="false">
      <c r="A79" s="42" t="n">
        <v>36</v>
      </c>
      <c r="B79" s="40" t="n">
        <v>46348</v>
      </c>
      <c r="C79" s="41" t="s">
        <v>92</v>
      </c>
      <c r="D79" s="41" t="s">
        <v>104</v>
      </c>
      <c r="E79" s="45" t="n">
        <v>7.89859543125553</v>
      </c>
      <c r="F79" s="45" t="n">
        <v>3.85257523756678</v>
      </c>
      <c r="G79" s="45" t="n">
        <v>11.7511706688223</v>
      </c>
      <c r="H79" s="43" t="n">
        <v>0.866109320486128</v>
      </c>
      <c r="I79" s="44" t="n">
        <f aca="false">IFERROR(1/H79,"")</f>
        <v>1.1545886602845</v>
      </c>
      <c r="J79" s="43" t="n">
        <v>0.791475569446758</v>
      </c>
      <c r="K79" s="44" t="n">
        <f aca="false">IFERROR(1/J79,"")</f>
        <v>1.26346287693883</v>
      </c>
      <c r="L79" s="43" t="n">
        <v>0.701328992590888</v>
      </c>
      <c r="M79" s="44" t="n">
        <f aca="false">IFERROR(1/L79,"")</f>
        <v>1.42586433836956</v>
      </c>
      <c r="N79" s="43" t="n">
        <v>0.601217613306299</v>
      </c>
      <c r="O79" s="44" t="n">
        <f aca="false">IFERROR(1/N79,"")</f>
        <v>1.66329125738792</v>
      </c>
      <c r="P79" s="43" t="n">
        <v>0.498010737724735</v>
      </c>
      <c r="Q79" s="44" t="n">
        <f aca="false">IFERROR(1/P79,"")</f>
        <v>2.00798883286876</v>
      </c>
      <c r="R79" s="43" t="n">
        <v>0.398460382445584</v>
      </c>
      <c r="S79" s="44" t="n">
        <f aca="false">IFERROR(1/R79,"")</f>
        <v>2.50965979067333</v>
      </c>
    </row>
    <row r="80" customFormat="false" ht="18.75" hidden="false" customHeight="true" outlineLevel="0" collapsed="false">
      <c r="A80" s="35" t="n">
        <v>36</v>
      </c>
      <c r="B80" s="33" t="n">
        <v>46348</v>
      </c>
      <c r="C80" s="34" t="s">
        <v>90</v>
      </c>
      <c r="D80" s="34" t="s">
        <v>101</v>
      </c>
      <c r="E80" s="38" t="n">
        <v>5.7999642302429</v>
      </c>
      <c r="F80" s="38" t="n">
        <v>4.0613427286296</v>
      </c>
      <c r="G80" s="38" t="n">
        <v>9.8613069588725</v>
      </c>
      <c r="H80" s="36" t="n">
        <v>0.736181464727051</v>
      </c>
      <c r="I80" s="37" t="n">
        <f aca="false">IFERROR(1/H80,"")</f>
        <v>1.35836074108544</v>
      </c>
      <c r="J80" s="36" t="n">
        <v>0.627106938228935</v>
      </c>
      <c r="K80" s="37" t="n">
        <f aca="false">IFERROR(1/J80,"")</f>
        <v>1.59462435996034</v>
      </c>
      <c r="L80" s="36" t="n">
        <v>0.512211585278339</v>
      </c>
      <c r="M80" s="37" t="n">
        <f aca="false">IFERROR(1/L80,"")</f>
        <v>1.95231819962954</v>
      </c>
      <c r="N80" s="36" t="n">
        <v>0.400935503366812</v>
      </c>
      <c r="O80" s="37" t="n">
        <f aca="false">IFERROR(1/N80,"")</f>
        <v>2.49416674652808</v>
      </c>
      <c r="P80" s="36" t="n">
        <v>0.300891245214814</v>
      </c>
      <c r="Q80" s="37" t="n">
        <f aca="false">IFERROR(1/P80,"")</f>
        <v>3.32345994077054</v>
      </c>
      <c r="R80" s="36" t="n">
        <v>0.216734000441036</v>
      </c>
      <c r="S80" s="37" t="n">
        <f aca="false">IFERROR(1/R80,"")</f>
        <v>4.61395073207287</v>
      </c>
    </row>
    <row r="81" customFormat="false" ht="18.75" hidden="false" customHeight="true" outlineLevel="0" collapsed="false">
      <c r="A81" s="42" t="n">
        <v>36</v>
      </c>
      <c r="B81" s="40" t="n">
        <v>46348</v>
      </c>
      <c r="C81" s="41" t="s">
        <v>103</v>
      </c>
      <c r="D81" s="41" t="s">
        <v>99</v>
      </c>
      <c r="E81" s="45" t="n">
        <v>7.22429040456733</v>
      </c>
      <c r="F81" s="45" t="n">
        <v>3.33350547744563</v>
      </c>
      <c r="G81" s="45" t="n">
        <v>10.557795882013</v>
      </c>
      <c r="H81" s="43" t="n">
        <v>0.792498582128686</v>
      </c>
      <c r="I81" s="44" t="n">
        <f aca="false">IFERROR(1/H81,"")</f>
        <v>1.26183191055554</v>
      </c>
      <c r="J81" s="43" t="n">
        <v>0.695643695212541</v>
      </c>
      <c r="K81" s="44" t="n">
        <f aca="false">IFERROR(1/J81,"")</f>
        <v>1.43751752065325</v>
      </c>
      <c r="L81" s="43" t="n">
        <v>0.587971042161231</v>
      </c>
      <c r="M81" s="44" t="n">
        <f aca="false">IFERROR(1/L81,"")</f>
        <v>1.70076403137858</v>
      </c>
      <c r="N81" s="43" t="n">
        <v>0.477916106394748</v>
      </c>
      <c r="O81" s="44" t="n">
        <f aca="false">IFERROR(1/N81,"")</f>
        <v>2.09241744862648</v>
      </c>
      <c r="P81" s="43" t="n">
        <v>0.373491074671454</v>
      </c>
      <c r="Q81" s="44" t="n">
        <f aca="false">IFERROR(1/P81,"")</f>
        <v>2.67744015269886</v>
      </c>
      <c r="R81" s="43" t="n">
        <v>0.280784890669716</v>
      </c>
      <c r="S81" s="44" t="n">
        <f aca="false">IFERROR(1/R81,"")</f>
        <v>3.56144519605326</v>
      </c>
    </row>
    <row r="82" customFormat="false" ht="18.75" hidden="false" customHeight="true" outlineLevel="0" collapsed="false">
      <c r="A82" s="35" t="n">
        <v>36</v>
      </c>
      <c r="B82" s="33" t="n">
        <v>46348</v>
      </c>
      <c r="C82" s="34" t="s">
        <v>93</v>
      </c>
      <c r="D82" s="34" t="s">
        <v>87</v>
      </c>
      <c r="E82" s="38" t="n">
        <v>4.91969853325218</v>
      </c>
      <c r="F82" s="38" t="n">
        <v>4.49070767046877</v>
      </c>
      <c r="G82" s="38" t="n">
        <v>9.41040620372095</v>
      </c>
      <c r="H82" s="36" t="n">
        <v>0.694011047073978</v>
      </c>
      <c r="I82" s="37" t="n">
        <f aca="false">IFERROR(1/H82,"")</f>
        <v>1.44089925400482</v>
      </c>
      <c r="J82" s="36" t="n">
        <v>0.578064287231772</v>
      </c>
      <c r="K82" s="37" t="n">
        <f aca="false">IFERROR(1/J82,"")</f>
        <v>1.72991139928189</v>
      </c>
      <c r="L82" s="36" t="n">
        <v>0.460413254279011</v>
      </c>
      <c r="M82" s="37" t="n">
        <f aca="false">IFERROR(1/L82,"")</f>
        <v>2.1719617988973</v>
      </c>
      <c r="N82" s="36" t="n">
        <v>0.350650977466178</v>
      </c>
      <c r="O82" s="37" t="n">
        <f aca="false">IFERROR(1/N82,"")</f>
        <v>2.85183862091602</v>
      </c>
      <c r="P82" s="36" t="n">
        <v>0.255590180636992</v>
      </c>
      <c r="Q82" s="37" t="n">
        <f aca="false">IFERROR(1/P82,"")</f>
        <v>3.91251337397923</v>
      </c>
      <c r="R82" s="36" t="n">
        <v>0.178560376878293</v>
      </c>
      <c r="S82" s="37" t="n">
        <f aca="false">IFERROR(1/R82,"")</f>
        <v>5.60034660254778</v>
      </c>
    </row>
    <row r="83" customFormat="false" ht="18.75" hidden="false" customHeight="true" outlineLevel="0" collapsed="false">
      <c r="A83" s="42" t="n">
        <v>36</v>
      </c>
      <c r="B83" s="40" t="n">
        <v>46348</v>
      </c>
      <c r="C83" s="41" t="s">
        <v>91</v>
      </c>
      <c r="D83" s="41" t="s">
        <v>84</v>
      </c>
      <c r="E83" s="45" t="n">
        <v>5.53067754328891</v>
      </c>
      <c r="F83" s="45" t="n">
        <v>4.44851057780886</v>
      </c>
      <c r="G83" s="45" t="n">
        <v>9.97918812109776</v>
      </c>
      <c r="H83" s="43" t="n">
        <v>0.746458063241412</v>
      </c>
      <c r="I83" s="44" t="n">
        <f aca="false">IFERROR(1/H83,"")</f>
        <v>1.33965998794039</v>
      </c>
      <c r="J83" s="43" t="n">
        <v>0.639342585513536</v>
      </c>
      <c r="K83" s="44" t="n">
        <f aca="false">IFERROR(1/J83,"")</f>
        <v>1.56410666621992</v>
      </c>
      <c r="L83" s="43" t="n">
        <v>0.525440765579837</v>
      </c>
      <c r="M83" s="44" t="n">
        <f aca="false">IFERROR(1/L83,"")</f>
        <v>1.90316409671122</v>
      </c>
      <c r="N83" s="43" t="n">
        <v>0.414080737371302</v>
      </c>
      <c r="O83" s="44" t="n">
        <f aca="false">IFERROR(1/N83,"")</f>
        <v>2.41498797154457</v>
      </c>
      <c r="P83" s="43" t="n">
        <v>0.313011501564851</v>
      </c>
      <c r="Q83" s="44" t="n">
        <f aca="false">IFERROR(1/P83,"")</f>
        <v>3.1947707831842</v>
      </c>
      <c r="R83" s="43" t="n">
        <v>0.227185747174131</v>
      </c>
      <c r="S83" s="44" t="n">
        <f aca="false">IFERROR(1/R83,"")</f>
        <v>4.40168457941832</v>
      </c>
    </row>
    <row r="84" customFormat="false" ht="18.75" hidden="false" customHeight="true" outlineLevel="0" collapsed="false">
      <c r="A84" s="35" t="n">
        <v>36</v>
      </c>
      <c r="B84" s="33" t="n">
        <v>46348</v>
      </c>
      <c r="C84" s="34" t="s">
        <v>83</v>
      </c>
      <c r="D84" s="34" t="s">
        <v>96</v>
      </c>
      <c r="E84" s="38" t="n">
        <v>3.96064729743533</v>
      </c>
      <c r="F84" s="38" t="n">
        <v>6.02610179928802</v>
      </c>
      <c r="G84" s="38" t="n">
        <v>9.98674909672334</v>
      </c>
      <c r="H84" s="36" t="n">
        <v>0.747106700419515</v>
      </c>
      <c r="I84" s="37" t="n">
        <f aca="false">IFERROR(1/H84,"")</f>
        <v>1.33849689667952</v>
      </c>
      <c r="J84" s="36" t="n">
        <v>0.640118766941447</v>
      </c>
      <c r="K84" s="37" t="n">
        <f aca="false">IFERROR(1/J84,"")</f>
        <v>1.56221009544542</v>
      </c>
      <c r="L84" s="36" t="n">
        <v>0.526284197187452</v>
      </c>
      <c r="M84" s="37" t="n">
        <f aca="false">IFERROR(1/L84,"")</f>
        <v>1.90011405499949</v>
      </c>
      <c r="N84" s="36" t="n">
        <v>0.414923029390592</v>
      </c>
      <c r="O84" s="37" t="n">
        <f aca="false">IFERROR(1/N84,"")</f>
        <v>2.41008555603367</v>
      </c>
      <c r="P84" s="36" t="n">
        <v>0.313792015005217</v>
      </c>
      <c r="Q84" s="37" t="n">
        <f aca="false">IFERROR(1/P84,"")</f>
        <v>3.18682424083792</v>
      </c>
      <c r="R84" s="36" t="n">
        <v>0.227862185900161</v>
      </c>
      <c r="S84" s="37" t="n">
        <f aca="false">IFERROR(1/R84,"")</f>
        <v>4.38861760256332</v>
      </c>
    </row>
    <row r="85" customFormat="false" ht="18.75" hidden="false" customHeight="true" outlineLevel="0" collapsed="false">
      <c r="A85" s="42" t="n">
        <v>36</v>
      </c>
      <c r="B85" s="40" t="n">
        <v>46348</v>
      </c>
      <c r="C85" s="41" t="s">
        <v>98</v>
      </c>
      <c r="D85" s="41" t="s">
        <v>95</v>
      </c>
      <c r="E85" s="45" t="n">
        <v>6.01623091115495</v>
      </c>
      <c r="F85" s="45" t="n">
        <v>4.50327313517114</v>
      </c>
      <c r="G85" s="45" t="n">
        <v>10.5195040463261</v>
      </c>
      <c r="H85" s="43" t="n">
        <v>0.789672994531354</v>
      </c>
      <c r="I85" s="44" t="n">
        <f aca="false">IFERROR(1/H85,"")</f>
        <v>1.26634696504148</v>
      </c>
      <c r="J85" s="43" t="n">
        <v>0.692114904769456</v>
      </c>
      <c r="K85" s="44" t="n">
        <f aca="false">IFERROR(1/J85,"")</f>
        <v>1.44484679221451</v>
      </c>
      <c r="L85" s="43" t="n">
        <v>0.583969121649149</v>
      </c>
      <c r="M85" s="44" t="n">
        <f aca="false">IFERROR(1/L85,"")</f>
        <v>1.71241930939082</v>
      </c>
      <c r="N85" s="43" t="n">
        <v>0.47374513206352</v>
      </c>
      <c r="O85" s="44" t="n">
        <f aca="false">IFERROR(1/N85,"")</f>
        <v>2.11083963152136</v>
      </c>
      <c r="P85" s="43" t="n">
        <v>0.369457298989573</v>
      </c>
      <c r="Q85" s="44" t="n">
        <f aca="false">IFERROR(1/P85,"")</f>
        <v>2.70667274062495</v>
      </c>
      <c r="R85" s="43" t="n">
        <v>0.277136371542701</v>
      </c>
      <c r="S85" s="44" t="n">
        <f aca="false">IFERROR(1/R85,"")</f>
        <v>3.60833186359995</v>
      </c>
    </row>
    <row r="86" customFormat="false" ht="18.75" hidden="false" customHeight="true" outlineLevel="0" collapsed="false">
      <c r="A86" s="35" t="n">
        <v>36</v>
      </c>
      <c r="B86" s="33" t="n">
        <v>46348</v>
      </c>
      <c r="C86" s="34" t="s">
        <v>100</v>
      </c>
      <c r="D86" s="34" t="s">
        <v>106</v>
      </c>
      <c r="E86" s="38" t="n">
        <v>6.01652393176653</v>
      </c>
      <c r="F86" s="38" t="n">
        <v>3.36975160304733</v>
      </c>
      <c r="G86" s="38" t="n">
        <v>9.38627553481385</v>
      </c>
      <c r="H86" s="36" t="n">
        <v>0.69162601098149</v>
      </c>
      <c r="I86" s="37" t="n">
        <f aca="false">IFERROR(1/H86,"")</f>
        <v>1.44586811965168</v>
      </c>
      <c r="J86" s="36" t="n">
        <v>0.575344488313979</v>
      </c>
      <c r="K86" s="37" t="n">
        <f aca="false">IFERROR(1/J86,"")</f>
        <v>1.73808912801173</v>
      </c>
      <c r="L86" s="36" t="n">
        <v>0.457596791641671</v>
      </c>
      <c r="M86" s="37" t="n">
        <f aca="false">IFERROR(1/L86,"")</f>
        <v>2.18533000725903</v>
      </c>
      <c r="N86" s="36" t="n">
        <v>0.347970590353074</v>
      </c>
      <c r="O86" s="37" t="n">
        <f aca="false">IFERROR(1/N86,"")</f>
        <v>2.87380608512154</v>
      </c>
      <c r="P86" s="36" t="n">
        <v>0.253223192531504</v>
      </c>
      <c r="Q86" s="37" t="n">
        <f aca="false">IFERROR(1/P86,"")</f>
        <v>3.94908535036967</v>
      </c>
      <c r="R86" s="36" t="n">
        <v>0.176605474174085</v>
      </c>
      <c r="S86" s="37" t="n">
        <f aca="false">IFERROR(1/R86,"")</f>
        <v>5.66233863744377</v>
      </c>
    </row>
    <row r="87" customFormat="false" ht="18.75" hidden="false" customHeight="true" outlineLevel="0" collapsed="false">
      <c r="A87" s="42" t="n">
        <v>36</v>
      </c>
      <c r="B87" s="40" t="n">
        <v>46348</v>
      </c>
      <c r="C87" s="41" t="s">
        <v>102</v>
      </c>
      <c r="D87" s="41" t="s">
        <v>8</v>
      </c>
      <c r="E87" s="45" t="n">
        <v>6.00252653922001</v>
      </c>
      <c r="F87" s="45" t="n">
        <v>4.49578398456447</v>
      </c>
      <c r="G87" s="45" t="n">
        <v>10.4983105237845</v>
      </c>
      <c r="H87" s="43" t="n">
        <v>0.788095882098222</v>
      </c>
      <c r="I87" s="44" t="n">
        <f aca="false">IFERROR(1/H87,"")</f>
        <v>1.26888113834272</v>
      </c>
      <c r="J87" s="43" t="n">
        <v>0.690149655416064</v>
      </c>
      <c r="K87" s="44" t="n">
        <f aca="false">IFERROR(1/J87,"")</f>
        <v>1.44896109438342</v>
      </c>
      <c r="L87" s="43" t="n">
        <v>0.581745310198941</v>
      </c>
      <c r="M87" s="44" t="n">
        <f aca="false">IFERROR(1/L87,"")</f>
        <v>1.71896529712982</v>
      </c>
      <c r="N87" s="43" t="n">
        <v>0.471432510727989</v>
      </c>
      <c r="O87" s="44" t="n">
        <f aca="false">IFERROR(1/N87,"")</f>
        <v>2.12119439632153</v>
      </c>
      <c r="P87" s="43" t="n">
        <v>0.367225700503287</v>
      </c>
      <c r="Q87" s="44" t="n">
        <f aca="false">IFERROR(1/P87,"")</f>
        <v>2.72312095430545</v>
      </c>
      <c r="R87" s="43" t="n">
        <v>0.275122378144274</v>
      </c>
      <c r="S87" s="44" t="n">
        <f aca="false">IFERROR(1/R87,"")</f>
        <v>3.63474613277586</v>
      </c>
    </row>
    <row r="88" customFormat="false" ht="18.75" hidden="false" customHeight="true" outlineLevel="0" collapsed="false">
      <c r="A88" s="35" t="n">
        <v>36</v>
      </c>
      <c r="B88" s="33" t="n">
        <v>46348</v>
      </c>
      <c r="C88" s="34" t="s">
        <v>88</v>
      </c>
      <c r="D88" s="34" t="s">
        <v>105</v>
      </c>
      <c r="E88" s="38" t="n">
        <v>5.50237606476118</v>
      </c>
      <c r="F88" s="38" t="n">
        <v>4.06734096649674</v>
      </c>
      <c r="G88" s="38" t="n">
        <v>9.56971703125792</v>
      </c>
      <c r="H88" s="36" t="n">
        <v>0.709430352018417</v>
      </c>
      <c r="I88" s="37" t="n">
        <f aca="false">IFERROR(1/H88,"")</f>
        <v>1.40958164131951</v>
      </c>
      <c r="J88" s="36" t="n">
        <v>0.595784595040888</v>
      </c>
      <c r="K88" s="37" t="n">
        <f aca="false">IFERROR(1/J88,"")</f>
        <v>1.67845897380306</v>
      </c>
      <c r="L88" s="36" t="n">
        <v>0.478906344123581</v>
      </c>
      <c r="M88" s="37" t="n">
        <f aca="false">IFERROR(1/L88,"")</f>
        <v>2.08809094360619</v>
      </c>
      <c r="N88" s="36" t="n">
        <v>0.368387988014554</v>
      </c>
      <c r="O88" s="37" t="n">
        <f aca="false">IFERROR(1/N88,"")</f>
        <v>2.71452933465489</v>
      </c>
      <c r="P88" s="36" t="n">
        <v>0.271375842423909</v>
      </c>
      <c r="Q88" s="37" t="n">
        <f aca="false">IFERROR(1/P88,"")</f>
        <v>3.68492637763212</v>
      </c>
      <c r="R88" s="36" t="n">
        <v>0.191699974853922</v>
      </c>
      <c r="S88" s="37" t="n">
        <f aca="false">IFERROR(1/R88,"")</f>
        <v>5.2164847739913</v>
      </c>
    </row>
    <row r="89" customFormat="false" ht="18.75" hidden="false" customHeight="true" outlineLevel="0" collapsed="false">
      <c r="A89" s="42" t="n">
        <v>37</v>
      </c>
      <c r="B89" s="40" t="n">
        <v>46355</v>
      </c>
      <c r="C89" s="41" t="s">
        <v>90</v>
      </c>
      <c r="D89" s="41" t="s">
        <v>84</v>
      </c>
      <c r="E89" s="45" t="n">
        <v>5.47347173219178</v>
      </c>
      <c r="F89" s="45" t="n">
        <v>3.82456693367013</v>
      </c>
      <c r="G89" s="45" t="n">
        <v>9.29803866586191</v>
      </c>
      <c r="H89" s="43" t="n">
        <v>0.682794291889818</v>
      </c>
      <c r="I89" s="44" t="n">
        <f aca="false">IFERROR(1/H89,"")</f>
        <v>1.46456994716846</v>
      </c>
      <c r="J89" s="43" t="n">
        <v>0.565321682273555</v>
      </c>
      <c r="K89" s="44" t="n">
        <f aca="false">IFERROR(1/J89,"")</f>
        <v>1.76890438020756</v>
      </c>
      <c r="L89" s="43" t="n">
        <v>0.447267734153972</v>
      </c>
      <c r="M89" s="44" t="n">
        <f aca="false">IFERROR(1/L89,"")</f>
        <v>2.23579731699526</v>
      </c>
      <c r="N89" s="43" t="n">
        <v>0.338187854544417</v>
      </c>
      <c r="O89" s="44" t="n">
        <f aca="false">IFERROR(1/N89,"")</f>
        <v>2.95693646759471</v>
      </c>
      <c r="P89" s="43" t="n">
        <v>0.244625796826479</v>
      </c>
      <c r="Q89" s="44" t="n">
        <f aca="false">IFERROR(1/P89,"")</f>
        <v>4.08787631138237</v>
      </c>
      <c r="R89" s="43" t="n">
        <v>0.169538948235081</v>
      </c>
      <c r="S89" s="44" t="n">
        <f aca="false">IFERROR(1/R89,"")</f>
        <v>5.8983496736892</v>
      </c>
    </row>
    <row r="90" customFormat="false" ht="18.75" hidden="false" customHeight="true" outlineLevel="0" collapsed="false">
      <c r="A90" s="35" t="n">
        <v>37</v>
      </c>
      <c r="B90" s="33" t="n">
        <v>46355</v>
      </c>
      <c r="C90" s="34" t="s">
        <v>93</v>
      </c>
      <c r="D90" s="34" t="s">
        <v>103</v>
      </c>
      <c r="E90" s="38" t="n">
        <v>5.12646352323406</v>
      </c>
      <c r="F90" s="38" t="n">
        <v>4.26754180648177</v>
      </c>
      <c r="G90" s="38" t="n">
        <v>9.39400532971583</v>
      </c>
      <c r="H90" s="36" t="n">
        <v>0.692391426432515</v>
      </c>
      <c r="I90" s="37" t="n">
        <f aca="false">IFERROR(1/H90,"")</f>
        <v>1.44426976104024</v>
      </c>
      <c r="J90" s="36" t="n">
        <v>0.576216726331783</v>
      </c>
      <c r="K90" s="37" t="n">
        <f aca="false">IFERROR(1/J90,"")</f>
        <v>1.7354581259139</v>
      </c>
      <c r="L90" s="36" t="n">
        <v>0.458499397229968</v>
      </c>
      <c r="M90" s="37" t="n">
        <f aca="false">IFERROR(1/L90,"")</f>
        <v>2.18102794909114</v>
      </c>
      <c r="N90" s="36" t="n">
        <v>0.348828985423878</v>
      </c>
      <c r="O90" s="37" t="n">
        <f aca="false">IFERROR(1/N90,"")</f>
        <v>2.86673425026551</v>
      </c>
      <c r="P90" s="36" t="n">
        <v>0.253980690201836</v>
      </c>
      <c r="Q90" s="37" t="n">
        <f aca="false">IFERROR(1/P90,"")</f>
        <v>3.93730719924144</v>
      </c>
      <c r="R90" s="36" t="n">
        <v>0.177230655169244</v>
      </c>
      <c r="S90" s="37" t="n">
        <f aca="false">IFERROR(1/R90,"")</f>
        <v>5.64236474240341</v>
      </c>
    </row>
    <row r="91" customFormat="false" ht="18.75" hidden="false" customHeight="true" outlineLevel="0" collapsed="false">
      <c r="A91" s="42" t="n">
        <v>37</v>
      </c>
      <c r="B91" s="40" t="n">
        <v>46355</v>
      </c>
      <c r="C91" s="41" t="s">
        <v>83</v>
      </c>
      <c r="D91" s="41" t="s">
        <v>102</v>
      </c>
      <c r="E91" s="45" t="n">
        <v>3.95691843170243</v>
      </c>
      <c r="F91" s="45" t="n">
        <v>6.59494599454096</v>
      </c>
      <c r="G91" s="45" t="n">
        <v>10.5518644262434</v>
      </c>
      <c r="H91" s="43" t="n">
        <v>0.792062903634925</v>
      </c>
      <c r="I91" s="44" t="n">
        <f aca="false">IFERROR(1/H91,"")</f>
        <v>1.26252598803809</v>
      </c>
      <c r="J91" s="43" t="n">
        <v>0.695098933174328</v>
      </c>
      <c r="K91" s="44" t="n">
        <f aca="false">IFERROR(1/J91,"")</f>
        <v>1.43864413002804</v>
      </c>
      <c r="L91" s="43" t="n">
        <v>0.587352495083448</v>
      </c>
      <c r="M91" s="44" t="n">
        <f aca="false">IFERROR(1/L91,"")</f>
        <v>1.70255512383228</v>
      </c>
      <c r="N91" s="43" t="n">
        <v>0.477270653035658</v>
      </c>
      <c r="O91" s="44" t="n">
        <f aca="false">IFERROR(1/N91,"")</f>
        <v>2.09524720122544</v>
      </c>
      <c r="P91" s="43" t="n">
        <v>0.372866100813462</v>
      </c>
      <c r="Q91" s="44" t="n">
        <f aca="false">IFERROR(1/P91,"")</f>
        <v>2.68192790339039</v>
      </c>
      <c r="R91" s="43" t="n">
        <v>0.280218926146682</v>
      </c>
      <c r="S91" s="44" t="n">
        <f aca="false">IFERROR(1/R91,"")</f>
        <v>3.56863832772147</v>
      </c>
    </row>
    <row r="92" customFormat="false" ht="18.75" hidden="false" customHeight="true" outlineLevel="0" collapsed="false">
      <c r="A92" s="35" t="n">
        <v>37</v>
      </c>
      <c r="B92" s="33" t="n">
        <v>46355</v>
      </c>
      <c r="C92" s="34" t="s">
        <v>101</v>
      </c>
      <c r="D92" s="34" t="s">
        <v>105</v>
      </c>
      <c r="E92" s="38" t="n">
        <v>5.46456922180497</v>
      </c>
      <c r="F92" s="38" t="n">
        <v>3.85266230292062</v>
      </c>
      <c r="G92" s="38" t="n">
        <v>9.31723152472559</v>
      </c>
      <c r="H92" s="36" t="n">
        <v>0.684730077291156</v>
      </c>
      <c r="I92" s="37" t="n">
        <f aca="false">IFERROR(1/H92,"")</f>
        <v>1.46042949355471</v>
      </c>
      <c r="J92" s="36" t="n">
        <v>0.567512033831305</v>
      </c>
      <c r="K92" s="37" t="n">
        <f aca="false">IFERROR(1/J92,"")</f>
        <v>1.76207717261772</v>
      </c>
      <c r="L92" s="36" t="n">
        <v>0.44951832083288</v>
      </c>
      <c r="M92" s="37" t="n">
        <f aca="false">IFERROR(1/L92,"")</f>
        <v>2.22460343362018</v>
      </c>
      <c r="N92" s="36" t="n">
        <v>0.340313074753156</v>
      </c>
      <c r="O92" s="37" t="n">
        <f aca="false">IFERROR(1/N92,"")</f>
        <v>2.93847070297062</v>
      </c>
      <c r="P92" s="36" t="n">
        <v>0.246487957296087</v>
      </c>
      <c r="Q92" s="37" t="n">
        <f aca="false">IFERROR(1/P92,"")</f>
        <v>4.05699333537329</v>
      </c>
      <c r="R92" s="36" t="n">
        <v>0.17106497001671</v>
      </c>
      <c r="S92" s="37" t="n">
        <f aca="false">IFERROR(1/R92,"")</f>
        <v>5.84573217943053</v>
      </c>
    </row>
    <row r="93" customFormat="false" ht="18.75" hidden="false" customHeight="true" outlineLevel="0" collapsed="false">
      <c r="A93" s="42" t="n">
        <v>37</v>
      </c>
      <c r="B93" s="40" t="n">
        <v>46355</v>
      </c>
      <c r="C93" s="41" t="s">
        <v>99</v>
      </c>
      <c r="D93" s="41" t="s">
        <v>8</v>
      </c>
      <c r="E93" s="45" t="n">
        <v>3.81039178509163</v>
      </c>
      <c r="F93" s="45" t="n">
        <v>6.06834906495269</v>
      </c>
      <c r="G93" s="45" t="n">
        <v>9.87874085004432</v>
      </c>
      <c r="H93" s="43" t="n">
        <v>0.737720753874941</v>
      </c>
      <c r="I93" s="44" t="n">
        <f aca="false">IFERROR(1/H93,"")</f>
        <v>1.35552645733147</v>
      </c>
      <c r="J93" s="43" t="n">
        <v>0.628932332842034</v>
      </c>
      <c r="K93" s="44" t="n">
        <f aca="false">IFERROR(1/J93,"")</f>
        <v>1.58999616935128</v>
      </c>
      <c r="L93" s="43" t="n">
        <v>0.514177291425006</v>
      </c>
      <c r="M93" s="44" t="n">
        <f aca="false">IFERROR(1/L93,"")</f>
        <v>1.94485446299772</v>
      </c>
      <c r="N93" s="43" t="n">
        <v>0.402880893342012</v>
      </c>
      <c r="O93" s="44" t="n">
        <f aca="false">IFERROR(1/N93,"")</f>
        <v>2.48212316971578</v>
      </c>
      <c r="P93" s="43" t="n">
        <v>0.302677731540813</v>
      </c>
      <c r="Q93" s="44" t="n">
        <f aca="false">IFERROR(1/P93,"")</f>
        <v>3.30384397593241</v>
      </c>
      <c r="R93" s="43" t="n">
        <v>0.218268345907054</v>
      </c>
      <c r="S93" s="44" t="n">
        <f aca="false">IFERROR(1/R93,"")</f>
        <v>4.58151637079722</v>
      </c>
    </row>
    <row r="94" customFormat="false" ht="18.75" hidden="false" customHeight="true" outlineLevel="0" collapsed="false">
      <c r="A94" s="35" t="n">
        <v>37</v>
      </c>
      <c r="B94" s="33" t="n">
        <v>46355</v>
      </c>
      <c r="C94" s="34" t="s">
        <v>98</v>
      </c>
      <c r="D94" s="34" t="s">
        <v>96</v>
      </c>
      <c r="E94" s="38" t="n">
        <v>5.09573644948621</v>
      </c>
      <c r="F94" s="38" t="n">
        <v>4.56043343480998</v>
      </c>
      <c r="G94" s="38" t="n">
        <v>9.65616988429619</v>
      </c>
      <c r="H94" s="36" t="n">
        <v>0.71756006606214</v>
      </c>
      <c r="I94" s="37" t="n">
        <f aca="false">IFERROR(1/H94,"")</f>
        <v>1.39361155573755</v>
      </c>
      <c r="J94" s="36" t="n">
        <v>0.605224504825866</v>
      </c>
      <c r="K94" s="37" t="n">
        <f aca="false">IFERROR(1/J94,"")</f>
        <v>1.6522794302384</v>
      </c>
      <c r="L94" s="36" t="n">
        <v>0.488860111600654</v>
      </c>
      <c r="M94" s="37" t="n">
        <f aca="false">IFERROR(1/L94,"")</f>
        <v>2.04557495338645</v>
      </c>
      <c r="N94" s="36" t="n">
        <v>0.378033719870618</v>
      </c>
      <c r="O94" s="37" t="n">
        <f aca="false">IFERROR(1/N94,"")</f>
        <v>2.6452666718256</v>
      </c>
      <c r="P94" s="36" t="n">
        <v>0.280049247349831</v>
      </c>
      <c r="Q94" s="37" t="n">
        <f aca="false">IFERROR(1/P94,"")</f>
        <v>3.57080052691883</v>
      </c>
      <c r="R94" s="36" t="n">
        <v>0.198994151796345</v>
      </c>
      <c r="S94" s="37" t="n">
        <f aca="false">IFERROR(1/R94,"")</f>
        <v>5.02527331066202</v>
      </c>
    </row>
    <row r="95" customFormat="false" ht="18.75" hidden="false" customHeight="true" outlineLevel="0" collapsed="false">
      <c r="A95" s="42" t="n">
        <v>37</v>
      </c>
      <c r="B95" s="40" t="n">
        <v>46355</v>
      </c>
      <c r="C95" s="41" t="s">
        <v>100</v>
      </c>
      <c r="D95" s="41" t="s">
        <v>91</v>
      </c>
      <c r="E95" s="45" t="n">
        <v>6.64922664482532</v>
      </c>
      <c r="F95" s="45" t="n">
        <v>4.15494795174783</v>
      </c>
      <c r="G95" s="45" t="n">
        <v>10.8041745965732</v>
      </c>
      <c r="H95" s="43" t="n">
        <v>0.809953483510333</v>
      </c>
      <c r="I95" s="44" t="n">
        <f aca="false">IFERROR(1/H95,"")</f>
        <v>1.23463880378168</v>
      </c>
      <c r="J95" s="43" t="n">
        <v>0.717670351429543</v>
      </c>
      <c r="K95" s="44" t="n">
        <f aca="false">IFERROR(1/J95,"")</f>
        <v>1.39339739757687</v>
      </c>
      <c r="L95" s="43" t="n">
        <v>0.613212633164723</v>
      </c>
      <c r="M95" s="44" t="n">
        <f aca="false">IFERROR(1/L95,"")</f>
        <v>1.63075570514441</v>
      </c>
      <c r="N95" s="43" t="n">
        <v>0.50450025941186</v>
      </c>
      <c r="O95" s="44" t="n">
        <f aca="false">IFERROR(1/N95,"")</f>
        <v>1.98215953578654</v>
      </c>
      <c r="P95" s="43" t="n">
        <v>0.39947145948906</v>
      </c>
      <c r="Q95" s="44" t="n">
        <f aca="false">IFERROR(1/P95,"")</f>
        <v>2.5033077488916</v>
      </c>
      <c r="R95" s="43" t="n">
        <v>0.304531984569329</v>
      </c>
      <c r="S95" s="44" t="n">
        <f aca="false">IFERROR(1/R95,"")</f>
        <v>3.28372732806443</v>
      </c>
    </row>
    <row r="96" customFormat="false" ht="18.75" hidden="false" customHeight="true" outlineLevel="0" collapsed="false">
      <c r="A96" s="35" t="n">
        <v>37</v>
      </c>
      <c r="B96" s="33" t="n">
        <v>46355</v>
      </c>
      <c r="C96" s="34" t="s">
        <v>95</v>
      </c>
      <c r="D96" s="34" t="s">
        <v>92</v>
      </c>
      <c r="E96" s="38" t="n">
        <v>6.00581914173815</v>
      </c>
      <c r="F96" s="38" t="n">
        <v>5.06804080318264</v>
      </c>
      <c r="G96" s="38" t="n">
        <v>11.0738599449208</v>
      </c>
      <c r="H96" s="36" t="n">
        <v>0.827659040597607</v>
      </c>
      <c r="I96" s="37" t="n">
        <f aca="false">IFERROR(1/H96,"")</f>
        <v>1.20822700042998</v>
      </c>
      <c r="J96" s="36" t="n">
        <v>0.740432662508302</v>
      </c>
      <c r="K96" s="37" t="n">
        <f aca="false">IFERROR(1/J96,"")</f>
        <v>1.35056170619538</v>
      </c>
      <c r="L96" s="36" t="n">
        <v>0.639786920401748</v>
      </c>
      <c r="M96" s="37" t="n">
        <f aca="false">IFERROR(1/L96,"")</f>
        <v>1.56302038711898</v>
      </c>
      <c r="N96" s="36" t="n">
        <v>0.533013487024403</v>
      </c>
      <c r="O96" s="37" t="n">
        <f aca="false">IFERROR(1/N96,"")</f>
        <v>1.87612513443627</v>
      </c>
      <c r="P96" s="36" t="n">
        <v>0.427860408882036</v>
      </c>
      <c r="Q96" s="37" t="n">
        <f aca="false">IFERROR(1/P96,"")</f>
        <v>2.33721087354849</v>
      </c>
      <c r="R96" s="36" t="n">
        <v>0.330967996167536</v>
      </c>
      <c r="S96" s="37" t="n">
        <f aca="false">IFERROR(1/R96,"")</f>
        <v>3.02144017421491</v>
      </c>
    </row>
    <row r="97" customFormat="false" ht="18.75" hidden="false" customHeight="true" outlineLevel="0" collapsed="false">
      <c r="A97" s="42" t="n">
        <v>37</v>
      </c>
      <c r="B97" s="40" t="n">
        <v>46355</v>
      </c>
      <c r="C97" s="41" t="s">
        <v>87</v>
      </c>
      <c r="D97" s="41" t="s">
        <v>104</v>
      </c>
      <c r="E97" s="45" t="n">
        <v>8.18347832826532</v>
      </c>
      <c r="F97" s="45" t="n">
        <v>3.69724333510093</v>
      </c>
      <c r="G97" s="45" t="n">
        <v>11.8807216633663</v>
      </c>
      <c r="H97" s="43" t="n">
        <v>0.872552692950097</v>
      </c>
      <c r="I97" s="44" t="n">
        <f aca="false">IFERROR(1/H97,"")</f>
        <v>1.14606259092388</v>
      </c>
      <c r="J97" s="43" t="n">
        <v>0.800267651578996</v>
      </c>
      <c r="K97" s="44" t="n">
        <f aca="false">IFERROR(1/J97,"")</f>
        <v>1.24958193427776</v>
      </c>
      <c r="L97" s="43" t="n">
        <v>0.712223258718811</v>
      </c>
      <c r="M97" s="44" t="n">
        <f aca="false">IFERROR(1/L97,"")</f>
        <v>1.40405411892734</v>
      </c>
      <c r="N97" s="43" t="n">
        <v>0.613623646545311</v>
      </c>
      <c r="O97" s="44" t="n">
        <f aca="false">IFERROR(1/N97,"")</f>
        <v>1.62966340301581</v>
      </c>
      <c r="P97" s="43" t="n">
        <v>0.511119911349862</v>
      </c>
      <c r="Q97" s="44" t="n">
        <f aca="false">IFERROR(1/P97,"")</f>
        <v>1.95648805259613</v>
      </c>
      <c r="R97" s="43" t="n">
        <v>0.411415775560989</v>
      </c>
      <c r="S97" s="44" t="n">
        <f aca="false">IFERROR(1/R97,"")</f>
        <v>2.43063115077793</v>
      </c>
    </row>
    <row r="98" customFormat="false" ht="18.75" hidden="false" customHeight="true" outlineLevel="0" collapsed="false">
      <c r="A98" s="35" t="n">
        <v>37</v>
      </c>
      <c r="B98" s="33" t="n">
        <v>46355</v>
      </c>
      <c r="C98" s="34" t="s">
        <v>106</v>
      </c>
      <c r="D98" s="34" t="s">
        <v>88</v>
      </c>
      <c r="E98" s="38" t="n">
        <v>5.01790820512517</v>
      </c>
      <c r="F98" s="38" t="n">
        <v>4.30398601566073</v>
      </c>
      <c r="G98" s="38" t="n">
        <v>9.3218942207859</v>
      </c>
      <c r="H98" s="36" t="n">
        <v>0.685199118272273</v>
      </c>
      <c r="I98" s="37" t="n">
        <f aca="false">IFERROR(1/H98,"")</f>
        <v>1.45942978228211</v>
      </c>
      <c r="J98" s="36" t="n">
        <v>0.568043303587201</v>
      </c>
      <c r="K98" s="37" t="n">
        <f aca="false">IFERROR(1/J98,"")</f>
        <v>1.76042916743316</v>
      </c>
      <c r="L98" s="36" t="n">
        <v>0.450064763503532</v>
      </c>
      <c r="M98" s="37" t="n">
        <f aca="false">IFERROR(1/L98,"")</f>
        <v>2.22190244847318</v>
      </c>
      <c r="N98" s="36" t="n">
        <v>0.340829610400485</v>
      </c>
      <c r="O98" s="37" t="n">
        <f aca="false">IFERROR(1/N98,"")</f>
        <v>2.93401737843425</v>
      </c>
      <c r="P98" s="36" t="n">
        <v>0.246941022669333</v>
      </c>
      <c r="Q98" s="37" t="n">
        <f aca="false">IFERROR(1/P98,"")</f>
        <v>4.04954992568833</v>
      </c>
      <c r="R98" s="36" t="n">
        <v>0.171436635143771</v>
      </c>
      <c r="S98" s="37" t="n">
        <f aca="false">IFERROR(1/R98,"")</f>
        <v>5.83305895593071</v>
      </c>
    </row>
    <row r="99" customFormat="false" ht="18.75" hidden="false" customHeight="true" outlineLevel="0" collapsed="false">
      <c r="A99" s="42" t="n">
        <v>38</v>
      </c>
      <c r="B99" s="40" t="n">
        <v>46358</v>
      </c>
      <c r="C99" s="41" t="s">
        <v>92</v>
      </c>
      <c r="D99" s="41" t="s">
        <v>87</v>
      </c>
      <c r="E99" s="45" t="n">
        <v>5.54506643160233</v>
      </c>
      <c r="F99" s="45" t="n">
        <v>4.72283090597142</v>
      </c>
      <c r="G99" s="45" t="n">
        <v>10.2678973375738</v>
      </c>
      <c r="H99" s="43" t="n">
        <v>0.770334411092119</v>
      </c>
      <c r="I99" s="44" t="n">
        <f aca="false">IFERROR(1/H99,"")</f>
        <v>1.29813751742218</v>
      </c>
      <c r="J99" s="43" t="n">
        <v>0.668227603962158</v>
      </c>
      <c r="K99" s="44" t="n">
        <f aca="false">IFERROR(1/J99,"")</f>
        <v>1.49649609514879</v>
      </c>
      <c r="L99" s="43" t="n">
        <v>0.557174488027437</v>
      </c>
      <c r="M99" s="44" t="n">
        <f aca="false">IFERROR(1/L99,"")</f>
        <v>1.79476989971364</v>
      </c>
      <c r="N99" s="43" t="n">
        <v>0.446122321503749</v>
      </c>
      <c r="O99" s="44" t="n">
        <f aca="false">IFERROR(1/N99,"")</f>
        <v>2.24153769448094</v>
      </c>
      <c r="P99" s="43" t="n">
        <v>0.34303285229255</v>
      </c>
      <c r="Q99" s="44" t="n">
        <f aca="false">IFERROR(1/P99,"")</f>
        <v>2.91517268190735</v>
      </c>
      <c r="R99" s="43" t="n">
        <v>0.253494196705616</v>
      </c>
      <c r="S99" s="44" t="n">
        <f aca="false">IFERROR(1/R99,"")</f>
        <v>3.94486348403985</v>
      </c>
    </row>
    <row r="100" customFormat="false" ht="18.75" hidden="false" customHeight="true" outlineLevel="0" collapsed="false">
      <c r="A100" s="35" t="n">
        <v>38</v>
      </c>
      <c r="B100" s="33" t="n">
        <v>46358</v>
      </c>
      <c r="C100" s="34" t="s">
        <v>103</v>
      </c>
      <c r="D100" s="34" t="s">
        <v>90</v>
      </c>
      <c r="E100" s="38" t="n">
        <v>5.54651461030343</v>
      </c>
      <c r="F100" s="38" t="n">
        <v>4.49508651122456</v>
      </c>
      <c r="G100" s="38" t="n">
        <v>10.041601121528</v>
      </c>
      <c r="H100" s="36" t="n">
        <v>0.751774516899683</v>
      </c>
      <c r="I100" s="37" t="n">
        <f aca="false">IFERROR(1/H100,"")</f>
        <v>1.33018608308778</v>
      </c>
      <c r="J100" s="36" t="n">
        <v>0.645718247696727</v>
      </c>
      <c r="K100" s="37" t="n">
        <f aca="false">IFERROR(1/J100,"")</f>
        <v>1.54866306406392</v>
      </c>
      <c r="L100" s="36" t="n">
        <v>0.532383885238289</v>
      </c>
      <c r="M100" s="37" t="n">
        <f aca="false">IFERROR(1/L100,"")</f>
        <v>1.87834385624278</v>
      </c>
      <c r="N100" s="36" t="n">
        <v>0.421029557370338</v>
      </c>
      <c r="O100" s="37" t="n">
        <f aca="false">IFERROR(1/N100,"")</f>
        <v>2.37513016009087</v>
      </c>
      <c r="P100" s="36" t="n">
        <v>0.319464673431317</v>
      </c>
      <c r="Q100" s="37" t="n">
        <f aca="false">IFERROR(1/P100,"")</f>
        <v>3.13023655873799</v>
      </c>
      <c r="R100" s="36" t="n">
        <v>0.232790631443651</v>
      </c>
      <c r="S100" s="37" t="n">
        <f aca="false">IFERROR(1/R100,"")</f>
        <v>4.29570551786599</v>
      </c>
    </row>
    <row r="101" customFormat="false" ht="18.75" hidden="false" customHeight="true" outlineLevel="0" collapsed="false">
      <c r="A101" s="42" t="n">
        <v>38</v>
      </c>
      <c r="B101" s="40" t="n">
        <v>46358</v>
      </c>
      <c r="C101" s="41" t="s">
        <v>91</v>
      </c>
      <c r="D101" s="41" t="s">
        <v>98</v>
      </c>
      <c r="E101" s="45" t="n">
        <v>5.47185149498324</v>
      </c>
      <c r="F101" s="45" t="n">
        <v>4.84121995270914</v>
      </c>
      <c r="G101" s="45" t="n">
        <v>10.3130714476924</v>
      </c>
      <c r="H101" s="43" t="n">
        <v>0.773906190119756</v>
      </c>
      <c r="I101" s="44" t="n">
        <f aca="false">IFERROR(1/H101,"")</f>
        <v>1.2921462740145</v>
      </c>
      <c r="J101" s="43" t="n">
        <v>0.67260548467322</v>
      </c>
      <c r="K101" s="44" t="n">
        <f aca="false">IFERROR(1/J101,"")</f>
        <v>1.48675564322203</v>
      </c>
      <c r="L101" s="43" t="n">
        <v>0.562047179353094</v>
      </c>
      <c r="M101" s="44" t="n">
        <f aca="false">IFERROR(1/L101,"")</f>
        <v>1.77921006765123</v>
      </c>
      <c r="N101" s="43" t="n">
        <v>0.451106579178908</v>
      </c>
      <c r="O101" s="44" t="n">
        <f aca="false">IFERROR(1/N101,"")</f>
        <v>2.21677103849865</v>
      </c>
      <c r="P101" s="43" t="n">
        <v>0.347763682692429</v>
      </c>
      <c r="Q101" s="44" t="n">
        <f aca="false">IFERROR(1/P101,"")</f>
        <v>2.87551590280468</v>
      </c>
      <c r="R101" s="43" t="n">
        <v>0.257693769064189</v>
      </c>
      <c r="S101" s="44" t="n">
        <f aca="false">IFERROR(1/R101,"")</f>
        <v>3.88057500820251</v>
      </c>
    </row>
    <row r="102" customFormat="false" ht="18.75" hidden="false" customHeight="true" outlineLevel="0" collapsed="false">
      <c r="A102" s="35" t="n">
        <v>38</v>
      </c>
      <c r="B102" s="33" t="n">
        <v>46358</v>
      </c>
      <c r="C102" s="34" t="s">
        <v>96</v>
      </c>
      <c r="D102" s="34" t="s">
        <v>100</v>
      </c>
      <c r="E102" s="38" t="n">
        <v>5.56376070281582</v>
      </c>
      <c r="F102" s="38" t="n">
        <v>4.35604386293197</v>
      </c>
      <c r="G102" s="38" t="n">
        <v>9.91980456574779</v>
      </c>
      <c r="H102" s="36" t="n">
        <v>0.741319690103726</v>
      </c>
      <c r="I102" s="37" t="n">
        <f aca="false">IFERROR(1/H102,"")</f>
        <v>1.34894568881622</v>
      </c>
      <c r="J102" s="36" t="n">
        <v>0.633210237824357</v>
      </c>
      <c r="K102" s="37" t="n">
        <f aca="false">IFERROR(1/J102,"")</f>
        <v>1.57925431438995</v>
      </c>
      <c r="L102" s="36" t="n">
        <v>0.518794863819286</v>
      </c>
      <c r="M102" s="37" t="n">
        <f aca="false">IFERROR(1/L102,"")</f>
        <v>1.92754414073832</v>
      </c>
      <c r="N102" s="36" t="n">
        <v>0.407461498529204</v>
      </c>
      <c r="O102" s="37" t="n">
        <f aca="false">IFERROR(1/N102,"")</f>
        <v>2.45421960997458</v>
      </c>
      <c r="P102" s="36" t="n">
        <v>0.30689408756315</v>
      </c>
      <c r="Q102" s="37" t="n">
        <f aca="false">IFERROR(1/P102,"")</f>
        <v>3.25845312935274</v>
      </c>
      <c r="R102" s="36" t="n">
        <v>0.221898143816506</v>
      </c>
      <c r="S102" s="37" t="n">
        <f aca="false">IFERROR(1/R102,"")</f>
        <v>4.50657217226174</v>
      </c>
    </row>
    <row r="103" customFormat="false" ht="18.75" hidden="false" customHeight="true" outlineLevel="0" collapsed="false">
      <c r="A103" s="42" t="n">
        <v>38</v>
      </c>
      <c r="B103" s="40" t="n">
        <v>46358</v>
      </c>
      <c r="C103" s="41" t="s">
        <v>8</v>
      </c>
      <c r="D103" s="41" t="s">
        <v>83</v>
      </c>
      <c r="E103" s="45" t="n">
        <v>7.60717997033571</v>
      </c>
      <c r="F103" s="45" t="n">
        <v>2.99227596432649</v>
      </c>
      <c r="G103" s="45" t="n">
        <v>10.5994559346622</v>
      </c>
      <c r="H103" s="43" t="n">
        <v>0.795537928571291</v>
      </c>
      <c r="I103" s="44" t="n">
        <f aca="false">IFERROR(1/H103,"")</f>
        <v>1.25701109159673</v>
      </c>
      <c r="J103" s="43" t="n">
        <v>0.699450723533735</v>
      </c>
      <c r="K103" s="44" t="n">
        <f aca="false">IFERROR(1/J103,"")</f>
        <v>1.42969328124767</v>
      </c>
      <c r="L103" s="43" t="n">
        <v>0.592301337887351</v>
      </c>
      <c r="M103" s="44" t="n">
        <f aca="false">IFERROR(1/L103,"")</f>
        <v>1.6883298011226</v>
      </c>
      <c r="N103" s="43" t="n">
        <v>0.482442741895319</v>
      </c>
      <c r="O103" s="44" t="n">
        <f aca="false">IFERROR(1/N103,"")</f>
        <v>2.07278483674853</v>
      </c>
      <c r="P103" s="43" t="n">
        <v>0.377881824692216</v>
      </c>
      <c r="Q103" s="44" t="n">
        <f aca="false">IFERROR(1/P103,"")</f>
        <v>2.64632997581849</v>
      </c>
      <c r="R103" s="43" t="n">
        <v>0.284768095201626</v>
      </c>
      <c r="S103" s="44" t="n">
        <f aca="false">IFERROR(1/R103,"")</f>
        <v>3.51162934630006</v>
      </c>
    </row>
    <row r="104" customFormat="false" ht="18.75" hidden="false" customHeight="true" outlineLevel="0" collapsed="false">
      <c r="A104" s="35" t="n">
        <v>38</v>
      </c>
      <c r="B104" s="33" t="n">
        <v>46358</v>
      </c>
      <c r="C104" s="34" t="s">
        <v>105</v>
      </c>
      <c r="D104" s="34" t="s">
        <v>95</v>
      </c>
      <c r="E104" s="38" t="n">
        <v>5.33364622115217</v>
      </c>
      <c r="F104" s="38" t="n">
        <v>4.90361937623676</v>
      </c>
      <c r="G104" s="38" t="n">
        <v>10.2372655973889</v>
      </c>
      <c r="H104" s="36" t="n">
        <v>0.767887380842511</v>
      </c>
      <c r="I104" s="37" t="n">
        <f aca="false">IFERROR(1/H104,"")</f>
        <v>1.30227429822173</v>
      </c>
      <c r="J104" s="36" t="n">
        <v>0.665237021347745</v>
      </c>
      <c r="K104" s="37" t="n">
        <f aca="false">IFERROR(1/J104,"")</f>
        <v>1.50322361490651</v>
      </c>
      <c r="L104" s="36" t="n">
        <v>0.553855561225361</v>
      </c>
      <c r="M104" s="37" t="n">
        <f aca="false">IFERROR(1/L104,"")</f>
        <v>1.8055248877299</v>
      </c>
      <c r="N104" s="36" t="n">
        <v>0.442737265012541</v>
      </c>
      <c r="O104" s="37" t="n">
        <f aca="false">IFERROR(1/N104,"")</f>
        <v>2.25867592142187</v>
      </c>
      <c r="P104" s="36" t="n">
        <v>0.339829245234542</v>
      </c>
      <c r="Q104" s="37" t="n">
        <f aca="false">IFERROR(1/P104,"")</f>
        <v>2.94265433014697</v>
      </c>
      <c r="R104" s="36" t="n">
        <v>0.250658608719826</v>
      </c>
      <c r="S104" s="37" t="n">
        <f aca="false">IFERROR(1/R104,"")</f>
        <v>3.98948994852897</v>
      </c>
    </row>
    <row r="105" customFormat="false" ht="18.75" hidden="false" customHeight="true" outlineLevel="0" collapsed="false">
      <c r="A105" s="42" t="n">
        <v>38</v>
      </c>
      <c r="B105" s="40" t="n">
        <v>46358</v>
      </c>
      <c r="C105" s="41" t="s">
        <v>102</v>
      </c>
      <c r="D105" s="41" t="s">
        <v>99</v>
      </c>
      <c r="E105" s="45" t="n">
        <v>8.45257714310038</v>
      </c>
      <c r="F105" s="45" t="n">
        <v>3.13612994872996</v>
      </c>
      <c r="G105" s="45" t="n">
        <v>11.5887070918303</v>
      </c>
      <c r="H105" s="43" t="n">
        <v>0.857631011916919</v>
      </c>
      <c r="I105" s="44" t="n">
        <f aca="false">IFERROR(1/H105,"")</f>
        <v>1.16600261196813</v>
      </c>
      <c r="J105" s="43" t="n">
        <v>0.780016571192823</v>
      </c>
      <c r="K105" s="44" t="n">
        <f aca="false">IFERROR(1/J105,"")</f>
        <v>1.28202404529787</v>
      </c>
      <c r="L105" s="43" t="n">
        <v>0.687264845121059</v>
      </c>
      <c r="M105" s="44" t="n">
        <f aca="false">IFERROR(1/L105,"")</f>
        <v>1.45504314253678</v>
      </c>
      <c r="N105" s="43" t="n">
        <v>0.585353694943307</v>
      </c>
      <c r="O105" s="44" t="n">
        <f aca="false">IFERROR(1/N105,"")</f>
        <v>1.70836881809869</v>
      </c>
      <c r="P105" s="43" t="n">
        <v>0.481406592787182</v>
      </c>
      <c r="Q105" s="44" t="n">
        <f aca="false">IFERROR(1/P105,"")</f>
        <v>2.07724616775674</v>
      </c>
      <c r="R105" s="43" t="n">
        <v>0.38220650241581</v>
      </c>
      <c r="S105" s="44" t="n">
        <f aca="false">IFERROR(1/R105,"")</f>
        <v>2.61638667495008</v>
      </c>
    </row>
    <row r="106" customFormat="false" ht="18.75" hidden="false" customHeight="true" outlineLevel="0" collapsed="false">
      <c r="A106" s="35" t="n">
        <v>38</v>
      </c>
      <c r="B106" s="33" t="n">
        <v>46358</v>
      </c>
      <c r="C106" s="34" t="s">
        <v>104</v>
      </c>
      <c r="D106" s="34" t="s">
        <v>101</v>
      </c>
      <c r="E106" s="38" t="n">
        <v>4.97101044731738</v>
      </c>
      <c r="F106" s="38" t="n">
        <v>5.69443205006138</v>
      </c>
      <c r="G106" s="38" t="n">
        <v>10.6654424973788</v>
      </c>
      <c r="H106" s="36" t="n">
        <v>0.800278341216616</v>
      </c>
      <c r="I106" s="37" t="n">
        <f aca="false">IFERROR(1/H106,"")</f>
        <v>1.24956524311249</v>
      </c>
      <c r="J106" s="36" t="n">
        <v>0.705412093948449</v>
      </c>
      <c r="K106" s="37" t="n">
        <f aca="false">IFERROR(1/J106,"")</f>
        <v>1.41761107950763</v>
      </c>
      <c r="L106" s="36" t="n">
        <v>0.599109064780676</v>
      </c>
      <c r="M106" s="37" t="n">
        <f aca="false">IFERROR(1/L106,"")</f>
        <v>1.66914516702578</v>
      </c>
      <c r="N106" s="36" t="n">
        <v>0.489587461196173</v>
      </c>
      <c r="O106" s="37" t="n">
        <f aca="false">IFERROR(1/N106,"")</f>
        <v>2.04253597009362</v>
      </c>
      <c r="P106" s="36" t="n">
        <v>0.384839656799414</v>
      </c>
      <c r="Q106" s="37" t="n">
        <f aca="false">IFERROR(1/P106,"")</f>
        <v>2.59848480355864</v>
      </c>
      <c r="R106" s="36" t="n">
        <v>0.291105244468546</v>
      </c>
      <c r="S106" s="37" t="n">
        <f aca="false">IFERROR(1/R106,"")</f>
        <v>3.43518373166256</v>
      </c>
    </row>
    <row r="107" customFormat="false" ht="18.75" hidden="false" customHeight="true" outlineLevel="0" collapsed="false">
      <c r="A107" s="42" t="n">
        <v>38</v>
      </c>
      <c r="B107" s="40" t="n">
        <v>46358</v>
      </c>
      <c r="C107" s="41" t="s">
        <v>88</v>
      </c>
      <c r="D107" s="41" t="s">
        <v>93</v>
      </c>
      <c r="E107" s="45" t="n">
        <v>5.05536639219216</v>
      </c>
      <c r="F107" s="45" t="n">
        <v>4.34634036944825</v>
      </c>
      <c r="G107" s="45" t="n">
        <v>9.4017067616404</v>
      </c>
      <c r="H107" s="43" t="n">
        <v>0.693152706935737</v>
      </c>
      <c r="I107" s="44" t="n">
        <f aca="false">IFERROR(1/H107,"")</f>
        <v>1.44268353855352</v>
      </c>
      <c r="J107" s="43" t="n">
        <v>0.577084824733829</v>
      </c>
      <c r="K107" s="44" t="n">
        <f aca="false">IFERROR(1/J107,"")</f>
        <v>1.73284750722952</v>
      </c>
      <c r="L107" s="43" t="n">
        <v>0.45939831181003</v>
      </c>
      <c r="M107" s="44" t="n">
        <f aca="false">IFERROR(1/L107,"")</f>
        <v>2.17676028468628</v>
      </c>
      <c r="N107" s="43" t="n">
        <v>0.349684434345983</v>
      </c>
      <c r="O107" s="44" t="n">
        <f aca="false">IFERROR(1/N107,"")</f>
        <v>2.85972122799892</v>
      </c>
      <c r="P107" s="43" t="n">
        <v>0.254736086116002</v>
      </c>
      <c r="Q107" s="44" t="n">
        <f aca="false">IFERROR(1/P107,"")</f>
        <v>3.9256314849111</v>
      </c>
      <c r="R107" s="43" t="n">
        <v>0.177854512896711</v>
      </c>
      <c r="S107" s="44" t="n">
        <f aca="false">IFERROR(1/R107,"")</f>
        <v>5.62257310041243</v>
      </c>
    </row>
    <row r="108" customFormat="false" ht="18.75" hidden="false" customHeight="true" outlineLevel="0" collapsed="false">
      <c r="A108" s="35" t="n">
        <v>38</v>
      </c>
      <c r="B108" s="33" t="n">
        <v>46358</v>
      </c>
      <c r="C108" s="34" t="s">
        <v>84</v>
      </c>
      <c r="D108" s="34" t="s">
        <v>106</v>
      </c>
      <c r="E108" s="38" t="n">
        <v>5.10216686062359</v>
      </c>
      <c r="F108" s="38" t="n">
        <v>3.5387112043538</v>
      </c>
      <c r="G108" s="38" t="n">
        <v>8.64087806497739</v>
      </c>
      <c r="H108" s="36" t="n">
        <v>0.611670850424313</v>
      </c>
      <c r="I108" s="37" t="n">
        <f aca="false">IFERROR(1/H108,"")</f>
        <v>1.63486620182457</v>
      </c>
      <c r="J108" s="36" t="n">
        <v>0.487270175753859</v>
      </c>
      <c r="K108" s="37" t="n">
        <f aca="false">IFERROR(1/J108,"")</f>
        <v>2.05224955221791</v>
      </c>
      <c r="L108" s="36" t="n">
        <v>0.369463622295147</v>
      </c>
      <c r="M108" s="37" t="n">
        <f aca="false">IFERROR(1/L108,"")</f>
        <v>2.70662641639222</v>
      </c>
      <c r="N108" s="36" t="n">
        <v>0.266889832914629</v>
      </c>
      <c r="O108" s="37" t="n">
        <f aca="false">IFERROR(1/N108,"")</f>
        <v>3.74686434878122</v>
      </c>
      <c r="P108" s="36" t="n">
        <v>0.183982235447776</v>
      </c>
      <c r="Q108" s="37" t="n">
        <f aca="false">IFERROR(1/P108,"")</f>
        <v>5.43530736848695</v>
      </c>
      <c r="R108" s="36" t="n">
        <v>0.121283142483366</v>
      </c>
      <c r="S108" s="37" t="n">
        <f aca="false">IFERROR(1/R108,"")</f>
        <v>8.24516894536396</v>
      </c>
    </row>
    <row r="110" customFormat="false" ht="15" hidden="false" customHeight="false" outlineLevel="0" collapsed="false">
      <c r="A110" s="22" t="s">
        <v>343</v>
      </c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</row>
  </sheetData>
  <autoFilter ref="A5:S108"/>
  <mergeCells count="10">
    <mergeCell ref="A2:S2"/>
    <mergeCell ref="A4:D4"/>
    <mergeCell ref="E4:G4"/>
    <mergeCell ref="H4:I4"/>
    <mergeCell ref="J4:K4"/>
    <mergeCell ref="L4:M4"/>
    <mergeCell ref="N4:O4"/>
    <mergeCell ref="P4:Q4"/>
    <mergeCell ref="R4:S4"/>
    <mergeCell ref="A110:S110"/>
  </mergeCells>
  <conditionalFormatting sqref="H6:H108">
    <cfRule type="colorScale" priority="2">
      <colorScale>
        <cfvo type="num" val="0"/>
        <cfvo type="num" val="1"/>
        <color rgb="FFFFFFFF"/>
        <color rgb="FF9EC5F4"/>
      </colorScale>
    </cfRule>
  </conditionalFormatting>
  <conditionalFormatting sqref="J6:J108">
    <cfRule type="colorScale" priority="3">
      <colorScale>
        <cfvo type="num" val="0"/>
        <cfvo type="num" val="1"/>
        <color rgb="FFFFFFFF"/>
        <color rgb="FF9EC5F4"/>
      </colorScale>
    </cfRule>
  </conditionalFormatting>
  <conditionalFormatting sqref="L6:L108">
    <cfRule type="colorScale" priority="4">
      <colorScale>
        <cfvo type="num" val="0"/>
        <cfvo type="num" val="1"/>
        <color rgb="FFFFFFFF"/>
        <color rgb="FF9EC5F4"/>
      </colorScale>
    </cfRule>
  </conditionalFormatting>
  <conditionalFormatting sqref="N6:N108">
    <cfRule type="colorScale" priority="5">
      <colorScale>
        <cfvo type="num" val="0"/>
        <cfvo type="num" val="1"/>
        <color rgb="FFFFFFFF"/>
        <color rgb="FF9EC5F4"/>
      </colorScale>
    </cfRule>
  </conditionalFormatting>
  <conditionalFormatting sqref="P6:P108">
    <cfRule type="colorScale" priority="6">
      <colorScale>
        <cfvo type="num" val="0"/>
        <cfvo type="num" val="1"/>
        <color rgb="FFFFFFFF"/>
        <color rgb="FF9EC5F4"/>
      </colorScale>
    </cfRule>
  </conditionalFormatting>
  <conditionalFormatting sqref="R6:R108">
    <cfRule type="colorScale" priority="7">
      <colorScale>
        <cfvo type="num" val="0"/>
        <cfvo type="num" val="1"/>
        <color rgb="FFFFFFFF"/>
        <color rgb="FF9EC5F4"/>
      </colorScale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5309"/>
    <pageSetUpPr fitToPage="true"/>
  </sheetPr>
  <dimension ref="A1:Q1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4" min="3" style="0" width="18"/>
    <col collapsed="false" customWidth="true" hidden="false" outlineLevel="0" max="7" min="5" style="0" width="11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9"/>
    <col collapsed="false" customWidth="true" hidden="false" outlineLevel="0" max="12" min="12" style="0" width="8"/>
    <col collapsed="false" customWidth="true" hidden="false" outlineLevel="0" max="13" min="13" style="0" width="9"/>
    <col collapsed="false" customWidth="true" hidden="false" outlineLevel="0" max="14" min="14" style="0" width="8"/>
    <col collapsed="false" customWidth="true" hidden="false" outlineLevel="0" max="15" min="15" style="0" width="9"/>
    <col collapsed="false" customWidth="true" hidden="false" outlineLevel="0" max="16" min="16" style="0" width="8"/>
    <col collapsed="false" customWidth="true" hidden="false" outlineLevel="0" max="17" min="17" style="0" width="9"/>
  </cols>
  <sheetData>
    <row r="1" customFormat="false" ht="30" hidden="false" customHeight="true" outlineLevel="0" collapsed="false">
      <c r="A1" s="23" t="s">
        <v>344</v>
      </c>
    </row>
    <row r="2" customFormat="false" ht="15.75" hidden="false" customHeight="true" outlineLevel="0" collapsed="false">
      <c r="A2" s="24" t="s">
        <v>345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</row>
    <row r="4" customFormat="false" ht="19.5" hidden="false" customHeight="true" outlineLevel="0" collapsed="false">
      <c r="A4" s="25" t="s">
        <v>60</v>
      </c>
      <c r="B4" s="25"/>
      <c r="C4" s="25"/>
      <c r="D4" s="25"/>
      <c r="E4" s="25" t="s">
        <v>304</v>
      </c>
      <c r="F4" s="25"/>
      <c r="G4" s="25"/>
      <c r="H4" s="68" t="s">
        <v>79</v>
      </c>
      <c r="I4" s="68"/>
      <c r="J4" s="69" t="s">
        <v>307</v>
      </c>
      <c r="K4" s="69"/>
      <c r="L4" s="68" t="s">
        <v>308</v>
      </c>
      <c r="M4" s="68"/>
      <c r="N4" s="69" t="s">
        <v>346</v>
      </c>
      <c r="O4" s="69"/>
      <c r="P4" s="68" t="s">
        <v>347</v>
      </c>
      <c r="Q4" s="68"/>
    </row>
    <row r="5" customFormat="false" ht="27.75" hidden="false" customHeight="true" outlineLevel="0" collapsed="false">
      <c r="A5" s="31" t="s">
        <v>67</v>
      </c>
      <c r="B5" s="31" t="s">
        <v>68</v>
      </c>
      <c r="C5" s="31" t="s">
        <v>69</v>
      </c>
      <c r="D5" s="31" t="s">
        <v>70</v>
      </c>
      <c r="E5" s="31" t="s">
        <v>348</v>
      </c>
      <c r="F5" s="31" t="s">
        <v>349</v>
      </c>
      <c r="G5" s="31" t="s">
        <v>350</v>
      </c>
      <c r="H5" s="31" t="s">
        <v>137</v>
      </c>
      <c r="I5" s="31" t="s">
        <v>138</v>
      </c>
      <c r="J5" s="31" t="s">
        <v>137</v>
      </c>
      <c r="K5" s="31" t="s">
        <v>138</v>
      </c>
      <c r="L5" s="31" t="s">
        <v>137</v>
      </c>
      <c r="M5" s="31" t="s">
        <v>138</v>
      </c>
      <c r="N5" s="31" t="s">
        <v>137</v>
      </c>
      <c r="O5" s="31" t="s">
        <v>138</v>
      </c>
      <c r="P5" s="31" t="s">
        <v>137</v>
      </c>
      <c r="Q5" s="31" t="s">
        <v>138</v>
      </c>
    </row>
    <row r="6" customFormat="false" ht="18.75" hidden="false" customHeight="true" outlineLevel="0" collapsed="false">
      <c r="A6" s="35" t="n">
        <v>21</v>
      </c>
      <c r="B6" s="33" t="n">
        <v>46233</v>
      </c>
      <c r="C6" s="34" t="s">
        <v>83</v>
      </c>
      <c r="D6" s="34" t="s">
        <v>84</v>
      </c>
      <c r="E6" s="38" t="n">
        <v>1.89257363156142</v>
      </c>
      <c r="F6" s="38" t="n">
        <v>1.65652975885427</v>
      </c>
      <c r="G6" s="38" t="n">
        <v>3.54910339041569</v>
      </c>
      <c r="H6" s="36" t="n">
        <v>0.676498636747671</v>
      </c>
      <c r="I6" s="37" t="n">
        <f aca="false">IFERROR(1/H6,"")</f>
        <v>1.47819957894903</v>
      </c>
      <c r="J6" s="36" t="n">
        <v>0.469031242759801</v>
      </c>
      <c r="K6" s="37" t="n">
        <f aca="false">IFERROR(1/J6,"")</f>
        <v>2.13205413378426</v>
      </c>
      <c r="L6" s="36" t="n">
        <v>0.287216297748662</v>
      </c>
      <c r="M6" s="37" t="n">
        <f aca="false">IFERROR(1/L6,"")</f>
        <v>3.48169657445791</v>
      </c>
      <c r="N6" s="36" t="n">
        <v>0.156855843984136</v>
      </c>
      <c r="O6" s="37" t="n">
        <f aca="false">IFERROR(1/N6,"")</f>
        <v>6.37528047792173</v>
      </c>
      <c r="P6" s="36" t="n">
        <v>0.0772374286407137</v>
      </c>
      <c r="Q6" s="37" t="n">
        <f aca="false">IFERROR(1/P6,"")</f>
        <v>12.9470907770857</v>
      </c>
    </row>
    <row r="7" customFormat="false" ht="18.75" hidden="false" customHeight="true" outlineLevel="0" collapsed="false">
      <c r="A7" s="42" t="n">
        <v>21</v>
      </c>
      <c r="B7" s="40" t="n">
        <v>46297</v>
      </c>
      <c r="C7" s="41" t="s">
        <v>87</v>
      </c>
      <c r="D7" s="41" t="s">
        <v>88</v>
      </c>
      <c r="E7" s="45" t="n">
        <v>2.32470543952328</v>
      </c>
      <c r="F7" s="45" t="n">
        <v>3.10844563320661</v>
      </c>
      <c r="G7" s="45" t="n">
        <v>5.43315107272989</v>
      </c>
      <c r="H7" s="43" t="n">
        <v>0.893030795054112</v>
      </c>
      <c r="I7" s="44" t="n">
        <f aca="false">IFERROR(1/H7,"")</f>
        <v>1.11978221304161</v>
      </c>
      <c r="J7" s="43" t="n">
        <v>0.772751867580312</v>
      </c>
      <c r="K7" s="44" t="n">
        <f aca="false">IFERROR(1/J7,"")</f>
        <v>1.29407645837371</v>
      </c>
      <c r="L7" s="43" t="n">
        <v>0.617928275021675</v>
      </c>
      <c r="M7" s="44" t="n">
        <f aca="false">IFERROR(1/L7,"")</f>
        <v>1.61831079823127</v>
      </c>
      <c r="N7" s="43" t="n">
        <v>0.45487809150161</v>
      </c>
      <c r="O7" s="44" t="n">
        <f aca="false">IFERROR(1/N7,"")</f>
        <v>2.19839121444357</v>
      </c>
      <c r="P7" s="43" t="n">
        <v>0.308607564995655</v>
      </c>
      <c r="Q7" s="44" t="n">
        <f aca="false">IFERROR(1/P7,"")</f>
        <v>3.24036126597894</v>
      </c>
    </row>
    <row r="8" customFormat="false" ht="18.75" hidden="false" customHeight="true" outlineLevel="0" collapsed="false">
      <c r="A8" s="35" t="n">
        <v>21</v>
      </c>
      <c r="B8" s="33" t="n">
        <v>46298</v>
      </c>
      <c r="C8" s="34" t="s">
        <v>90</v>
      </c>
      <c r="D8" s="34" t="s">
        <v>91</v>
      </c>
      <c r="E8" s="38" t="n">
        <v>2.22403077430878</v>
      </c>
      <c r="F8" s="38" t="n">
        <v>3.21041370914176</v>
      </c>
      <c r="G8" s="38" t="n">
        <v>5.43444448345054</v>
      </c>
      <c r="H8" s="36" t="n">
        <v>0.893116663322823</v>
      </c>
      <c r="I8" s="37" t="n">
        <f aca="false">IFERROR(1/H8,"")</f>
        <v>1.11967455212348</v>
      </c>
      <c r="J8" s="36" t="n">
        <v>0.772899256447598</v>
      </c>
      <c r="K8" s="37" t="n">
        <f aca="false">IFERROR(1/J8,"")</f>
        <v>1.29382968305107</v>
      </c>
      <c r="L8" s="36" t="n">
        <v>0.618122320930711</v>
      </c>
      <c r="M8" s="37" t="n">
        <f aca="false">IFERROR(1/L8,"")</f>
        <v>1.61780276514573</v>
      </c>
      <c r="N8" s="36" t="n">
        <v>0.45508700519989</v>
      </c>
      <c r="O8" s="37" t="n">
        <f aca="false">IFERROR(1/N8,"")</f>
        <v>2.19738201393109</v>
      </c>
      <c r="P8" s="36" t="n">
        <v>0.308799068168711</v>
      </c>
      <c r="Q8" s="37" t="n">
        <f aca="false">IFERROR(1/P8,"")</f>
        <v>3.23835174092448</v>
      </c>
    </row>
    <row r="9" customFormat="false" ht="18.75" hidden="false" customHeight="true" outlineLevel="0" collapsed="false">
      <c r="A9" s="42" t="n">
        <v>29</v>
      </c>
      <c r="B9" s="40" t="n">
        <v>46302</v>
      </c>
      <c r="C9" s="41" t="s">
        <v>92</v>
      </c>
      <c r="D9" s="41" t="s">
        <v>90</v>
      </c>
      <c r="E9" s="45" t="n">
        <v>2.29692438179757</v>
      </c>
      <c r="F9" s="45" t="n">
        <v>2.6827937467368</v>
      </c>
      <c r="G9" s="45" t="n">
        <v>4.97971812853437</v>
      </c>
      <c r="H9" s="43" t="n">
        <v>0.85865222340048</v>
      </c>
      <c r="I9" s="44" t="n">
        <f aca="false">IFERROR(1/H9,"")</f>
        <v>1.1646158627992</v>
      </c>
      <c r="J9" s="43" t="n">
        <v>0.716031610330263</v>
      </c>
      <c r="K9" s="44" t="n">
        <f aca="false">IFERROR(1/J9,"")</f>
        <v>1.39658638749029</v>
      </c>
      <c r="L9" s="43" t="n">
        <v>0.546113704998686</v>
      </c>
      <c r="M9" s="44" t="n">
        <f aca="false">IFERROR(1/L9,"")</f>
        <v>1.83112049898548</v>
      </c>
      <c r="N9" s="43" t="n">
        <v>0.380486165669843</v>
      </c>
      <c r="O9" s="44" t="n">
        <f aca="false">IFERROR(1/N9,"")</f>
        <v>2.62821645102262</v>
      </c>
      <c r="P9" s="43" t="n">
        <v>0.242962533127056</v>
      </c>
      <c r="Q9" s="44" t="n">
        <f aca="false">IFERROR(1/P9,"")</f>
        <v>4.11586094007777</v>
      </c>
    </row>
    <row r="10" customFormat="false" ht="18.75" hidden="false" customHeight="true" outlineLevel="0" collapsed="false">
      <c r="A10" s="35" t="n">
        <v>29</v>
      </c>
      <c r="B10" s="33" t="n">
        <v>46302</v>
      </c>
      <c r="C10" s="34" t="s">
        <v>93</v>
      </c>
      <c r="D10" s="34" t="s">
        <v>84</v>
      </c>
      <c r="E10" s="38" t="n">
        <v>2.2191073897219</v>
      </c>
      <c r="F10" s="38" t="n">
        <v>2.5662530970937</v>
      </c>
      <c r="G10" s="38" t="n">
        <v>4.78536048681559</v>
      </c>
      <c r="H10" s="36" t="n">
        <v>0.841025251374297</v>
      </c>
      <c r="I10" s="37" t="n">
        <f aca="false">IFERROR(1/H10,"")</f>
        <v>1.18902494112505</v>
      </c>
      <c r="J10" s="36" t="n">
        <v>0.688528043274563</v>
      </c>
      <c r="K10" s="37" t="n">
        <f aca="false">IFERROR(1/J10,"")</f>
        <v>1.45237366838991</v>
      </c>
      <c r="L10" s="36" t="n">
        <v>0.513194148795952</v>
      </c>
      <c r="M10" s="37" t="n">
        <f aca="false">IFERROR(1/L10,"")</f>
        <v>1.94858028359478</v>
      </c>
      <c r="N10" s="36" t="n">
        <v>0.348261579880478</v>
      </c>
      <c r="O10" s="37" t="n">
        <f aca="false">IFERROR(1/N10,"")</f>
        <v>2.87140488004217</v>
      </c>
      <c r="P10" s="36" t="n">
        <v>0.216102091456062</v>
      </c>
      <c r="Q10" s="37" t="n">
        <f aca="false">IFERROR(1/P10,"")</f>
        <v>4.62744248915944</v>
      </c>
    </row>
    <row r="11" customFormat="false" ht="18.75" hidden="false" customHeight="true" outlineLevel="0" collapsed="false">
      <c r="A11" s="42" t="n">
        <v>29</v>
      </c>
      <c r="B11" s="40" t="n">
        <v>46302</v>
      </c>
      <c r="C11" s="41" t="s">
        <v>91</v>
      </c>
      <c r="D11" s="41" t="s">
        <v>95</v>
      </c>
      <c r="E11" s="45" t="n">
        <v>2.42232175134998</v>
      </c>
      <c r="F11" s="45" t="n">
        <v>2.4327672243154</v>
      </c>
      <c r="G11" s="45" t="n">
        <v>4.85508897566538</v>
      </c>
      <c r="H11" s="43" t="n">
        <v>0.847566463911169</v>
      </c>
      <c r="I11" s="44" t="n">
        <f aca="false">IFERROR(1/H11,"")</f>
        <v>1.17984847511004</v>
      </c>
      <c r="J11" s="43" t="n">
        <v>0.698620686943821</v>
      </c>
      <c r="K11" s="44" t="n">
        <f aca="false">IFERROR(1/J11,"")</f>
        <v>1.43139191078723</v>
      </c>
      <c r="L11" s="43" t="n">
        <v>0.525138581273361</v>
      </c>
      <c r="M11" s="44" t="n">
        <f aca="false">IFERROR(1/L11,"")</f>
        <v>1.90425924824489</v>
      </c>
      <c r="N11" s="43" t="n">
        <v>0.359821498566871</v>
      </c>
      <c r="O11" s="44" t="n">
        <f aca="false">IFERROR(1/N11,"")</f>
        <v>2.77915578691904</v>
      </c>
      <c r="P11" s="43" t="n">
        <v>0.225627787814708</v>
      </c>
      <c r="Q11" s="44" t="n">
        <f aca="false">IFERROR(1/P11,"")</f>
        <v>4.43207820138373</v>
      </c>
    </row>
    <row r="12" customFormat="false" ht="18.75" hidden="false" customHeight="true" outlineLevel="0" collapsed="false">
      <c r="A12" s="35" t="n">
        <v>29</v>
      </c>
      <c r="B12" s="33" t="n">
        <v>46302</v>
      </c>
      <c r="C12" s="34" t="s">
        <v>96</v>
      </c>
      <c r="D12" s="34" t="s">
        <v>87</v>
      </c>
      <c r="E12" s="38" t="n">
        <v>2.76659540207708</v>
      </c>
      <c r="F12" s="38" t="n">
        <v>2.95604771134614</v>
      </c>
      <c r="G12" s="38" t="n">
        <v>5.72264311342322</v>
      </c>
      <c r="H12" s="36" t="n">
        <v>0.910719946717213</v>
      </c>
      <c r="I12" s="37" t="n">
        <f aca="false">IFERROR(1/H12,"")</f>
        <v>1.09803239031341</v>
      </c>
      <c r="J12" s="36" t="n">
        <v>0.803802560503797</v>
      </c>
      <c r="K12" s="37" t="n">
        <f aca="false">IFERROR(1/J12,"")</f>
        <v>1.2440866067573</v>
      </c>
      <c r="L12" s="36" t="n">
        <v>0.659742010742713</v>
      </c>
      <c r="M12" s="37" t="n">
        <f aca="false">IFERROR(1/L12,"")</f>
        <v>1.51574400859245</v>
      </c>
      <c r="N12" s="36" t="n">
        <v>0.500931822737565</v>
      </c>
      <c r="O12" s="37" t="n">
        <f aca="false">IFERROR(1/N12,"")</f>
        <v>1.9962796424772</v>
      </c>
      <c r="P12" s="36" t="n">
        <v>0.351802504166395</v>
      </c>
      <c r="Q12" s="37" t="n">
        <f aca="false">IFERROR(1/P12,"")</f>
        <v>2.84250392807614</v>
      </c>
    </row>
    <row r="13" customFormat="false" ht="18.75" hidden="false" customHeight="true" outlineLevel="0" collapsed="false">
      <c r="A13" s="42" t="n">
        <v>29</v>
      </c>
      <c r="B13" s="40" t="n">
        <v>46302</v>
      </c>
      <c r="C13" s="41" t="s">
        <v>98</v>
      </c>
      <c r="D13" s="41" t="s">
        <v>99</v>
      </c>
      <c r="E13" s="45" t="n">
        <v>2.38770502958273</v>
      </c>
      <c r="F13" s="45" t="n">
        <v>2.84253332517358</v>
      </c>
      <c r="G13" s="45" t="n">
        <v>5.23023835475631</v>
      </c>
      <c r="H13" s="43" t="n">
        <v>0.878735085226338</v>
      </c>
      <c r="I13" s="44" t="n">
        <f aca="false">IFERROR(1/H13,"")</f>
        <v>1.13799940028846</v>
      </c>
      <c r="J13" s="43" t="n">
        <v>0.748630227787692</v>
      </c>
      <c r="K13" s="44" t="n">
        <f aca="false">IFERROR(1/J13,"")</f>
        <v>1.33577293953938</v>
      </c>
      <c r="L13" s="43" t="n">
        <v>0.586706554889072</v>
      </c>
      <c r="M13" s="44" t="n">
        <f aca="false">IFERROR(1/L13,"")</f>
        <v>1.70442956818348</v>
      </c>
      <c r="N13" s="43" t="n">
        <v>0.421828164545113</v>
      </c>
      <c r="O13" s="44" t="n">
        <f aca="false">IFERROR(1/N13,"")</f>
        <v>2.37063355188332</v>
      </c>
      <c r="P13" s="43" t="n">
        <v>0.278817470962202</v>
      </c>
      <c r="Q13" s="44" t="n">
        <f aca="false">IFERROR(1/P13,"")</f>
        <v>3.58657582162621</v>
      </c>
    </row>
    <row r="14" customFormat="false" ht="18.75" hidden="false" customHeight="true" outlineLevel="0" collapsed="false">
      <c r="A14" s="35" t="n">
        <v>29</v>
      </c>
      <c r="B14" s="33" t="n">
        <v>46302</v>
      </c>
      <c r="C14" s="34" t="s">
        <v>100</v>
      </c>
      <c r="D14" s="34" t="s">
        <v>101</v>
      </c>
      <c r="E14" s="38" t="n">
        <v>3.07456858363564</v>
      </c>
      <c r="F14" s="38" t="n">
        <v>3.02957503404317</v>
      </c>
      <c r="G14" s="38" t="n">
        <v>6.10414361767881</v>
      </c>
      <c r="H14" s="36" t="n">
        <v>0.929842009725821</v>
      </c>
      <c r="I14" s="37" t="n">
        <f aca="false">IFERROR(1/H14,"")</f>
        <v>1.07545151707532</v>
      </c>
      <c r="J14" s="36" t="n">
        <v>0.839117612252474</v>
      </c>
      <c r="K14" s="37" t="n">
        <f aca="false">IFERROR(1/J14,"")</f>
        <v>1.19172805504066</v>
      </c>
      <c r="L14" s="36" t="n">
        <v>0.709780919272141</v>
      </c>
      <c r="M14" s="37" t="n">
        <f aca="false">IFERROR(1/L14,"")</f>
        <v>1.40888543612228</v>
      </c>
      <c r="N14" s="36" t="n">
        <v>0.558927218341921</v>
      </c>
      <c r="O14" s="37" t="n">
        <f aca="false">IFERROR(1/N14,"")</f>
        <v>1.78914171144955</v>
      </c>
      <c r="P14" s="36" t="n">
        <v>0.409047948820248</v>
      </c>
      <c r="Q14" s="37" t="n">
        <f aca="false">IFERROR(1/P14,"")</f>
        <v>2.444701172281</v>
      </c>
    </row>
    <row r="15" customFormat="false" ht="18.75" hidden="false" customHeight="true" outlineLevel="0" collapsed="false">
      <c r="A15" s="42" t="n">
        <v>29</v>
      </c>
      <c r="B15" s="40" t="n">
        <v>46302</v>
      </c>
      <c r="C15" s="41" t="s">
        <v>102</v>
      </c>
      <c r="D15" s="41" t="s">
        <v>103</v>
      </c>
      <c r="E15" s="45" t="n">
        <v>2.4153022703785</v>
      </c>
      <c r="F15" s="45" t="n">
        <v>2.82849767444717</v>
      </c>
      <c r="G15" s="45" t="n">
        <v>5.24379994482567</v>
      </c>
      <c r="H15" s="43" t="n">
        <v>0.87974324041264</v>
      </c>
      <c r="I15" s="44" t="n">
        <f aca="false">IFERROR(1/H15,"")</f>
        <v>1.1366952925162</v>
      </c>
      <c r="J15" s="43" t="n">
        <v>0.75030509878665</v>
      </c>
      <c r="K15" s="44" t="n">
        <f aca="false">IFERROR(1/J15,"")</f>
        <v>1.33279115604724</v>
      </c>
      <c r="L15" s="43" t="n">
        <v>0.588840795410901</v>
      </c>
      <c r="M15" s="44" t="n">
        <f aca="false">IFERROR(1/L15,"")</f>
        <v>1.69825190067238</v>
      </c>
      <c r="N15" s="43" t="n">
        <v>0.42405213065792</v>
      </c>
      <c r="O15" s="44" t="n">
        <f aca="false">IFERROR(1/N15,"")</f>
        <v>2.35820062606098</v>
      </c>
      <c r="P15" s="43" t="n">
        <v>0.280790619545188</v>
      </c>
      <c r="Q15" s="44" t="n">
        <f aca="false">IFERROR(1/P15,"")</f>
        <v>3.56137253309871</v>
      </c>
    </row>
    <row r="16" customFormat="false" ht="18.75" hidden="false" customHeight="true" outlineLevel="0" collapsed="false">
      <c r="A16" s="35" t="n">
        <v>29</v>
      </c>
      <c r="B16" s="33" t="n">
        <v>46302</v>
      </c>
      <c r="C16" s="34" t="s">
        <v>104</v>
      </c>
      <c r="D16" s="34" t="s">
        <v>105</v>
      </c>
      <c r="E16" s="38" t="n">
        <v>2.2621278266258</v>
      </c>
      <c r="F16" s="38" t="n">
        <v>2.19223319761615</v>
      </c>
      <c r="G16" s="38" t="n">
        <v>4.45436102424196</v>
      </c>
      <c r="H16" s="36" t="n">
        <v>0.806404089516536</v>
      </c>
      <c r="I16" s="37" t="n">
        <f aca="false">IFERROR(1/H16,"")</f>
        <v>1.24007307626569</v>
      </c>
      <c r="J16" s="36" t="n">
        <v>0.637154166339778</v>
      </c>
      <c r="K16" s="37" t="n">
        <f aca="false">IFERROR(1/J16,"")</f>
        <v>1.56947886842621</v>
      </c>
      <c r="L16" s="36" t="n">
        <v>0.454701538029644</v>
      </c>
      <c r="M16" s="37" t="n">
        <f aca="false">IFERROR(1/L16,"")</f>
        <v>2.19924481525463</v>
      </c>
      <c r="N16" s="36" t="n">
        <v>0.293782167495546</v>
      </c>
      <c r="O16" s="37" t="n">
        <f aca="false">IFERROR(1/N16,"")</f>
        <v>3.40388257233197</v>
      </c>
      <c r="P16" s="36" t="n">
        <v>0.172884503998774</v>
      </c>
      <c r="Q16" s="37" t="n">
        <f aca="false">IFERROR(1/P16,"")</f>
        <v>5.78420839849877</v>
      </c>
    </row>
    <row r="17" customFormat="false" ht="18.75" hidden="false" customHeight="true" outlineLevel="0" collapsed="false">
      <c r="A17" s="42" t="n">
        <v>29</v>
      </c>
      <c r="B17" s="40" t="n">
        <v>46302</v>
      </c>
      <c r="C17" s="41" t="s">
        <v>88</v>
      </c>
      <c r="D17" s="41" t="s">
        <v>8</v>
      </c>
      <c r="E17" s="45" t="n">
        <v>2.73987800585491</v>
      </c>
      <c r="F17" s="45" t="n">
        <v>2.50774171996045</v>
      </c>
      <c r="G17" s="45" t="n">
        <v>5.24761972581536</v>
      </c>
      <c r="H17" s="43" t="n">
        <v>0.880025795413278</v>
      </c>
      <c r="I17" s="44" t="n">
        <f aca="false">IFERROR(1/H17,"")</f>
        <v>1.13633032714726</v>
      </c>
      <c r="J17" s="43" t="n">
        <v>0.750775205196111</v>
      </c>
      <c r="K17" s="44" t="n">
        <f aca="false">IFERROR(1/J17,"")</f>
        <v>1.33195661374937</v>
      </c>
      <c r="L17" s="43" t="n">
        <v>0.589440720736575</v>
      </c>
      <c r="M17" s="44" t="n">
        <f aca="false">IFERROR(1/L17,"")</f>
        <v>1.69652344132313</v>
      </c>
      <c r="N17" s="43" t="n">
        <v>0.424678197710238</v>
      </c>
      <c r="O17" s="44" t="n">
        <f aca="false">IFERROR(1/N17,"")</f>
        <v>2.3547241308637</v>
      </c>
      <c r="P17" s="43" t="n">
        <v>0.281346896599988</v>
      </c>
      <c r="Q17" s="44" t="n">
        <f aca="false">IFERROR(1/P17,"")</f>
        <v>3.55433101301194</v>
      </c>
    </row>
    <row r="18" customFormat="false" ht="18.75" hidden="false" customHeight="true" outlineLevel="0" collapsed="false">
      <c r="A18" s="35" t="n">
        <v>29</v>
      </c>
      <c r="B18" s="33" t="n">
        <v>46302</v>
      </c>
      <c r="C18" s="34" t="s">
        <v>106</v>
      </c>
      <c r="D18" s="34" t="s">
        <v>83</v>
      </c>
      <c r="E18" s="38" t="n">
        <v>1.88462823238968</v>
      </c>
      <c r="F18" s="38" t="n">
        <v>2.51362057602952</v>
      </c>
      <c r="G18" s="38" t="n">
        <v>4.3982488084192</v>
      </c>
      <c r="H18" s="36" t="n">
        <v>0.799914113500048</v>
      </c>
      <c r="I18" s="37" t="n">
        <f aca="false">IFERROR(1/H18,"")</f>
        <v>1.25013421206493</v>
      </c>
      <c r="J18" s="36" t="n">
        <v>0.627879150616625</v>
      </c>
      <c r="K18" s="37" t="n">
        <f aca="false">IFERROR(1/J18,"")</f>
        <v>1.59266317255148</v>
      </c>
      <c r="L18" s="36" t="n">
        <v>0.444534398345608</v>
      </c>
      <c r="M18" s="37" t="n">
        <f aca="false">IFERROR(1/L18,"")</f>
        <v>2.24954470052628</v>
      </c>
      <c r="N18" s="36" t="n">
        <v>0.284668141146509</v>
      </c>
      <c r="O18" s="37" t="n">
        <f aca="false">IFERROR(1/N18,"")</f>
        <v>3.51286236658754</v>
      </c>
      <c r="P18" s="36" t="n">
        <v>0.165928286732439</v>
      </c>
      <c r="Q18" s="37" t="n">
        <f aca="false">IFERROR(1/P18,"")</f>
        <v>6.02669996594681</v>
      </c>
    </row>
    <row r="19" customFormat="false" ht="18.75" hidden="false" customHeight="true" outlineLevel="0" collapsed="false">
      <c r="A19" s="42" t="n">
        <v>30</v>
      </c>
      <c r="B19" s="40" t="n">
        <v>46306</v>
      </c>
      <c r="C19" s="41" t="s">
        <v>90</v>
      </c>
      <c r="D19" s="41" t="s">
        <v>88</v>
      </c>
      <c r="E19" s="45" t="n">
        <v>2.29874190750607</v>
      </c>
      <c r="F19" s="45" t="n">
        <v>3.02355778013173</v>
      </c>
      <c r="G19" s="45" t="n">
        <v>5.32229968763781</v>
      </c>
      <c r="H19" s="43" t="n">
        <v>0.885427848166554</v>
      </c>
      <c r="I19" s="44" t="n">
        <f aca="false">IFERROR(1/H19,"")</f>
        <v>1.12939750208974</v>
      </c>
      <c r="J19" s="43" t="n">
        <v>0.75982213901377</v>
      </c>
      <c r="K19" s="44" t="n">
        <f aca="false">IFERROR(1/J19,"")</f>
        <v>1.3160974768358</v>
      </c>
      <c r="L19" s="43" t="n">
        <v>0.601062095641498</v>
      </c>
      <c r="M19" s="44" t="n">
        <f aca="false">IFERROR(1/L19,"")</f>
        <v>1.66372161420814</v>
      </c>
      <c r="N19" s="43" t="n">
        <v>0.43688612396162</v>
      </c>
      <c r="O19" s="44" t="n">
        <f aca="false">IFERROR(1/N19,"")</f>
        <v>2.28892598128809</v>
      </c>
      <c r="P19" s="43" t="n">
        <v>0.292265788945874</v>
      </c>
      <c r="Q19" s="44" t="n">
        <f aca="false">IFERROR(1/P19,"")</f>
        <v>3.42154312212434</v>
      </c>
    </row>
    <row r="20" customFormat="false" ht="18.75" hidden="false" customHeight="true" outlineLevel="0" collapsed="false">
      <c r="A20" s="35" t="n">
        <v>30</v>
      </c>
      <c r="B20" s="33" t="n">
        <v>46306</v>
      </c>
      <c r="C20" s="34" t="s">
        <v>103</v>
      </c>
      <c r="D20" s="34" t="s">
        <v>95</v>
      </c>
      <c r="E20" s="38" t="n">
        <v>1.98242896940899</v>
      </c>
      <c r="F20" s="38" t="n">
        <v>2.91589235912245</v>
      </c>
      <c r="G20" s="38" t="n">
        <v>4.89832132853144</v>
      </c>
      <c r="H20" s="36" t="n">
        <v>0.851498535492825</v>
      </c>
      <c r="I20" s="37" t="n">
        <f aca="false">IFERROR(1/H20,"")</f>
        <v>1.17440014083081</v>
      </c>
      <c r="J20" s="36" t="n">
        <v>0.704751307853394</v>
      </c>
      <c r="K20" s="37" t="n">
        <f aca="false">IFERROR(1/J20,"")</f>
        <v>1.41894025432305</v>
      </c>
      <c r="L20" s="36" t="n">
        <v>0.532470161902218</v>
      </c>
      <c r="M20" s="37" t="n">
        <f aca="false">IFERROR(1/L20,"")</f>
        <v>1.87803950634071</v>
      </c>
      <c r="N20" s="36" t="n">
        <v>0.366991440771556</v>
      </c>
      <c r="O20" s="37" t="n">
        <f aca="false">IFERROR(1/N20,"")</f>
        <v>2.72485918989724</v>
      </c>
      <c r="P20" s="36" t="n">
        <v>0.231597901437115</v>
      </c>
      <c r="Q20" s="37" t="n">
        <f aca="false">IFERROR(1/P20,"")</f>
        <v>4.31782841638367</v>
      </c>
    </row>
    <row r="21" customFormat="false" ht="18.75" hidden="false" customHeight="true" outlineLevel="0" collapsed="false">
      <c r="A21" s="42" t="n">
        <v>30</v>
      </c>
      <c r="B21" s="40" t="n">
        <v>46306</v>
      </c>
      <c r="C21" s="41" t="s">
        <v>91</v>
      </c>
      <c r="D21" s="41" t="s">
        <v>96</v>
      </c>
      <c r="E21" s="45" t="n">
        <v>3.15357495826053</v>
      </c>
      <c r="F21" s="45" t="n">
        <v>2.8318786766412</v>
      </c>
      <c r="G21" s="45" t="n">
        <v>5.98545363490173</v>
      </c>
      <c r="H21" s="43" t="n">
        <v>0.92435513287046</v>
      </c>
      <c r="I21" s="44" t="n">
        <f aca="false">IFERROR(1/H21,"")</f>
        <v>1.08183528650361</v>
      </c>
      <c r="J21" s="43" t="n">
        <v>0.828777637034736</v>
      </c>
      <c r="K21" s="44" t="n">
        <f aca="false">IFERROR(1/J21,"")</f>
        <v>1.20659626335705</v>
      </c>
      <c r="L21" s="43" t="n">
        <v>0.694834670122472</v>
      </c>
      <c r="M21" s="44" t="n">
        <f aca="false">IFERROR(1/L21,"")</f>
        <v>1.43919128247262</v>
      </c>
      <c r="N21" s="43" t="n">
        <v>0.54125959412791</v>
      </c>
      <c r="O21" s="44" t="n">
        <f aca="false">IFERROR(1/N21,"")</f>
        <v>1.84754230843931</v>
      </c>
      <c r="P21" s="43" t="n">
        <v>0.391265919566465</v>
      </c>
      <c r="Q21" s="44" t="n">
        <f aca="false">IFERROR(1/P21,"")</f>
        <v>2.55580654994954</v>
      </c>
    </row>
    <row r="22" customFormat="false" ht="18.75" hidden="false" customHeight="true" outlineLevel="0" collapsed="false">
      <c r="A22" s="35" t="n">
        <v>30</v>
      </c>
      <c r="B22" s="33" t="n">
        <v>46306</v>
      </c>
      <c r="C22" s="34" t="s">
        <v>83</v>
      </c>
      <c r="D22" s="34" t="s">
        <v>92</v>
      </c>
      <c r="E22" s="38" t="n">
        <v>2.28531736073918</v>
      </c>
      <c r="F22" s="38" t="n">
        <v>1.70910451770562</v>
      </c>
      <c r="G22" s="38" t="n">
        <v>3.9944218784448</v>
      </c>
      <c r="H22" s="36" t="n">
        <v>0.747376305278475</v>
      </c>
      <c r="I22" s="37" t="n">
        <f aca="false">IFERROR(1/H22,"")</f>
        <v>1.33801405388066</v>
      </c>
      <c r="J22" s="36" t="n">
        <v>0.556441972870631</v>
      </c>
      <c r="K22" s="37" t="n">
        <f aca="false">IFERROR(1/J22,"")</f>
        <v>1.79713258300968</v>
      </c>
      <c r="L22" s="36" t="n">
        <v>0.36998219502388</v>
      </c>
      <c r="M22" s="37" t="n">
        <f aca="false">IFERROR(1/L22,"")</f>
        <v>2.70283276722399</v>
      </c>
      <c r="N22" s="36" t="n">
        <v>0.221003949546353</v>
      </c>
      <c r="O22" s="37" t="n">
        <f aca="false">IFERROR(1/N22,"")</f>
        <v>4.52480601388646</v>
      </c>
      <c r="P22" s="36" t="n">
        <v>0.119610025851131</v>
      </c>
      <c r="Q22" s="37" t="n">
        <f aca="false">IFERROR(1/P22,"")</f>
        <v>8.3605031675574</v>
      </c>
    </row>
    <row r="23" customFormat="false" ht="18.75" hidden="false" customHeight="true" outlineLevel="0" collapsed="false">
      <c r="A23" s="42" t="n">
        <v>30</v>
      </c>
      <c r="B23" s="40" t="n">
        <v>46306</v>
      </c>
      <c r="C23" s="41" t="s">
        <v>99</v>
      </c>
      <c r="D23" s="41" t="s">
        <v>93</v>
      </c>
      <c r="E23" s="45" t="n">
        <v>2.29975804934847</v>
      </c>
      <c r="F23" s="45" t="n">
        <v>2.95299374560706</v>
      </c>
      <c r="G23" s="45" t="n">
        <v>5.25275179495553</v>
      </c>
      <c r="H23" s="43" t="n">
        <v>0.880404454509924</v>
      </c>
      <c r="I23" s="44" t="n">
        <f aca="false">IFERROR(1/H23,"")</f>
        <v>1.13584159516395</v>
      </c>
      <c r="J23" s="43" t="n">
        <v>0.751405683223629</v>
      </c>
      <c r="K23" s="44" t="n">
        <f aca="false">IFERROR(1/J23,"")</f>
        <v>1.33083901589601</v>
      </c>
      <c r="L23" s="43" t="n">
        <v>0.590245912600856</v>
      </c>
      <c r="M23" s="44" t="n">
        <f aca="false">IFERROR(1/L23,"")</f>
        <v>1.69420910615646</v>
      </c>
      <c r="N23" s="43" t="n">
        <v>0.425519111437498</v>
      </c>
      <c r="O23" s="44" t="n">
        <f aca="false">IFERROR(1/N23,"")</f>
        <v>2.35007070921392</v>
      </c>
      <c r="P23" s="43" t="n">
        <v>0.282094635823495</v>
      </c>
      <c r="Q23" s="44" t="n">
        <f aca="false">IFERROR(1/P23,"")</f>
        <v>3.54490966154243</v>
      </c>
    </row>
    <row r="24" customFormat="false" ht="18.75" hidden="false" customHeight="true" outlineLevel="0" collapsed="false">
      <c r="A24" s="35" t="n">
        <v>30</v>
      </c>
      <c r="B24" s="33" t="n">
        <v>46306</v>
      </c>
      <c r="C24" s="34" t="s">
        <v>8</v>
      </c>
      <c r="D24" s="34" t="s">
        <v>98</v>
      </c>
      <c r="E24" s="38" t="n">
        <v>2.61490026427489</v>
      </c>
      <c r="F24" s="38" t="n">
        <v>2.73575548068625</v>
      </c>
      <c r="G24" s="38" t="n">
        <v>5.35065574496114</v>
      </c>
      <c r="H24" s="36" t="n">
        <v>0.887419180450807</v>
      </c>
      <c r="I24" s="37" t="n">
        <f aca="false">IFERROR(1/H24,"")</f>
        <v>1.12686318036534</v>
      </c>
      <c r="J24" s="36" t="n">
        <v>0.763185969212934</v>
      </c>
      <c r="K24" s="37" t="n">
        <f aca="false">IFERROR(1/J24,"")</f>
        <v>1.31029662538384</v>
      </c>
      <c r="L24" s="36" t="n">
        <v>0.605420555291676</v>
      </c>
      <c r="M24" s="37" t="n">
        <f aca="false">IFERROR(1/L24,"")</f>
        <v>1.65174438043027</v>
      </c>
      <c r="N24" s="36" t="n">
        <v>0.441504139703839</v>
      </c>
      <c r="O24" s="37" t="n">
        <f aca="false">IFERROR(1/N24,"")</f>
        <v>2.26498442499497</v>
      </c>
      <c r="P24" s="36" t="n">
        <v>0.296431846045982</v>
      </c>
      <c r="Q24" s="37" t="n">
        <f aca="false">IFERROR(1/P24,"")</f>
        <v>3.37345670965757</v>
      </c>
    </row>
    <row r="25" customFormat="false" ht="18.75" hidden="false" customHeight="true" outlineLevel="0" collapsed="false">
      <c r="A25" s="42" t="n">
        <v>30</v>
      </c>
      <c r="B25" s="40" t="n">
        <v>46306</v>
      </c>
      <c r="C25" s="41" t="s">
        <v>105</v>
      </c>
      <c r="D25" s="41" t="s">
        <v>100</v>
      </c>
      <c r="E25" s="45" t="n">
        <v>2.55746852906937</v>
      </c>
      <c r="F25" s="45" t="n">
        <v>3.01881101960644</v>
      </c>
      <c r="G25" s="45" t="n">
        <v>5.5762795486758</v>
      </c>
      <c r="H25" s="43" t="n">
        <v>0.902151521349159</v>
      </c>
      <c r="I25" s="44" t="n">
        <f aca="false">IFERROR(1/H25,"")</f>
        <v>1.10846124662574</v>
      </c>
      <c r="J25" s="43" t="n">
        <v>0.788584717766385</v>
      </c>
      <c r="K25" s="44" t="n">
        <f aca="false">IFERROR(1/J25,"")</f>
        <v>1.26809457179494</v>
      </c>
      <c r="L25" s="43" t="n">
        <v>0.639010460954669</v>
      </c>
      <c r="M25" s="44" t="n">
        <f aca="false">IFERROR(1/L25,"")</f>
        <v>1.56491960789816</v>
      </c>
      <c r="N25" s="43" t="n">
        <v>0.477835021777736</v>
      </c>
      <c r="O25" s="44" t="n">
        <f aca="false">IFERROR(1/N25,"")</f>
        <v>2.0927725144122</v>
      </c>
      <c r="P25" s="43" t="n">
        <v>0.329892760578325</v>
      </c>
      <c r="Q25" s="44" t="n">
        <f aca="false">IFERROR(1/P25,"")</f>
        <v>3.03128810176656</v>
      </c>
    </row>
    <row r="26" customFormat="false" ht="18.75" hidden="false" customHeight="true" outlineLevel="0" collapsed="false">
      <c r="A26" s="35" t="n">
        <v>30</v>
      </c>
      <c r="B26" s="33" t="n">
        <v>46306</v>
      </c>
      <c r="C26" s="34" t="s">
        <v>102</v>
      </c>
      <c r="D26" s="34" t="s">
        <v>101</v>
      </c>
      <c r="E26" s="38" t="n">
        <v>2.74002641348449</v>
      </c>
      <c r="F26" s="38" t="n">
        <v>3.26623210974303</v>
      </c>
      <c r="G26" s="38" t="n">
        <v>6.00625852322752</v>
      </c>
      <c r="H26" s="36" t="n">
        <v>0.925345566718438</v>
      </c>
      <c r="I26" s="37" t="n">
        <f aca="false">IFERROR(1/H26,"")</f>
        <v>1.0806773555379</v>
      </c>
      <c r="J26" s="36" t="n">
        <v>0.830631105350843</v>
      </c>
      <c r="K26" s="37" t="n">
        <f aca="false">IFERROR(1/J26,"")</f>
        <v>1.20390386726201</v>
      </c>
      <c r="L26" s="36" t="n">
        <v>0.697495107400609</v>
      </c>
      <c r="M26" s="37" t="n">
        <f aca="false">IFERROR(1/L26,"")</f>
        <v>1.43370181294425</v>
      </c>
      <c r="N26" s="36" t="n">
        <v>0.544382391670381</v>
      </c>
      <c r="O26" s="37" t="n">
        <f aca="false">IFERROR(1/N26,"")</f>
        <v>1.83694405862689</v>
      </c>
      <c r="P26" s="36" t="n">
        <v>0.394386832079717</v>
      </c>
      <c r="Q26" s="37" t="n">
        <f aca="false">IFERROR(1/P26,"")</f>
        <v>2.53558161342941</v>
      </c>
    </row>
    <row r="27" customFormat="false" ht="18.75" hidden="false" customHeight="true" outlineLevel="0" collapsed="false">
      <c r="A27" s="42" t="n">
        <v>30</v>
      </c>
      <c r="B27" s="40" t="n">
        <v>46306</v>
      </c>
      <c r="C27" s="41" t="s">
        <v>87</v>
      </c>
      <c r="D27" s="41" t="s">
        <v>106</v>
      </c>
      <c r="E27" s="45" t="n">
        <v>2.37546350547012</v>
      </c>
      <c r="F27" s="45" t="n">
        <v>3.2711361234244</v>
      </c>
      <c r="G27" s="45" t="n">
        <v>5.64659962889452</v>
      </c>
      <c r="H27" s="43" t="n">
        <v>0.906360465449677</v>
      </c>
      <c r="I27" s="44" t="n">
        <f aca="false">IFERROR(1/H27,"")</f>
        <v>1.10331378973361</v>
      </c>
      <c r="J27" s="43" t="n">
        <v>0.796016666670568</v>
      </c>
      <c r="K27" s="44" t="n">
        <f aca="false">IFERROR(1/J27,"")</f>
        <v>1.2562551035302</v>
      </c>
      <c r="L27" s="43" t="n">
        <v>0.649076173069496</v>
      </c>
      <c r="M27" s="44" t="n">
        <f aca="false">IFERROR(1/L27,"")</f>
        <v>1.54065122321619</v>
      </c>
      <c r="N27" s="43" t="n">
        <v>0.488983441440873</v>
      </c>
      <c r="O27" s="44" t="n">
        <f aca="false">IFERROR(1/N27,"")</f>
        <v>2.04505902501183</v>
      </c>
      <c r="P27" s="43" t="n">
        <v>0.34040591734642</v>
      </c>
      <c r="Q27" s="44" t="n">
        <f aca="false">IFERROR(1/P27,"")</f>
        <v>2.937669262025</v>
      </c>
    </row>
    <row r="28" customFormat="false" ht="18.75" hidden="false" customHeight="true" outlineLevel="0" collapsed="false">
      <c r="A28" s="35" t="n">
        <v>30</v>
      </c>
      <c r="B28" s="33" t="n">
        <v>46306</v>
      </c>
      <c r="C28" s="34" t="s">
        <v>84</v>
      </c>
      <c r="D28" s="34" t="s">
        <v>104</v>
      </c>
      <c r="E28" s="38" t="n">
        <v>1.70013158094769</v>
      </c>
      <c r="F28" s="38" t="n">
        <v>1.89713785874378</v>
      </c>
      <c r="G28" s="38" t="n">
        <v>3.59726943969148</v>
      </c>
      <c r="H28" s="36" t="n">
        <v>0.684859323531469</v>
      </c>
      <c r="I28" s="37" t="n">
        <f aca="false">IFERROR(1/H28,"")</f>
        <v>1.4601538821776</v>
      </c>
      <c r="J28" s="36" t="n">
        <v>0.478861238310396</v>
      </c>
      <c r="K28" s="37" t="n">
        <f aca="false">IFERROR(1/J28,"")</f>
        <v>2.0882876290601</v>
      </c>
      <c r="L28" s="36" t="n">
        <v>0.296081284441268</v>
      </c>
      <c r="M28" s="37" t="n">
        <f aca="false">IFERROR(1/L28,"")</f>
        <v>3.37745089794206</v>
      </c>
      <c r="N28" s="36" t="n">
        <v>0.163393635009181</v>
      </c>
      <c r="O28" s="37" t="n">
        <f aca="false">IFERROR(1/N28,"")</f>
        <v>6.12018944277611</v>
      </c>
      <c r="P28" s="36" t="n">
        <v>0.0813426461812403</v>
      </c>
      <c r="Q28" s="37" t="n">
        <f aca="false">IFERROR(1/P28,"")</f>
        <v>12.2936743141094</v>
      </c>
    </row>
    <row r="29" customFormat="false" ht="18.75" hidden="false" customHeight="true" outlineLevel="0" collapsed="false">
      <c r="A29" s="42" t="n">
        <v>31</v>
      </c>
      <c r="B29" s="40" t="n">
        <v>46313</v>
      </c>
      <c r="C29" s="41" t="s">
        <v>92</v>
      </c>
      <c r="D29" s="41" t="s">
        <v>102</v>
      </c>
      <c r="E29" s="45" t="n">
        <v>2.47272440980858</v>
      </c>
      <c r="F29" s="45" t="n">
        <v>2.43078781616134</v>
      </c>
      <c r="G29" s="45" t="n">
        <v>4.90351222596992</v>
      </c>
      <c r="H29" s="43" t="n">
        <v>0.851964406803928</v>
      </c>
      <c r="I29" s="44" t="n">
        <f aca="false">IFERROR(1/H29,"")</f>
        <v>1.17375795516084</v>
      </c>
      <c r="J29" s="43" t="n">
        <v>0.705480896352774</v>
      </c>
      <c r="K29" s="44" t="n">
        <f aca="false">IFERROR(1/J29,"")</f>
        <v>1.41747282622371</v>
      </c>
      <c r="L29" s="43" t="n">
        <v>0.53334655280005</v>
      </c>
      <c r="M29" s="44" t="n">
        <f aca="false">IFERROR(1/L29,"")</f>
        <v>1.87495352646424</v>
      </c>
      <c r="N29" s="43" t="n">
        <v>0.367852316342533</v>
      </c>
      <c r="O29" s="44" t="n">
        <f aca="false">IFERROR(1/N29,"")</f>
        <v>2.71848227012068</v>
      </c>
      <c r="P29" s="43" t="n">
        <v>0.232317896588151</v>
      </c>
      <c r="Q29" s="44" t="n">
        <f aca="false">IFERROR(1/P29,"")</f>
        <v>4.30444668571006</v>
      </c>
    </row>
    <row r="30" customFormat="false" ht="18.75" hidden="false" customHeight="true" outlineLevel="0" collapsed="false">
      <c r="A30" s="35" t="n">
        <v>31</v>
      </c>
      <c r="B30" s="33" t="n">
        <v>46313</v>
      </c>
      <c r="C30" s="34" t="s">
        <v>90</v>
      </c>
      <c r="D30" s="34" t="s">
        <v>99</v>
      </c>
      <c r="E30" s="38" t="n">
        <v>2.35346592082071</v>
      </c>
      <c r="F30" s="38" t="n">
        <v>2.50628135937995</v>
      </c>
      <c r="G30" s="38" t="n">
        <v>4.85974728020066</v>
      </c>
      <c r="H30" s="36" t="n">
        <v>0.847994643708472</v>
      </c>
      <c r="I30" s="37" t="n">
        <f aca="false">IFERROR(1/H30,"")</f>
        <v>1.17925273162903</v>
      </c>
      <c r="J30" s="36" t="n">
        <v>0.699285925761855</v>
      </c>
      <c r="K30" s="37" t="n">
        <f aca="false">IFERROR(1/J30,"")</f>
        <v>1.43003021104783</v>
      </c>
      <c r="L30" s="36" t="n">
        <v>0.525931332375872</v>
      </c>
      <c r="M30" s="37" t="n">
        <f aca="false">IFERROR(1/L30,"")</f>
        <v>1.9013889046742</v>
      </c>
      <c r="N30" s="36" t="n">
        <v>0.360594034639136</v>
      </c>
      <c r="O30" s="37" t="n">
        <f aca="false">IFERROR(1/N30,"")</f>
        <v>2.77320172808945</v>
      </c>
      <c r="P30" s="36" t="n">
        <v>0.226268772031443</v>
      </c>
      <c r="Q30" s="37" t="n">
        <f aca="false">IFERROR(1/P30,"")</f>
        <v>4.41952281360787</v>
      </c>
    </row>
    <row r="31" customFormat="false" ht="18.75" hidden="false" customHeight="true" outlineLevel="0" collapsed="false">
      <c r="A31" s="42" t="n">
        <v>31</v>
      </c>
      <c r="B31" s="40" t="n">
        <v>46313</v>
      </c>
      <c r="C31" s="41" t="s">
        <v>103</v>
      </c>
      <c r="D31" s="41" t="s">
        <v>8</v>
      </c>
      <c r="E31" s="45" t="n">
        <v>2.38089236041061</v>
      </c>
      <c r="F31" s="45" t="n">
        <v>2.9080663821118</v>
      </c>
      <c r="G31" s="45" t="n">
        <v>5.28895874252242</v>
      </c>
      <c r="H31" s="43" t="n">
        <v>0.883044603688009</v>
      </c>
      <c r="I31" s="44" t="n">
        <f aca="false">IFERROR(1/H31,"")</f>
        <v>1.13244562712181</v>
      </c>
      <c r="J31" s="43" t="n">
        <v>0.755816896149987</v>
      </c>
      <c r="K31" s="44" t="n">
        <f aca="false">IFERROR(1/J31,"")</f>
        <v>1.32307177187205</v>
      </c>
      <c r="L31" s="43" t="n">
        <v>0.595899143852299</v>
      </c>
      <c r="M31" s="44" t="n">
        <f aca="false">IFERROR(1/L31,"")</f>
        <v>1.67813632611606</v>
      </c>
      <c r="N31" s="43" t="n">
        <v>0.431443716926167</v>
      </c>
      <c r="O31" s="44" t="n">
        <f aca="false">IFERROR(1/N31,"")</f>
        <v>2.31779942729153</v>
      </c>
      <c r="P31" s="43" t="n">
        <v>0.287381158418866</v>
      </c>
      <c r="Q31" s="44" t="n">
        <f aca="false">IFERROR(1/P31,"")</f>
        <v>3.4796992450788</v>
      </c>
    </row>
    <row r="32" customFormat="false" ht="18.75" hidden="false" customHeight="true" outlineLevel="0" collapsed="false">
      <c r="A32" s="35" t="n">
        <v>31</v>
      </c>
      <c r="B32" s="33" t="n">
        <v>46313</v>
      </c>
      <c r="C32" s="34" t="s">
        <v>93</v>
      </c>
      <c r="D32" s="34" t="s">
        <v>83</v>
      </c>
      <c r="E32" s="38" t="n">
        <v>1.76046911866753</v>
      </c>
      <c r="F32" s="38" t="n">
        <v>2.60698206519959</v>
      </c>
      <c r="G32" s="38" t="n">
        <v>4.36745118386712</v>
      </c>
      <c r="H32" s="36" t="n">
        <v>0.796271482811177</v>
      </c>
      <c r="I32" s="37" t="n">
        <f aca="false">IFERROR(1/H32,"")</f>
        <v>1.25585308727819</v>
      </c>
      <c r="J32" s="36" t="n">
        <v>0.622719434485512</v>
      </c>
      <c r="K32" s="37" t="n">
        <f aca="false">IFERROR(1/J32,"")</f>
        <v>1.60585962894541</v>
      </c>
      <c r="L32" s="36" t="n">
        <v>0.438928492896808</v>
      </c>
      <c r="M32" s="37" t="n">
        <f aca="false">IFERROR(1/L32,"")</f>
        <v>2.27827542796385</v>
      </c>
      <c r="N32" s="36" t="n">
        <v>0.279687447825964</v>
      </c>
      <c r="O32" s="37" t="n">
        <f aca="false">IFERROR(1/N32,"")</f>
        <v>3.57541966138663</v>
      </c>
      <c r="P32" s="36" t="n">
        <v>0.162160538083601</v>
      </c>
      <c r="Q32" s="37" t="n">
        <f aca="false">IFERROR(1/P32,"")</f>
        <v>6.16672842738385</v>
      </c>
    </row>
    <row r="33" customFormat="false" ht="18.75" hidden="false" customHeight="true" outlineLevel="0" collapsed="false">
      <c r="A33" s="42" t="n">
        <v>31</v>
      </c>
      <c r="B33" s="40" t="n">
        <v>46313</v>
      </c>
      <c r="C33" s="41" t="s">
        <v>101</v>
      </c>
      <c r="D33" s="41" t="s">
        <v>106</v>
      </c>
      <c r="E33" s="45" t="n">
        <v>2.68430604009329</v>
      </c>
      <c r="F33" s="45" t="n">
        <v>4.06206509321987</v>
      </c>
      <c r="G33" s="45" t="n">
        <v>6.74637113331316</v>
      </c>
      <c r="H33" s="43" t="n">
        <v>0.953513114689371</v>
      </c>
      <c r="I33" s="44" t="n">
        <f aca="false">IFERROR(1/H33,"")</f>
        <v>1.048753273127</v>
      </c>
      <c r="J33" s="43" t="n">
        <v>0.886019986648843</v>
      </c>
      <c r="K33" s="44" t="n">
        <f aca="false">IFERROR(1/J33,"")</f>
        <v>1.128642711303</v>
      </c>
      <c r="L33" s="43" t="n">
        <v>0.781107073427894</v>
      </c>
      <c r="M33" s="44" t="n">
        <f aca="false">IFERROR(1/L33,"")</f>
        <v>1.28023421374421</v>
      </c>
      <c r="N33" s="43" t="n">
        <v>0.647682785304919</v>
      </c>
      <c r="O33" s="44" t="n">
        <f aca="false">IFERROR(1/N33,"")</f>
        <v>1.54396569229367</v>
      </c>
      <c r="P33" s="43" t="n">
        <v>0.50314139644936</v>
      </c>
      <c r="Q33" s="44" t="n">
        <f aca="false">IFERROR(1/P33,"")</f>
        <v>1.98751286826515</v>
      </c>
    </row>
    <row r="34" customFormat="false" ht="18.75" hidden="false" customHeight="true" outlineLevel="0" collapsed="false">
      <c r="A34" s="35" t="n">
        <v>31</v>
      </c>
      <c r="B34" s="33" t="n">
        <v>46313</v>
      </c>
      <c r="C34" s="34" t="s">
        <v>98</v>
      </c>
      <c r="D34" s="34" t="s">
        <v>88</v>
      </c>
      <c r="E34" s="38" t="n">
        <v>2.33218487070797</v>
      </c>
      <c r="F34" s="38" t="n">
        <v>3.42920946143835</v>
      </c>
      <c r="G34" s="38" t="n">
        <v>5.76139433214632</v>
      </c>
      <c r="H34" s="36" t="n">
        <v>0.912867180164909</v>
      </c>
      <c r="I34" s="37" t="n">
        <f aca="false">IFERROR(1/H34,"")</f>
        <v>1.09544961384125</v>
      </c>
      <c r="J34" s="36" t="n">
        <v>0.807671551735069</v>
      </c>
      <c r="K34" s="37" t="n">
        <f aca="false">IFERROR(1/J34,"")</f>
        <v>1.23812705530084</v>
      </c>
      <c r="L34" s="36" t="n">
        <v>0.665089197218201</v>
      </c>
      <c r="M34" s="37" t="n">
        <f aca="false">IFERROR(1/L34,"")</f>
        <v>1.50355772456175</v>
      </c>
      <c r="N34" s="36" t="n">
        <v>0.506975159520199</v>
      </c>
      <c r="O34" s="37" t="n">
        <f aca="false">IFERROR(1/N34,"")</f>
        <v>1.97248322964462</v>
      </c>
      <c r="P34" s="36" t="n">
        <v>0.357617858247528</v>
      </c>
      <c r="Q34" s="37" t="n">
        <f aca="false">IFERROR(1/P34,"")</f>
        <v>2.79628093770374</v>
      </c>
    </row>
    <row r="35" customFormat="false" ht="18.75" hidden="false" customHeight="true" outlineLevel="0" collapsed="false">
      <c r="A35" s="42" t="n">
        <v>31</v>
      </c>
      <c r="B35" s="40" t="n">
        <v>46313</v>
      </c>
      <c r="C35" s="41" t="s">
        <v>105</v>
      </c>
      <c r="D35" s="41" t="s">
        <v>96</v>
      </c>
      <c r="E35" s="45" t="n">
        <v>2.81983495836743</v>
      </c>
      <c r="F35" s="45" t="n">
        <v>3.37322766764803</v>
      </c>
      <c r="G35" s="45" t="n">
        <v>6.19306262601546</v>
      </c>
      <c r="H35" s="43" t="n">
        <v>0.933701567717726</v>
      </c>
      <c r="I35" s="44" t="n">
        <f aca="false">IFERROR(1/H35,"")</f>
        <v>1.07100602009733</v>
      </c>
      <c r="J35" s="43" t="n">
        <v>0.846499900949187</v>
      </c>
      <c r="K35" s="44" t="n">
        <f aca="false">IFERROR(1/J35,"")</f>
        <v>1.18133504667714</v>
      </c>
      <c r="L35" s="43" t="n">
        <v>0.720611656983674</v>
      </c>
      <c r="M35" s="44" t="n">
        <f aca="false">IFERROR(1/L35,"")</f>
        <v>1.38770999651294</v>
      </c>
      <c r="N35" s="43" t="n">
        <v>0.571921533403419</v>
      </c>
      <c r="O35" s="44" t="n">
        <f aca="false">IFERROR(1/N35,"")</f>
        <v>1.74849160521925</v>
      </c>
      <c r="P35" s="43" t="n">
        <v>0.422321927068718</v>
      </c>
      <c r="Q35" s="44" t="n">
        <f aca="false">IFERROR(1/P35,"")</f>
        <v>2.36786189848316</v>
      </c>
    </row>
    <row r="36" customFormat="false" ht="18.75" hidden="false" customHeight="true" outlineLevel="0" collapsed="false">
      <c r="A36" s="35" t="n">
        <v>31</v>
      </c>
      <c r="B36" s="33" t="n">
        <v>46313</v>
      </c>
      <c r="C36" s="34" t="s">
        <v>95</v>
      </c>
      <c r="D36" s="34" t="s">
        <v>100</v>
      </c>
      <c r="E36" s="38" t="n">
        <v>2.30839565134519</v>
      </c>
      <c r="F36" s="38" t="n">
        <v>2.28271447566371</v>
      </c>
      <c r="G36" s="38" t="n">
        <v>4.59111012700891</v>
      </c>
      <c r="H36" s="36" t="n">
        <v>0.821448086106442</v>
      </c>
      <c r="I36" s="37" t="n">
        <f aca="false">IFERROR(1/H36,"")</f>
        <v>1.21736238347072</v>
      </c>
      <c r="J36" s="36" t="n">
        <v>0.659072817656237</v>
      </c>
      <c r="K36" s="37" t="n">
        <f aca="false">IFERROR(1/J36,"")</f>
        <v>1.51728302732337</v>
      </c>
      <c r="L36" s="36" t="n">
        <v>0.479197760119734</v>
      </c>
      <c r="M36" s="37" t="n">
        <f aca="false">IFERROR(1/L36,"")</f>
        <v>2.08682110648876</v>
      </c>
      <c r="N36" s="36" t="n">
        <v>0.3161711241467</v>
      </c>
      <c r="O36" s="37" t="n">
        <f aca="false">IFERROR(1/N36,"")</f>
        <v>3.16284418034334</v>
      </c>
      <c r="P36" s="36" t="n">
        <v>0.190308271796103</v>
      </c>
      <c r="Q36" s="37" t="n">
        <f aca="false">IFERROR(1/P36,"")</f>
        <v>5.2546323423682</v>
      </c>
    </row>
    <row r="37" customFormat="false" ht="18.75" hidden="false" customHeight="true" outlineLevel="0" collapsed="false">
      <c r="A37" s="42" t="n">
        <v>31</v>
      </c>
      <c r="B37" s="40" t="n">
        <v>46313</v>
      </c>
      <c r="C37" s="41" t="s">
        <v>104</v>
      </c>
      <c r="D37" s="41" t="s">
        <v>91</v>
      </c>
      <c r="E37" s="45" t="n">
        <v>1.89909255681071</v>
      </c>
      <c r="F37" s="45" t="n">
        <v>2.45169373978975</v>
      </c>
      <c r="G37" s="45" t="n">
        <v>4.35078629660046</v>
      </c>
      <c r="H37" s="43" t="n">
        <v>0.794276323324933</v>
      </c>
      <c r="I37" s="44" t="n">
        <f aca="false">IFERROR(1/H37,"")</f>
        <v>1.25900769119478</v>
      </c>
      <c r="J37" s="43" t="n">
        <v>0.619907145751698</v>
      </c>
      <c r="K37" s="44" t="n">
        <f aca="false">IFERROR(1/J37,"")</f>
        <v>1.61314481830566</v>
      </c>
      <c r="L37" s="43" t="n">
        <v>0.435887954705864</v>
      </c>
      <c r="M37" s="44" t="n">
        <f aca="false">IFERROR(1/L37,"")</f>
        <v>2.2941675474258</v>
      </c>
      <c r="N37" s="43" t="n">
        <v>0.276999232422584</v>
      </c>
      <c r="O37" s="44" t="n">
        <f aca="false">IFERROR(1/N37,"")</f>
        <v>3.61011830702267</v>
      </c>
      <c r="P37" s="43" t="n">
        <v>0.160136937809921</v>
      </c>
      <c r="Q37" s="44" t="n">
        <f aca="false">IFERROR(1/P37,"")</f>
        <v>6.24465544100125</v>
      </c>
    </row>
    <row r="38" customFormat="false" ht="18.75" hidden="false" customHeight="true" outlineLevel="0" collapsed="false">
      <c r="A38" s="35" t="n">
        <v>31</v>
      </c>
      <c r="B38" s="33" t="n">
        <v>46313</v>
      </c>
      <c r="C38" s="34" t="s">
        <v>87</v>
      </c>
      <c r="D38" s="34" t="s">
        <v>84</v>
      </c>
      <c r="E38" s="38" t="n">
        <v>2.00463979471866</v>
      </c>
      <c r="F38" s="38" t="n">
        <v>2.56529458231935</v>
      </c>
      <c r="G38" s="38" t="n">
        <v>4.56993437703801</v>
      </c>
      <c r="H38" s="36" t="n">
        <v>0.819188666080924</v>
      </c>
      <c r="I38" s="37" t="n">
        <f aca="false">IFERROR(1/H38,"")</f>
        <v>1.22072001408918</v>
      </c>
      <c r="J38" s="36" t="n">
        <v>0.65574252007214</v>
      </c>
      <c r="K38" s="37" t="n">
        <f aca="false">IFERROR(1/J38,"")</f>
        <v>1.52498880183946</v>
      </c>
      <c r="L38" s="36" t="n">
        <v>0.475432650969923</v>
      </c>
      <c r="M38" s="37" t="n">
        <f aca="false">IFERROR(1/L38,"")</f>
        <v>2.10334733628394</v>
      </c>
      <c r="N38" s="36" t="n">
        <v>0.312690193746411</v>
      </c>
      <c r="O38" s="37" t="n">
        <f aca="false">IFERROR(1/N38,"")</f>
        <v>3.1980536006543</v>
      </c>
      <c r="P38" s="36" t="n">
        <v>0.187568209956978</v>
      </c>
      <c r="Q38" s="37" t="n">
        <f aca="false">IFERROR(1/P38,"")</f>
        <v>5.33139384456123</v>
      </c>
    </row>
    <row r="39" customFormat="false" ht="18.75" hidden="false" customHeight="true" outlineLevel="0" collapsed="false">
      <c r="A39" s="42" t="n">
        <v>32</v>
      </c>
      <c r="B39" s="40" t="n">
        <v>46320</v>
      </c>
      <c r="C39" s="41" t="s">
        <v>83</v>
      </c>
      <c r="D39" s="41" t="s">
        <v>98</v>
      </c>
      <c r="E39" s="45" t="n">
        <v>2.56502507908304</v>
      </c>
      <c r="F39" s="45" t="n">
        <v>1.78820128846914</v>
      </c>
      <c r="G39" s="45" t="n">
        <v>4.35322636755219</v>
      </c>
      <c r="H39" s="43" t="n">
        <v>0.794569517367752</v>
      </c>
      <c r="I39" s="44" t="n">
        <f aca="false">IFERROR(1/H39,"")</f>
        <v>1.25854312069861</v>
      </c>
      <c r="J39" s="43" t="n">
        <v>0.620319810481526</v>
      </c>
      <c r="K39" s="44" t="n">
        <f aca="false">IFERROR(1/J39,"")</f>
        <v>1.61207168157945</v>
      </c>
      <c r="L39" s="43" t="n">
        <v>0.436333454394016</v>
      </c>
      <c r="M39" s="44" t="n">
        <f aca="false">IFERROR(1/L39,"")</f>
        <v>2.29182518537069</v>
      </c>
      <c r="N39" s="43" t="n">
        <v>0.277392528921964</v>
      </c>
      <c r="O39" s="44" t="n">
        <f aca="false">IFERROR(1/N39,"")</f>
        <v>3.60499975931694</v>
      </c>
      <c r="P39" s="43" t="n">
        <v>0.160432561610588</v>
      </c>
      <c r="Q39" s="44" t="n">
        <f aca="false">IFERROR(1/P39,"")</f>
        <v>6.23314861996195</v>
      </c>
    </row>
    <row r="40" customFormat="false" ht="18.75" hidden="false" customHeight="true" outlineLevel="0" collapsed="false">
      <c r="A40" s="35" t="n">
        <v>32</v>
      </c>
      <c r="B40" s="33" t="n">
        <v>46320</v>
      </c>
      <c r="C40" s="34" t="s">
        <v>99</v>
      </c>
      <c r="D40" s="34" t="s">
        <v>105</v>
      </c>
      <c r="E40" s="38" t="n">
        <v>2.50083469295466</v>
      </c>
      <c r="F40" s="38" t="n">
        <v>2.85211956864645</v>
      </c>
      <c r="G40" s="38" t="n">
        <v>5.3529542616011</v>
      </c>
      <c r="H40" s="36" t="n">
        <v>0.887579177637637</v>
      </c>
      <c r="I40" s="37" t="n">
        <f aca="false">IFERROR(1/H40,"")</f>
        <v>1.12666004926071</v>
      </c>
      <c r="J40" s="36" t="n">
        <v>0.763456930765264</v>
      </c>
      <c r="K40" s="37" t="n">
        <f aca="false">IFERROR(1/J40,"")</f>
        <v>1.3098315827687</v>
      </c>
      <c r="L40" s="36" t="n">
        <v>0.605772529495936</v>
      </c>
      <c r="M40" s="37" t="n">
        <f aca="false">IFERROR(1/L40,"")</f>
        <v>1.65078466141755</v>
      </c>
      <c r="N40" s="36" t="n">
        <v>0.441878023479283</v>
      </c>
      <c r="O40" s="37" t="n">
        <f aca="false">IFERROR(1/N40,"")</f>
        <v>2.26306796641785</v>
      </c>
      <c r="P40" s="36" t="n">
        <v>0.29676999577048</v>
      </c>
      <c r="Q40" s="37" t="n">
        <f aca="false">IFERROR(1/P40,"")</f>
        <v>3.36961287950886</v>
      </c>
    </row>
    <row r="41" customFormat="false" ht="18.75" hidden="false" customHeight="true" outlineLevel="0" collapsed="false">
      <c r="A41" s="42" t="n">
        <v>32</v>
      </c>
      <c r="B41" s="40" t="n">
        <v>46320</v>
      </c>
      <c r="C41" s="41" t="s">
        <v>96</v>
      </c>
      <c r="D41" s="41" t="s">
        <v>104</v>
      </c>
      <c r="E41" s="45" t="n">
        <v>2.05506642583665</v>
      </c>
      <c r="F41" s="45" t="n">
        <v>2.4959682708214</v>
      </c>
      <c r="G41" s="45" t="n">
        <v>4.55103469665805</v>
      </c>
      <c r="H41" s="43" t="n">
        <v>0.81715065275908</v>
      </c>
      <c r="I41" s="44" t="n">
        <f aca="false">IFERROR(1/H41,"")</f>
        <v>1.22376454895255</v>
      </c>
      <c r="J41" s="43" t="n">
        <v>0.652750392261264</v>
      </c>
      <c r="K41" s="44" t="n">
        <f aca="false">IFERROR(1/J41,"")</f>
        <v>1.53197916363679</v>
      </c>
      <c r="L41" s="43" t="n">
        <v>0.472063180920421</v>
      </c>
      <c r="M41" s="44" t="n">
        <f aca="false">IFERROR(1/L41,"")</f>
        <v>2.1183605085451</v>
      </c>
      <c r="N41" s="43" t="n">
        <v>0.309587305188332</v>
      </c>
      <c r="O41" s="44" t="n">
        <f aca="false">IFERROR(1/N41,"")</f>
        <v>3.23010660721914</v>
      </c>
      <c r="P41" s="43" t="n">
        <v>0.185135345640795</v>
      </c>
      <c r="Q41" s="44" t="n">
        <f aca="false">IFERROR(1/P41,"")</f>
        <v>5.40145371235717</v>
      </c>
    </row>
    <row r="42" customFormat="false" ht="18.75" hidden="false" customHeight="true" outlineLevel="0" collapsed="false">
      <c r="A42" s="35" t="n">
        <v>32</v>
      </c>
      <c r="B42" s="33" t="n">
        <v>46320</v>
      </c>
      <c r="C42" s="34" t="s">
        <v>8</v>
      </c>
      <c r="D42" s="34" t="s">
        <v>90</v>
      </c>
      <c r="E42" s="38" t="n">
        <v>2.30557570986074</v>
      </c>
      <c r="F42" s="38" t="n">
        <v>2.69652541319927</v>
      </c>
      <c r="G42" s="38" t="n">
        <v>5.00210112306001</v>
      </c>
      <c r="H42" s="36" t="n">
        <v>0.860563476887894</v>
      </c>
      <c r="I42" s="37" t="n">
        <f aca="false">IFERROR(1/H42,"")</f>
        <v>1.16202932945325</v>
      </c>
      <c r="J42" s="36" t="n">
        <v>0.719073765710047</v>
      </c>
      <c r="K42" s="37" t="n">
        <f aca="false">IFERROR(1/J42,"")</f>
        <v>1.39067790772836</v>
      </c>
      <c r="L42" s="36" t="n">
        <v>0.549827799124935</v>
      </c>
      <c r="M42" s="37" t="n">
        <f aca="false">IFERROR(1/L42,"")</f>
        <v>1.81875125555951</v>
      </c>
      <c r="N42" s="36" t="n">
        <v>0.384194233012067</v>
      </c>
      <c r="O42" s="37" t="n">
        <f aca="false">IFERROR(1/N42,"")</f>
        <v>2.60285010568754</v>
      </c>
      <c r="P42" s="36" t="n">
        <v>0.246114557215532</v>
      </c>
      <c r="Q42" s="37" t="n">
        <f aca="false">IFERROR(1/P42,"")</f>
        <v>4.06314852446644</v>
      </c>
    </row>
    <row r="43" customFormat="false" ht="18.75" hidden="false" customHeight="true" outlineLevel="0" collapsed="false">
      <c r="A43" s="42" t="n">
        <v>32</v>
      </c>
      <c r="B43" s="40" t="n">
        <v>46320</v>
      </c>
      <c r="C43" s="41" t="s">
        <v>100</v>
      </c>
      <c r="D43" s="41" t="s">
        <v>93</v>
      </c>
      <c r="E43" s="45" t="n">
        <v>2.47684121736982</v>
      </c>
      <c r="F43" s="45" t="n">
        <v>2.9678368266916</v>
      </c>
      <c r="G43" s="45" t="n">
        <v>5.44467804406142</v>
      </c>
      <c r="H43" s="43" t="n">
        <v>0.89379379398219</v>
      </c>
      <c r="I43" s="44" t="n">
        <f aca="false">IFERROR(1/H43,"")</f>
        <v>1.11882629610195</v>
      </c>
      <c r="J43" s="43" t="n">
        <v>0.774062607152098</v>
      </c>
      <c r="K43" s="44" t="n">
        <f aca="false">IFERROR(1/J43,"")</f>
        <v>1.29188516634225</v>
      </c>
      <c r="L43" s="43" t="n">
        <v>0.619655372519844</v>
      </c>
      <c r="M43" s="44" t="n">
        <f aca="false">IFERROR(1/L43,"")</f>
        <v>1.61380025792962</v>
      </c>
      <c r="N43" s="43" t="n">
        <v>0.456739064364482</v>
      </c>
      <c r="O43" s="44" t="n">
        <f aca="false">IFERROR(1/N43,"")</f>
        <v>2.18943391976209</v>
      </c>
      <c r="P43" s="43" t="n">
        <v>0.310314865550746</v>
      </c>
      <c r="Q43" s="44" t="n">
        <f aca="false">IFERROR(1/P43,"")</f>
        <v>3.22253333956529</v>
      </c>
    </row>
    <row r="44" customFormat="false" ht="18.75" hidden="false" customHeight="true" outlineLevel="0" collapsed="false">
      <c r="A44" s="35" t="n">
        <v>32</v>
      </c>
      <c r="B44" s="33" t="n">
        <v>46320</v>
      </c>
      <c r="C44" s="34" t="s">
        <v>95</v>
      </c>
      <c r="D44" s="34" t="s">
        <v>87</v>
      </c>
      <c r="E44" s="38" t="n">
        <v>2.37668466259918</v>
      </c>
      <c r="F44" s="38" t="n">
        <v>2.27059726310476</v>
      </c>
      <c r="G44" s="38" t="n">
        <v>4.64728192570394</v>
      </c>
      <c r="H44" s="36" t="n">
        <v>0.827320035486776</v>
      </c>
      <c r="I44" s="37" t="n">
        <f aca="false">IFERROR(1/H44,"")</f>
        <v>1.20872208710819</v>
      </c>
      <c r="J44" s="36" t="n">
        <v>0.667793317568487</v>
      </c>
      <c r="K44" s="37" t="n">
        <f aca="false">IFERROR(1/J44,"")</f>
        <v>1.49746931227332</v>
      </c>
      <c r="L44" s="36" t="n">
        <v>0.489131496237984</v>
      </c>
      <c r="M44" s="37" t="n">
        <f aca="false">IFERROR(1/L44,"")</f>
        <v>2.04444000783269</v>
      </c>
      <c r="N44" s="36" t="n">
        <v>0.325424725688286</v>
      </c>
      <c r="O44" s="37" t="n">
        <f aca="false">IFERROR(1/N44,"")</f>
        <v>3.07290725339005</v>
      </c>
      <c r="P44" s="36" t="n">
        <v>0.197647661095643</v>
      </c>
      <c r="Q44" s="37" t="n">
        <f aca="false">IFERROR(1/P44,"")</f>
        <v>5.05950839213873</v>
      </c>
    </row>
    <row r="45" customFormat="false" ht="18.75" hidden="false" customHeight="true" outlineLevel="0" collapsed="false">
      <c r="A45" s="42" t="n">
        <v>32</v>
      </c>
      <c r="B45" s="40" t="n">
        <v>46320</v>
      </c>
      <c r="C45" s="41" t="s">
        <v>102</v>
      </c>
      <c r="D45" s="41" t="s">
        <v>91</v>
      </c>
      <c r="E45" s="45" t="n">
        <v>2.01511835023971</v>
      </c>
      <c r="F45" s="45" t="n">
        <v>3.45612959968942</v>
      </c>
      <c r="G45" s="45" t="n">
        <v>5.47124794992913</v>
      </c>
      <c r="H45" s="43" t="n">
        <v>0.895533201422346</v>
      </c>
      <c r="I45" s="44" t="n">
        <f aca="false">IFERROR(1/H45,"")</f>
        <v>1.116653183167</v>
      </c>
      <c r="J45" s="43" t="n">
        <v>0.777059921322182</v>
      </c>
      <c r="K45" s="44" t="n">
        <f aca="false">IFERROR(1/J45,"")</f>
        <v>1.28690204263589</v>
      </c>
      <c r="L45" s="43" t="n">
        <v>0.623616982456893</v>
      </c>
      <c r="M45" s="44" t="n">
        <f aca="false">IFERROR(1/L45,"")</f>
        <v>1.60354837685827</v>
      </c>
      <c r="N45" s="43" t="n">
        <v>0.461020943857281</v>
      </c>
      <c r="O45" s="44" t="n">
        <f aca="false">IFERROR(1/N45,"")</f>
        <v>2.1690988518508</v>
      </c>
      <c r="P45" s="43" t="n">
        <v>0.314255303258867</v>
      </c>
      <c r="Q45" s="44" t="n">
        <f aca="false">IFERROR(1/P45,"")</f>
        <v>3.18212609184276</v>
      </c>
    </row>
    <row r="46" customFormat="false" ht="18.75" hidden="false" customHeight="true" outlineLevel="0" collapsed="false">
      <c r="A46" s="35" t="n">
        <v>32</v>
      </c>
      <c r="B46" s="33" t="n">
        <v>46320</v>
      </c>
      <c r="C46" s="34" t="s">
        <v>88</v>
      </c>
      <c r="D46" s="34" t="s">
        <v>103</v>
      </c>
      <c r="E46" s="38" t="n">
        <v>3.03580138772541</v>
      </c>
      <c r="F46" s="38" t="n">
        <v>2.54973650764069</v>
      </c>
      <c r="G46" s="38" t="n">
        <v>5.58553789536609</v>
      </c>
      <c r="H46" s="36" t="n">
        <v>0.902715656961158</v>
      </c>
      <c r="I46" s="37" t="n">
        <f aca="false">IFERROR(1/H46,"")</f>
        <v>1.10776853407676</v>
      </c>
      <c r="J46" s="36" t="n">
        <v>0.789576108105722</v>
      </c>
      <c r="K46" s="37" t="n">
        <f aca="false">IFERROR(1/J46,"")</f>
        <v>1.26650235453439</v>
      </c>
      <c r="L46" s="36" t="n">
        <v>0.640346791083229</v>
      </c>
      <c r="M46" s="37" t="n">
        <f aca="false">IFERROR(1/L46,"")</f>
        <v>1.56165380060447</v>
      </c>
      <c r="N46" s="36" t="n">
        <v>0.479308031214384</v>
      </c>
      <c r="O46" s="37" t="n">
        <f aca="false">IFERROR(1/N46,"")</f>
        <v>2.08634100594222</v>
      </c>
      <c r="P46" s="36" t="n">
        <v>0.331275193299963</v>
      </c>
      <c r="Q46" s="37" t="n">
        <f aca="false">IFERROR(1/P46,"")</f>
        <v>3.01863834124918</v>
      </c>
    </row>
    <row r="47" customFormat="false" ht="18.75" hidden="false" customHeight="true" outlineLevel="0" collapsed="false">
      <c r="A47" s="42" t="n">
        <v>32</v>
      </c>
      <c r="B47" s="40" t="n">
        <v>46320</v>
      </c>
      <c r="C47" s="41" t="s">
        <v>84</v>
      </c>
      <c r="D47" s="41" t="s">
        <v>101</v>
      </c>
      <c r="E47" s="45" t="n">
        <v>2.84217348114191</v>
      </c>
      <c r="F47" s="45" t="n">
        <v>2.53895460426352</v>
      </c>
      <c r="G47" s="45" t="n">
        <v>5.38112808540543</v>
      </c>
      <c r="H47" s="43" t="n">
        <v>0.88952320853458</v>
      </c>
      <c r="I47" s="44" t="n">
        <f aca="false">IFERROR(1/H47,"")</f>
        <v>1.12419776168339</v>
      </c>
      <c r="J47" s="43" t="n">
        <v>0.766757491861109</v>
      </c>
      <c r="K47" s="44" t="n">
        <f aca="false">IFERROR(1/J47,"")</f>
        <v>1.30419332137565</v>
      </c>
      <c r="L47" s="43" t="n">
        <v>0.610070673910898</v>
      </c>
      <c r="M47" s="44" t="n">
        <f aca="false">IFERROR(1/L47,"")</f>
        <v>1.6391543517236</v>
      </c>
      <c r="N47" s="43" t="n">
        <v>0.446455199616289</v>
      </c>
      <c r="O47" s="44" t="n">
        <f aca="false">IFERROR(1/N47,"")</f>
        <v>2.23986639837426</v>
      </c>
      <c r="P47" s="43" t="n">
        <v>0.300920125343817</v>
      </c>
      <c r="Q47" s="44" t="n">
        <f aca="false">IFERROR(1/P47,"")</f>
        <v>3.32314097921316</v>
      </c>
    </row>
    <row r="48" customFormat="false" ht="18.75" hidden="false" customHeight="true" outlineLevel="0" collapsed="false">
      <c r="A48" s="35" t="n">
        <v>32</v>
      </c>
      <c r="B48" s="33" t="n">
        <v>46320</v>
      </c>
      <c r="C48" s="34" t="s">
        <v>106</v>
      </c>
      <c r="D48" s="34" t="s">
        <v>92</v>
      </c>
      <c r="E48" s="38" t="n">
        <v>2.86859564630925</v>
      </c>
      <c r="F48" s="38" t="n">
        <v>2.55288085136543</v>
      </c>
      <c r="G48" s="38" t="n">
        <v>5.42147649767468</v>
      </c>
      <c r="H48" s="36" t="n">
        <v>0.892252812789576</v>
      </c>
      <c r="I48" s="37" t="n">
        <f aca="false">IFERROR(1/H48,"")</f>
        <v>1.12075858508482</v>
      </c>
      <c r="J48" s="36" t="n">
        <v>0.771417906298909</v>
      </c>
      <c r="K48" s="37" t="n">
        <f aca="false">IFERROR(1/J48,"")</f>
        <v>1.29631421805825</v>
      </c>
      <c r="L48" s="36" t="n">
        <v>0.616173890785652</v>
      </c>
      <c r="M48" s="37" t="n">
        <f aca="false">IFERROR(1/L48,"")</f>
        <v>1.62291848933253</v>
      </c>
      <c r="N48" s="36" t="n">
        <v>0.452991278094458</v>
      </c>
      <c r="O48" s="37" t="n">
        <f aca="false">IFERROR(1/N48,"")</f>
        <v>2.20754802213097</v>
      </c>
      <c r="P48" s="36" t="n">
        <v>0.306879818778134</v>
      </c>
      <c r="Q48" s="37" t="n">
        <f aca="false">IFERROR(1/P48,"")</f>
        <v>3.25860463546145</v>
      </c>
    </row>
    <row r="49" customFormat="false" ht="18.75" hidden="false" customHeight="true" outlineLevel="0" collapsed="false">
      <c r="A49" s="42" t="n">
        <v>33</v>
      </c>
      <c r="B49" s="40" t="n">
        <v>46323</v>
      </c>
      <c r="C49" s="41" t="s">
        <v>90</v>
      </c>
      <c r="D49" s="41" t="s">
        <v>96</v>
      </c>
      <c r="E49" s="45" t="n">
        <v>2.6079472234251</v>
      </c>
      <c r="F49" s="45" t="n">
        <v>3.01616829037819</v>
      </c>
      <c r="G49" s="45" t="n">
        <v>5.6241155138033</v>
      </c>
      <c r="H49" s="43" t="n">
        <v>0.905033572154695</v>
      </c>
      <c r="I49" s="44" t="n">
        <f aca="false">IFERROR(1/H49,"")</f>
        <v>1.1049313868205</v>
      </c>
      <c r="J49" s="43" t="n">
        <v>0.793664838521324</v>
      </c>
      <c r="K49" s="44" t="n">
        <f aca="false">IFERROR(1/J49,"")</f>
        <v>1.25997770275813</v>
      </c>
      <c r="L49" s="43" t="n">
        <v>0.645878872624784</v>
      </c>
      <c r="M49" s="44" t="n">
        <f aca="false">IFERROR(1/L49,"")</f>
        <v>1.54827792390252</v>
      </c>
      <c r="N49" s="43" t="n">
        <v>0.485428893533599</v>
      </c>
      <c r="O49" s="44" t="n">
        <f aca="false">IFERROR(1/N49,"")</f>
        <v>2.06003394796026</v>
      </c>
      <c r="P49" s="43" t="n">
        <v>0.337041325635543</v>
      </c>
      <c r="Q49" s="44" t="n">
        <f aca="false">IFERROR(1/P49,"")</f>
        <v>2.96699521376005</v>
      </c>
    </row>
    <row r="50" customFormat="false" ht="18.75" hidden="false" customHeight="true" outlineLevel="0" collapsed="false">
      <c r="A50" s="35" t="n">
        <v>33</v>
      </c>
      <c r="B50" s="33" t="n">
        <v>46323</v>
      </c>
      <c r="C50" s="34" t="s">
        <v>103</v>
      </c>
      <c r="D50" s="34" t="s">
        <v>87</v>
      </c>
      <c r="E50" s="38" t="n">
        <v>2.40999914658235</v>
      </c>
      <c r="F50" s="38" t="n">
        <v>3.02151229018899</v>
      </c>
      <c r="G50" s="38" t="n">
        <v>5.43151143677134</v>
      </c>
      <c r="H50" s="36" t="n">
        <v>0.89292184867307</v>
      </c>
      <c r="I50" s="37" t="n">
        <f aca="false">IFERROR(1/H50,"")</f>
        <v>1.11991883890629</v>
      </c>
      <c r="J50" s="36" t="n">
        <v>0.772564910786759</v>
      </c>
      <c r="K50" s="37" t="n">
        <f aca="false">IFERROR(1/J50,"")</f>
        <v>1.2943896183191</v>
      </c>
      <c r="L50" s="36" t="n">
        <v>0.617682194335101</v>
      </c>
      <c r="M50" s="37" t="n">
        <f aca="false">IFERROR(1/L50,"")</f>
        <v>1.61895552303631</v>
      </c>
      <c r="N50" s="36" t="n">
        <v>0.45461321927298</v>
      </c>
      <c r="O50" s="37" t="n">
        <f aca="false">IFERROR(1/N50,"")</f>
        <v>2.19967206760773</v>
      </c>
      <c r="P50" s="36" t="n">
        <v>0.308364824656944</v>
      </c>
      <c r="Q50" s="37" t="n">
        <f aca="false">IFERROR(1/P50,"")</f>
        <v>3.24291203159278</v>
      </c>
    </row>
    <row r="51" customFormat="false" ht="18.75" hidden="false" customHeight="true" outlineLevel="0" collapsed="false">
      <c r="A51" s="42" t="n">
        <v>33</v>
      </c>
      <c r="B51" s="40" t="n">
        <v>46323</v>
      </c>
      <c r="C51" s="41" t="s">
        <v>91</v>
      </c>
      <c r="D51" s="41" t="s">
        <v>83</v>
      </c>
      <c r="E51" s="45" t="n">
        <v>1.9015733424473</v>
      </c>
      <c r="F51" s="45" t="n">
        <v>2.37996116703485</v>
      </c>
      <c r="G51" s="45" t="n">
        <v>4.28153450948214</v>
      </c>
      <c r="H51" s="43" t="n">
        <v>0.785801613288069</v>
      </c>
      <c r="I51" s="44" t="n">
        <f aca="false">IFERROR(1/H51,"")</f>
        <v>1.27258583221234</v>
      </c>
      <c r="J51" s="43" t="n">
        <v>0.608068587730416</v>
      </c>
      <c r="K51" s="44" t="n">
        <f aca="false">IFERROR(1/J51,"")</f>
        <v>1.64455132229811</v>
      </c>
      <c r="L51" s="43" t="n">
        <v>0.423203020208872</v>
      </c>
      <c r="M51" s="44" t="n">
        <f aca="false">IFERROR(1/L51,"")</f>
        <v>2.36293209700264</v>
      </c>
      <c r="N51" s="43" t="n">
        <v>0.265884272677648</v>
      </c>
      <c r="O51" s="44" t="n">
        <f aca="false">IFERROR(1/N51,"")</f>
        <v>3.76103479129952</v>
      </c>
      <c r="P51" s="43" t="n">
        <v>0.151844507747419</v>
      </c>
      <c r="Q51" s="44" t="n">
        <f aca="false">IFERROR(1/P51,"")</f>
        <v>6.58568436115859</v>
      </c>
    </row>
    <row r="52" customFormat="false" ht="18.75" hidden="false" customHeight="true" outlineLevel="0" collapsed="false">
      <c r="A52" s="35" t="n">
        <v>33</v>
      </c>
      <c r="B52" s="33" t="n">
        <v>46323</v>
      </c>
      <c r="C52" s="34" t="s">
        <v>101</v>
      </c>
      <c r="D52" s="34" t="s">
        <v>95</v>
      </c>
      <c r="E52" s="38" t="n">
        <v>2.28922696796418</v>
      </c>
      <c r="F52" s="38" t="n">
        <v>3.30791809408644</v>
      </c>
      <c r="G52" s="38" t="n">
        <v>5.59714506205062</v>
      </c>
      <c r="H52" s="36" t="n">
        <v>0.903418598271783</v>
      </c>
      <c r="I52" s="37" t="n">
        <f aca="false">IFERROR(1/H52,"")</f>
        <v>1.10690659004915</v>
      </c>
      <c r="J52" s="36" t="n">
        <v>0.79081346228315</v>
      </c>
      <c r="K52" s="37" t="n">
        <f aca="false">IFERROR(1/J52,"")</f>
        <v>1.26452070898352</v>
      </c>
      <c r="L52" s="36" t="n">
        <v>0.642017408272428</v>
      </c>
      <c r="M52" s="37" t="n">
        <f aca="false">IFERROR(1/L52,"")</f>
        <v>1.55759016362321</v>
      </c>
      <c r="N52" s="36" t="n">
        <v>0.481152547939844</v>
      </c>
      <c r="O52" s="37" t="n">
        <f aca="false">IFERROR(1/N52,"")</f>
        <v>2.0783429377683</v>
      </c>
      <c r="P52" s="36" t="n">
        <v>0.333009137031034</v>
      </c>
      <c r="Q52" s="37" t="n">
        <f aca="false">IFERROR(1/P52,"")</f>
        <v>3.00292060727092</v>
      </c>
    </row>
    <row r="53" customFormat="false" ht="18.75" hidden="false" customHeight="true" outlineLevel="0" collapsed="false">
      <c r="A53" s="42" t="n">
        <v>33</v>
      </c>
      <c r="B53" s="40" t="n">
        <v>46323</v>
      </c>
      <c r="C53" s="41" t="s">
        <v>99</v>
      </c>
      <c r="D53" s="41" t="s">
        <v>106</v>
      </c>
      <c r="E53" s="45" t="n">
        <v>2.21739889579535</v>
      </c>
      <c r="F53" s="45" t="n">
        <v>3.16125703315573</v>
      </c>
      <c r="G53" s="45" t="n">
        <v>5.37865592895108</v>
      </c>
      <c r="H53" s="43" t="n">
        <v>0.889353887554213</v>
      </c>
      <c r="I53" s="44" t="n">
        <f aca="false">IFERROR(1/H53,"")</f>
        <v>1.1244117937687</v>
      </c>
      <c r="J53" s="43" t="n">
        <v>0.766469409522289</v>
      </c>
      <c r="K53" s="44" t="n">
        <f aca="false">IFERROR(1/J53,"")</f>
        <v>1.30468351062212</v>
      </c>
      <c r="L53" s="43" t="n">
        <v>0.609694723699054</v>
      </c>
      <c r="M53" s="44" t="n">
        <f aca="false">IFERROR(1/L53,"")</f>
        <v>1.64016508775563</v>
      </c>
      <c r="N53" s="43" t="n">
        <v>0.446053994323241</v>
      </c>
      <c r="O53" s="44" t="n">
        <f aca="false">IFERROR(1/N53,"")</f>
        <v>2.24188105638918</v>
      </c>
      <c r="P53" s="43" t="n">
        <v>0.300555581633509</v>
      </c>
      <c r="Q53" s="44" t="n">
        <f aca="false">IFERROR(1/P53,"")</f>
        <v>3.32717161519689</v>
      </c>
    </row>
    <row r="54" customFormat="false" ht="18.75" hidden="false" customHeight="true" outlineLevel="0" collapsed="false">
      <c r="A54" s="35" t="n">
        <v>33</v>
      </c>
      <c r="B54" s="33" t="n">
        <v>46323</v>
      </c>
      <c r="C54" s="34" t="s">
        <v>98</v>
      </c>
      <c r="D54" s="34" t="s">
        <v>100</v>
      </c>
      <c r="E54" s="38" t="n">
        <v>2.39970671411485</v>
      </c>
      <c r="F54" s="38" t="n">
        <v>3.06141061383906</v>
      </c>
      <c r="G54" s="38" t="n">
        <v>5.4611173279539</v>
      </c>
      <c r="H54" s="36" t="n">
        <v>0.894873161015105</v>
      </c>
      <c r="I54" s="37" t="n">
        <f aca="false">IFERROR(1/H54,"")</f>
        <v>1.11747680404857</v>
      </c>
      <c r="J54" s="36" t="n">
        <v>0.775921034903091</v>
      </c>
      <c r="K54" s="37" t="n">
        <f aca="false">IFERROR(1/J54,"")</f>
        <v>1.28879094007923</v>
      </c>
      <c r="L54" s="36" t="n">
        <v>0.622109687537346</v>
      </c>
      <c r="M54" s="37" t="n">
        <f aca="false">IFERROR(1/L54,"")</f>
        <v>1.60743357647838</v>
      </c>
      <c r="N54" s="36" t="n">
        <v>0.459389625333002</v>
      </c>
      <c r="O54" s="37" t="n">
        <f aca="false">IFERROR(1/N54,"")</f>
        <v>2.17680144447128</v>
      </c>
      <c r="P54" s="36" t="n">
        <v>0.312752071209281</v>
      </c>
      <c r="Q54" s="37" t="n">
        <f aca="false">IFERROR(1/P54,"")</f>
        <v>3.19742087121412</v>
      </c>
    </row>
    <row r="55" customFormat="false" ht="18.75" hidden="false" customHeight="true" outlineLevel="0" collapsed="false">
      <c r="A55" s="42" t="n">
        <v>33</v>
      </c>
      <c r="B55" s="40" t="n">
        <v>46323</v>
      </c>
      <c r="C55" s="41" t="s">
        <v>105</v>
      </c>
      <c r="D55" s="41" t="s">
        <v>92</v>
      </c>
      <c r="E55" s="45" t="n">
        <v>2.58807736655483</v>
      </c>
      <c r="F55" s="45" t="n">
        <v>2.87919914282465</v>
      </c>
      <c r="G55" s="45" t="n">
        <v>5.46727650937947</v>
      </c>
      <c r="H55" s="43" t="n">
        <v>0.895274913128637</v>
      </c>
      <c r="I55" s="44" t="n">
        <f aca="false">IFERROR(1/H55,"")</f>
        <v>1.1169753394579</v>
      </c>
      <c r="J55" s="43" t="n">
        <v>0.776614028190298</v>
      </c>
      <c r="K55" s="44" t="n">
        <f aca="false">IFERROR(1/J55,"")</f>
        <v>1.28764091775453</v>
      </c>
      <c r="L55" s="43" t="n">
        <v>0.623026557520776</v>
      </c>
      <c r="M55" s="44" t="n">
        <f aca="false">IFERROR(1/L55,"")</f>
        <v>1.60506801504469</v>
      </c>
      <c r="N55" s="43" t="n">
        <v>0.460381619532036</v>
      </c>
      <c r="O55" s="44" t="n">
        <f aca="false">IFERROR(1/N55,"")</f>
        <v>2.17211104347839</v>
      </c>
      <c r="P55" s="43" t="n">
        <v>0.313665883879341</v>
      </c>
      <c r="Q55" s="44" t="n">
        <f aca="false">IFERROR(1/P55,"")</f>
        <v>3.18810572457626</v>
      </c>
    </row>
    <row r="56" customFormat="false" ht="18.75" hidden="false" customHeight="true" outlineLevel="0" collapsed="false">
      <c r="A56" s="35" t="n">
        <v>33</v>
      </c>
      <c r="B56" s="33" t="n">
        <v>46323</v>
      </c>
      <c r="C56" s="34" t="s">
        <v>104</v>
      </c>
      <c r="D56" s="34" t="s">
        <v>93</v>
      </c>
      <c r="E56" s="38" t="n">
        <v>2.08024412512906</v>
      </c>
      <c r="F56" s="38" t="n">
        <v>2.26976841806983</v>
      </c>
      <c r="G56" s="38" t="n">
        <v>4.35001254319889</v>
      </c>
      <c r="H56" s="36" t="n">
        <v>0.794183274353438</v>
      </c>
      <c r="I56" s="37" t="n">
        <f aca="false">IFERROR(1/H56,"")</f>
        <v>1.25915520043421</v>
      </c>
      <c r="J56" s="36" t="n">
        <v>0.619776224909746</v>
      </c>
      <c r="K56" s="37" t="n">
        <f aca="false">IFERROR(1/J56,"")</f>
        <v>1.61348557722688</v>
      </c>
      <c r="L56" s="36" t="n">
        <v>0.435746663921251</v>
      </c>
      <c r="M56" s="37" t="n">
        <f aca="false">IFERROR(1/L56,"")</f>
        <v>2.29491143087839</v>
      </c>
      <c r="N56" s="36" t="n">
        <v>0.276874539587467</v>
      </c>
      <c r="O56" s="37" t="n">
        <f aca="false">IFERROR(1/N56,"")</f>
        <v>3.61174415491567</v>
      </c>
      <c r="P56" s="36" t="n">
        <v>0.160043242944318</v>
      </c>
      <c r="Q56" s="37" t="n">
        <f aca="false">IFERROR(1/P56,"")</f>
        <v>6.24831127889553</v>
      </c>
    </row>
    <row r="57" customFormat="false" ht="18.75" hidden="false" customHeight="true" outlineLevel="0" collapsed="false">
      <c r="A57" s="42" t="n">
        <v>33</v>
      </c>
      <c r="B57" s="40" t="n">
        <v>46323</v>
      </c>
      <c r="C57" s="41" t="s">
        <v>88</v>
      </c>
      <c r="D57" s="41" t="s">
        <v>102</v>
      </c>
      <c r="E57" s="45" t="n">
        <v>2.90410535805057</v>
      </c>
      <c r="F57" s="45" t="n">
        <v>2.33445174629874</v>
      </c>
      <c r="G57" s="45" t="n">
        <v>5.23855710434931</v>
      </c>
      <c r="H57" s="43" t="n">
        <v>0.879354416293922</v>
      </c>
      <c r="I57" s="44" t="n">
        <f aca="false">IFERROR(1/H57,"")</f>
        <v>1.13719790504328</v>
      </c>
      <c r="J57" s="43" t="n">
        <v>0.749658680679706</v>
      </c>
      <c r="K57" s="44" t="n">
        <f aca="false">IFERROR(1/J57,"")</f>
        <v>1.3339403995073</v>
      </c>
      <c r="L57" s="43" t="n">
        <v>0.58801650225854</v>
      </c>
      <c r="M57" s="44" t="n">
        <f aca="false">IFERROR(1/L57,"")</f>
        <v>1.70063254374504</v>
      </c>
      <c r="N57" s="43" t="n">
        <v>0.423192577947718</v>
      </c>
      <c r="O57" s="44" t="n">
        <f aca="false">IFERROR(1/N57,"")</f>
        <v>2.36299040226443</v>
      </c>
      <c r="P57" s="43" t="n">
        <v>0.28002746939524</v>
      </c>
      <c r="Q57" s="44" t="n">
        <f aca="false">IFERROR(1/P57,"")</f>
        <v>3.57107823085944</v>
      </c>
    </row>
    <row r="58" customFormat="false" ht="18.75" hidden="false" customHeight="true" outlineLevel="0" collapsed="false">
      <c r="A58" s="35" t="n">
        <v>33</v>
      </c>
      <c r="B58" s="33" t="n">
        <v>46323</v>
      </c>
      <c r="C58" s="34" t="s">
        <v>84</v>
      </c>
      <c r="D58" s="34" t="s">
        <v>8</v>
      </c>
      <c r="E58" s="38" t="n">
        <v>2.26112824028548</v>
      </c>
      <c r="F58" s="38" t="n">
        <v>2.16247562432677</v>
      </c>
      <c r="G58" s="38" t="n">
        <v>4.42360386461224</v>
      </c>
      <c r="H58" s="36" t="n">
        <v>0.802870010091427</v>
      </c>
      <c r="I58" s="37" t="n">
        <f aca="false">IFERROR(1/H58,"")</f>
        <v>1.24553163953169</v>
      </c>
      <c r="J58" s="36" t="n">
        <v>0.632090352785555</v>
      </c>
      <c r="K58" s="37" t="n">
        <f aca="false">IFERROR(1/J58,"")</f>
        <v>1.58205230564445</v>
      </c>
      <c r="L58" s="36" t="n">
        <v>0.44913624088884</v>
      </c>
      <c r="M58" s="37" t="n">
        <f aca="false">IFERROR(1/L58,"")</f>
        <v>2.22649590249275</v>
      </c>
      <c r="N58" s="36" t="n">
        <v>0.288780405335715</v>
      </c>
      <c r="O58" s="37" t="n">
        <f aca="false">IFERROR(1/N58,"")</f>
        <v>3.46283882674613</v>
      </c>
      <c r="P58" s="36" t="n">
        <v>0.169057087182163</v>
      </c>
      <c r="Q58" s="37" t="n">
        <f aca="false">IFERROR(1/P58,"")</f>
        <v>5.91516165733102</v>
      </c>
    </row>
    <row r="59" customFormat="false" ht="18.75" hidden="false" customHeight="true" outlineLevel="0" collapsed="false">
      <c r="A59" s="42" t="n">
        <v>34</v>
      </c>
      <c r="B59" s="40" t="n">
        <v>46330</v>
      </c>
      <c r="C59" s="41" t="s">
        <v>92</v>
      </c>
      <c r="D59" s="41" t="s">
        <v>84</v>
      </c>
      <c r="E59" s="45" t="n">
        <v>1.92213376588604</v>
      </c>
      <c r="F59" s="45" t="n">
        <v>2.52140659497907</v>
      </c>
      <c r="G59" s="45" t="n">
        <v>4.44354036086511</v>
      </c>
      <c r="H59" s="43" t="n">
        <v>0.805167180660741</v>
      </c>
      <c r="I59" s="44" t="n">
        <f aca="false">IFERROR(1/H59,"")</f>
        <v>1.24197809351764</v>
      </c>
      <c r="J59" s="43" t="n">
        <v>0.635378254424652</v>
      </c>
      <c r="K59" s="44" t="n">
        <f aca="false">IFERROR(1/J59,"")</f>
        <v>1.57386563521208</v>
      </c>
      <c r="L59" s="43" t="n">
        <v>0.452745788874585</v>
      </c>
      <c r="M59" s="44" t="n">
        <f aca="false">IFERROR(1/L59,"")</f>
        <v>2.20874500563717</v>
      </c>
      <c r="N59" s="43" t="n">
        <v>0.292020890469346</v>
      </c>
      <c r="O59" s="44" t="n">
        <f aca="false">IFERROR(1/N59,"")</f>
        <v>3.42441254251628</v>
      </c>
      <c r="P59" s="43" t="n">
        <v>0.171534021398803</v>
      </c>
      <c r="Q59" s="44" t="n">
        <f aca="false">IFERROR(1/P59,"")</f>
        <v>5.82974731103098</v>
      </c>
    </row>
    <row r="60" customFormat="false" ht="18.75" hidden="false" customHeight="true" outlineLevel="0" collapsed="false">
      <c r="A60" s="35" t="n">
        <v>34</v>
      </c>
      <c r="B60" s="33" t="n">
        <v>46330</v>
      </c>
      <c r="C60" s="34" t="s">
        <v>93</v>
      </c>
      <c r="D60" s="34" t="s">
        <v>90</v>
      </c>
      <c r="E60" s="38" t="n">
        <v>2.65180392735559</v>
      </c>
      <c r="F60" s="38" t="n">
        <v>2.73051072966043</v>
      </c>
      <c r="G60" s="38" t="n">
        <v>5.38231465701601</v>
      </c>
      <c r="H60" s="36" t="n">
        <v>0.88960439250737</v>
      </c>
      <c r="I60" s="37" t="n">
        <f aca="false">IFERROR(1/H60,"")</f>
        <v>1.12409516906889</v>
      </c>
      <c r="J60" s="36" t="n">
        <v>0.766895659622322</v>
      </c>
      <c r="K60" s="37" t="n">
        <f aca="false">IFERROR(1/J60,"")</f>
        <v>1.30395835137791</v>
      </c>
      <c r="L60" s="36" t="n">
        <v>0.610251038375272</v>
      </c>
      <c r="M60" s="37" t="n">
        <f aca="false">IFERROR(1/L60,"")</f>
        <v>1.63866988684262</v>
      </c>
      <c r="N60" s="36" t="n">
        <v>0.446647738233331</v>
      </c>
      <c r="O60" s="37" t="n">
        <f aca="false">IFERROR(1/N60,"")</f>
        <v>2.23890084825101</v>
      </c>
      <c r="P60" s="36" t="n">
        <v>0.301095122644801</v>
      </c>
      <c r="Q60" s="37" t="n">
        <f aca="false">IFERROR(1/P60,"")</f>
        <v>3.32120956067325</v>
      </c>
    </row>
    <row r="61" customFormat="false" ht="18.75" hidden="false" customHeight="true" outlineLevel="0" collapsed="false">
      <c r="A61" s="42" t="n">
        <v>34</v>
      </c>
      <c r="B61" s="40" t="n">
        <v>46330</v>
      </c>
      <c r="C61" s="41" t="s">
        <v>91</v>
      </c>
      <c r="D61" s="41" t="s">
        <v>88</v>
      </c>
      <c r="E61" s="45" t="n">
        <v>2.77967853409799</v>
      </c>
      <c r="F61" s="45" t="n">
        <v>2.83881666432944</v>
      </c>
      <c r="G61" s="45" t="n">
        <v>5.61849519842743</v>
      </c>
      <c r="H61" s="43" t="n">
        <v>0.904699139308958</v>
      </c>
      <c r="I61" s="44" t="n">
        <f aca="false">IFERROR(1/H61,"")</f>
        <v>1.10533983790881</v>
      </c>
      <c r="J61" s="43" t="n">
        <v>0.793073376922257</v>
      </c>
      <c r="K61" s="44" t="n">
        <f aca="false">IFERROR(1/J61,"")</f>
        <v>1.26091737422933</v>
      </c>
      <c r="L61" s="43" t="n">
        <v>0.645076544449288</v>
      </c>
      <c r="M61" s="44" t="n">
        <f aca="false">IFERROR(1/L61,"")</f>
        <v>1.55020362870846</v>
      </c>
      <c r="N61" s="43" t="n">
        <v>0.484538872691874</v>
      </c>
      <c r="O61" s="44" t="n">
        <f aca="false">IFERROR(1/N61,"")</f>
        <v>2.06381790266788</v>
      </c>
      <c r="P61" s="43" t="n">
        <v>0.336200714832211</v>
      </c>
      <c r="Q61" s="44" t="n">
        <f aca="false">IFERROR(1/P61,"")</f>
        <v>2.97441366387062</v>
      </c>
    </row>
    <row r="62" customFormat="false" ht="18.75" hidden="false" customHeight="true" outlineLevel="0" collapsed="false">
      <c r="A62" s="35" t="n">
        <v>34</v>
      </c>
      <c r="B62" s="33" t="n">
        <v>46330</v>
      </c>
      <c r="C62" s="34" t="s">
        <v>83</v>
      </c>
      <c r="D62" s="34" t="s">
        <v>95</v>
      </c>
      <c r="E62" s="38" t="n">
        <v>1.91258887389849</v>
      </c>
      <c r="F62" s="38" t="n">
        <v>1.72015857344244</v>
      </c>
      <c r="G62" s="38" t="n">
        <v>3.63274744734093</v>
      </c>
      <c r="H62" s="36" t="n">
        <v>0.690907789880559</v>
      </c>
      <c r="I62" s="37" t="n">
        <f aca="false">IFERROR(1/H62,"")</f>
        <v>1.44737114655036</v>
      </c>
      <c r="J62" s="36" t="n">
        <v>0.486049236893</v>
      </c>
      <c r="K62" s="37" t="n">
        <f aca="false">IFERROR(1/J62,"")</f>
        <v>2.05740473206451</v>
      </c>
      <c r="L62" s="36" t="n">
        <v>0.302633398894846</v>
      </c>
      <c r="M62" s="37" t="n">
        <f aca="false">IFERROR(1/L62,"")</f>
        <v>3.30432795471944</v>
      </c>
      <c r="N62" s="36" t="n">
        <v>0.168277689790284</v>
      </c>
      <c r="O62" s="37" t="n">
        <f aca="false">IFERROR(1/N62,"")</f>
        <v>5.94255840596725</v>
      </c>
      <c r="P62" s="36" t="n">
        <v>0.0844424139038302</v>
      </c>
      <c r="Q62" s="37" t="n">
        <f aca="false">IFERROR(1/P62,"")</f>
        <v>11.8423900237963</v>
      </c>
    </row>
    <row r="63" customFormat="false" ht="18.75" hidden="false" customHeight="true" outlineLevel="0" collapsed="false">
      <c r="A63" s="42" t="n">
        <v>34</v>
      </c>
      <c r="B63" s="40" t="n">
        <v>46330</v>
      </c>
      <c r="C63" s="41" t="s">
        <v>96</v>
      </c>
      <c r="D63" s="41" t="s">
        <v>103</v>
      </c>
      <c r="E63" s="45" t="n">
        <v>3.02838197494098</v>
      </c>
      <c r="F63" s="45" t="n">
        <v>2.89270327558492</v>
      </c>
      <c r="G63" s="45" t="n">
        <v>5.9210852505259</v>
      </c>
      <c r="H63" s="43" t="n">
        <v>0.921211088569406</v>
      </c>
      <c r="I63" s="44" t="n">
        <f aca="false">IFERROR(1/H63,"")</f>
        <v>1.08552753262333</v>
      </c>
      <c r="J63" s="43" t="n">
        <v>0.822930629721196</v>
      </c>
      <c r="K63" s="44" t="n">
        <f aca="false">IFERROR(1/J63,"")</f>
        <v>1.21516925471445</v>
      </c>
      <c r="L63" s="43" t="n">
        <v>0.686494216374094</v>
      </c>
      <c r="M63" s="44" t="n">
        <f aca="false">IFERROR(1/L63,"")</f>
        <v>1.4566765111027</v>
      </c>
      <c r="N63" s="43" t="n">
        <v>0.531530518902863</v>
      </c>
      <c r="O63" s="44" t="n">
        <f aca="false">IFERROR(1/N63,"")</f>
        <v>1.88135951640954</v>
      </c>
      <c r="P63" s="43" t="n">
        <v>0.381603112658506</v>
      </c>
      <c r="Q63" s="44" t="n">
        <f aca="false">IFERROR(1/P63,"")</f>
        <v>2.62052369812532</v>
      </c>
    </row>
    <row r="64" customFormat="false" ht="18.75" hidden="false" customHeight="true" outlineLevel="0" collapsed="false">
      <c r="A64" s="35" t="n">
        <v>34</v>
      </c>
      <c r="B64" s="33" t="n">
        <v>46330</v>
      </c>
      <c r="C64" s="34" t="s">
        <v>8</v>
      </c>
      <c r="D64" s="34" t="s">
        <v>105</v>
      </c>
      <c r="E64" s="38" t="n">
        <v>2.57851387111569</v>
      </c>
      <c r="F64" s="38" t="n">
        <v>2.91560985512552</v>
      </c>
      <c r="G64" s="38" t="n">
        <v>5.49412372624122</v>
      </c>
      <c r="H64" s="36" t="n">
        <v>0.897009400020208</v>
      </c>
      <c r="I64" s="37" t="n">
        <f aca="false">IFERROR(1/H64,"")</f>
        <v>1.11481551918795</v>
      </c>
      <c r="J64" s="36" t="n">
        <v>0.779613847890234</v>
      </c>
      <c r="K64" s="37" t="n">
        <f aca="false">IFERROR(1/J64,"")</f>
        <v>1.28268629746145</v>
      </c>
      <c r="L64" s="36" t="n">
        <v>0.627006050963289</v>
      </c>
      <c r="M64" s="37" t="n">
        <f aca="false">IFERROR(1/L64,"")</f>
        <v>1.59488094008609</v>
      </c>
      <c r="N64" s="36" t="n">
        <v>0.464698636189141</v>
      </c>
      <c r="O64" s="37" t="n">
        <f aca="false">IFERROR(1/N64,"")</f>
        <v>2.15193228928045</v>
      </c>
      <c r="P64" s="36" t="n">
        <v>0.317653257769561</v>
      </c>
      <c r="Q64" s="37" t="n">
        <f aca="false">IFERROR(1/P64,"")</f>
        <v>3.14808671260486</v>
      </c>
    </row>
    <row r="65" customFormat="false" ht="18.75" hidden="false" customHeight="true" outlineLevel="0" collapsed="false">
      <c r="A65" s="42" t="n">
        <v>34</v>
      </c>
      <c r="B65" s="40" t="n">
        <v>46330</v>
      </c>
      <c r="C65" s="41" t="s">
        <v>100</v>
      </c>
      <c r="D65" s="41" t="s">
        <v>99</v>
      </c>
      <c r="E65" s="45" t="n">
        <v>2.3927488447098</v>
      </c>
      <c r="F65" s="45" t="n">
        <v>2.50261193577727</v>
      </c>
      <c r="G65" s="45" t="n">
        <v>4.89536078048706</v>
      </c>
      <c r="H65" s="43" t="n">
        <v>0.85123223630399</v>
      </c>
      <c r="I65" s="44" t="n">
        <f aca="false">IFERROR(1/H65,"")</f>
        <v>1.17476753975149</v>
      </c>
      <c r="J65" s="43" t="n">
        <v>0.704334573677252</v>
      </c>
      <c r="K65" s="44" t="n">
        <f aca="false">IFERROR(1/J65,"")</f>
        <v>1.41977979978906</v>
      </c>
      <c r="L65" s="43" t="n">
        <v>0.531969947447774</v>
      </c>
      <c r="M65" s="44" t="n">
        <f aca="false">IFERROR(1/L65,"")</f>
        <v>1.879805437878</v>
      </c>
      <c r="N65" s="43" t="n">
        <v>0.366500447002014</v>
      </c>
      <c r="O65" s="44" t="n">
        <f aca="false">IFERROR(1/N65,"")</f>
        <v>2.72850963260764</v>
      </c>
      <c r="P65" s="43" t="n">
        <v>0.231187562843891</v>
      </c>
      <c r="Q65" s="44" t="n">
        <f aca="false">IFERROR(1/P65,"")</f>
        <v>4.32549220078611</v>
      </c>
    </row>
    <row r="66" customFormat="false" ht="18.75" hidden="false" customHeight="true" outlineLevel="0" collapsed="false">
      <c r="A66" s="35" t="n">
        <v>34</v>
      </c>
      <c r="B66" s="33" t="n">
        <v>46330</v>
      </c>
      <c r="C66" s="34" t="s">
        <v>102</v>
      </c>
      <c r="D66" s="34" t="s">
        <v>104</v>
      </c>
      <c r="E66" s="38" t="n">
        <v>1.63902923910337</v>
      </c>
      <c r="F66" s="38" t="n">
        <v>2.44056848453796</v>
      </c>
      <c r="G66" s="38" t="n">
        <v>4.07959772364133</v>
      </c>
      <c r="H66" s="36" t="n">
        <v>0.759344200865585</v>
      </c>
      <c r="I66" s="37" t="n">
        <f aca="false">IFERROR(1/H66,"")</f>
        <v>1.31692584056096</v>
      </c>
      <c r="J66" s="36" t="n">
        <v>0.572175401890135</v>
      </c>
      <c r="K66" s="37" t="n">
        <f aca="false">IFERROR(1/J66,"")</f>
        <v>1.74771581703195</v>
      </c>
      <c r="L66" s="36" t="n">
        <v>0.385847563693403</v>
      </c>
      <c r="M66" s="37" t="n">
        <f aca="false">IFERROR(1/L66,"")</f>
        <v>2.59169706924626</v>
      </c>
      <c r="N66" s="36" t="n">
        <v>0.234087117651941</v>
      </c>
      <c r="O66" s="37" t="n">
        <f aca="false">IFERROR(1/N66,"")</f>
        <v>4.27191384998332</v>
      </c>
      <c r="P66" s="36" t="n">
        <v>0.128796220829925</v>
      </c>
      <c r="Q66" s="37" t="n">
        <f aca="false">IFERROR(1/P66,"")</f>
        <v>7.76420296772915</v>
      </c>
    </row>
    <row r="67" customFormat="false" ht="18.75" hidden="false" customHeight="true" outlineLevel="0" collapsed="false">
      <c r="A67" s="42" t="n">
        <v>34</v>
      </c>
      <c r="B67" s="40" t="n">
        <v>46330</v>
      </c>
      <c r="C67" s="41" t="s">
        <v>87</v>
      </c>
      <c r="D67" s="41" t="s">
        <v>101</v>
      </c>
      <c r="E67" s="45" t="n">
        <v>3.05824801378243</v>
      </c>
      <c r="F67" s="45" t="n">
        <v>3.11919861459099</v>
      </c>
      <c r="G67" s="45" t="n">
        <v>6.17744662837342</v>
      </c>
      <c r="H67" s="43" t="n">
        <v>0.933038774409801</v>
      </c>
      <c r="I67" s="44" t="n">
        <f aca="false">IFERROR(1/H67,"")</f>
        <v>1.07176681980077</v>
      </c>
      <c r="J67" s="43" t="n">
        <v>0.845225516869964</v>
      </c>
      <c r="K67" s="44" t="n">
        <f aca="false">IFERROR(1/J67,"")</f>
        <v>1.18311619803339</v>
      </c>
      <c r="L67" s="43" t="n">
        <v>0.718732207887012</v>
      </c>
      <c r="M67" s="44" t="n">
        <f aca="false">IFERROR(1/L67,"")</f>
        <v>1.39133878936618</v>
      </c>
      <c r="N67" s="43" t="n">
        <v>0.569654887984501</v>
      </c>
      <c r="O67" s="44" t="n">
        <f aca="false">IFERROR(1/N67,"")</f>
        <v>1.75544881838565</v>
      </c>
      <c r="P67" s="43" t="n">
        <v>0.419994460724058</v>
      </c>
      <c r="Q67" s="44" t="n">
        <f aca="false">IFERROR(1/P67,"")</f>
        <v>2.38098378315759</v>
      </c>
    </row>
    <row r="68" customFormat="false" ht="18.75" hidden="false" customHeight="true" outlineLevel="0" collapsed="false">
      <c r="A68" s="35" t="n">
        <v>34</v>
      </c>
      <c r="B68" s="33" t="n">
        <v>46330</v>
      </c>
      <c r="C68" s="34" t="s">
        <v>106</v>
      </c>
      <c r="D68" s="34" t="s">
        <v>98</v>
      </c>
      <c r="E68" s="38" t="n">
        <v>3.21969276606367</v>
      </c>
      <c r="F68" s="38" t="n">
        <v>2.6710273013895</v>
      </c>
      <c r="G68" s="38" t="n">
        <v>5.89072006745317</v>
      </c>
      <c r="H68" s="36" t="n">
        <v>0.919685199068699</v>
      </c>
      <c r="I68" s="37" t="n">
        <f aca="false">IFERROR(1/H68,"")</f>
        <v>1.08732857831422</v>
      </c>
      <c r="J68" s="36" t="n">
        <v>0.820112589330563</v>
      </c>
      <c r="K68" s="37" t="n">
        <f aca="false">IFERROR(1/J68,"")</f>
        <v>1.2193447741319</v>
      </c>
      <c r="L68" s="36" t="n">
        <v>0.682502314039867</v>
      </c>
      <c r="M68" s="37" t="n">
        <f aca="false">IFERROR(1/L68,"")</f>
        <v>1.46519649740204</v>
      </c>
      <c r="N68" s="36" t="n">
        <v>0.526906325957509</v>
      </c>
      <c r="O68" s="37" t="n">
        <f aca="false">IFERROR(1/N68,"")</f>
        <v>1.89787055257454</v>
      </c>
      <c r="P68" s="36" t="n">
        <v>0.377042330311667</v>
      </c>
      <c r="Q68" s="37" t="n">
        <f aca="false">IFERROR(1/P68,"")</f>
        <v>2.65222209711411</v>
      </c>
    </row>
    <row r="69" customFormat="false" ht="18.75" hidden="false" customHeight="true" outlineLevel="0" collapsed="false">
      <c r="A69" s="42" t="n">
        <v>35</v>
      </c>
      <c r="B69" s="40" t="n">
        <v>46344</v>
      </c>
      <c r="C69" s="41" t="s">
        <v>101</v>
      </c>
      <c r="D69" s="41" t="s">
        <v>93</v>
      </c>
      <c r="E69" s="45" t="n">
        <v>2.78400716908674</v>
      </c>
      <c r="F69" s="45" t="n">
        <v>3.79445666351044</v>
      </c>
      <c r="G69" s="45" t="n">
        <v>6.57846383259717</v>
      </c>
      <c r="H69" s="43" t="n">
        <v>0.948200342150051</v>
      </c>
      <c r="I69" s="44" t="n">
        <f aca="false">IFERROR(1/H69,"")</f>
        <v>1.05462944437722</v>
      </c>
      <c r="J69" s="43" t="n">
        <v>0.875128944335927</v>
      </c>
      <c r="K69" s="44" t="n">
        <f aca="false">IFERROR(1/J69,"")</f>
        <v>1.14268875058044</v>
      </c>
      <c r="L69" s="43" t="n">
        <v>0.763981602764794</v>
      </c>
      <c r="M69" s="44" t="n">
        <f aca="false">IFERROR(1/L69,"")</f>
        <v>1.30893204284118</v>
      </c>
      <c r="N69" s="43" t="n">
        <v>0.625660863452983</v>
      </c>
      <c r="O69" s="44" t="n">
        <f aca="false">IFERROR(1/N69,"")</f>
        <v>1.59830997655993</v>
      </c>
      <c r="P69" s="43" t="n">
        <v>0.479029489214425</v>
      </c>
      <c r="Q69" s="44" t="n">
        <f aca="false">IFERROR(1/P69,"")</f>
        <v>2.08755415379527</v>
      </c>
    </row>
    <row r="70" customFormat="false" ht="18.75" hidden="false" customHeight="true" outlineLevel="0" collapsed="false">
      <c r="A70" s="35" t="n">
        <v>35</v>
      </c>
      <c r="B70" s="33" t="n">
        <v>46344</v>
      </c>
      <c r="C70" s="34" t="s">
        <v>99</v>
      </c>
      <c r="D70" s="34" t="s">
        <v>88</v>
      </c>
      <c r="E70" s="38" t="n">
        <v>2.17001829865123</v>
      </c>
      <c r="F70" s="38" t="n">
        <v>3.00403139746738</v>
      </c>
      <c r="G70" s="38" t="n">
        <v>5.17404969611861</v>
      </c>
      <c r="H70" s="36" t="n">
        <v>0.874474237543349</v>
      </c>
      <c r="I70" s="37" t="n">
        <f aca="false">IFERROR(1/H70,"")</f>
        <v>1.14354426587716</v>
      </c>
      <c r="J70" s="36" t="n">
        <v>0.741593599074271</v>
      </c>
      <c r="K70" s="37" t="n">
        <f aca="false">IFERROR(1/J70,"")</f>
        <v>1.34844745322546</v>
      </c>
      <c r="L70" s="36" t="n">
        <v>0.577793133824248</v>
      </c>
      <c r="M70" s="37" t="n">
        <f aca="false">IFERROR(1/L70,"")</f>
        <v>1.7307232320005</v>
      </c>
      <c r="N70" s="36" t="n">
        <v>0.412595009040728</v>
      </c>
      <c r="O70" s="37" t="n">
        <f aca="false">IFERROR(1/N70,"")</f>
        <v>2.42368418930945</v>
      </c>
      <c r="P70" s="36" t="n">
        <v>0.270674069744296</v>
      </c>
      <c r="Q70" s="37" t="n">
        <f aca="false">IFERROR(1/P70,"")</f>
        <v>3.69448023205434</v>
      </c>
    </row>
    <row r="71" customFormat="false" ht="18.75" hidden="false" customHeight="true" outlineLevel="0" collapsed="false">
      <c r="A71" s="42" t="n">
        <v>35</v>
      </c>
      <c r="B71" s="40" t="n">
        <v>46344</v>
      </c>
      <c r="C71" s="41" t="s">
        <v>96</v>
      </c>
      <c r="D71" s="41" t="s">
        <v>102</v>
      </c>
      <c r="E71" s="45" t="n">
        <v>2.89700780664026</v>
      </c>
      <c r="F71" s="45" t="n">
        <v>2.64846041658707</v>
      </c>
      <c r="G71" s="45" t="n">
        <v>5.54546822322733</v>
      </c>
      <c r="H71" s="43" t="n">
        <v>0.900251919063213</v>
      </c>
      <c r="I71" s="44" t="n">
        <f aca="false">IFERROR(1/H71,"")</f>
        <v>1.11080018695276</v>
      </c>
      <c r="J71" s="43" t="n">
        <v>0.785257007070106</v>
      </c>
      <c r="K71" s="44" t="n">
        <f aca="false">IFERROR(1/J71,"")</f>
        <v>1.27346841988858</v>
      </c>
      <c r="L71" s="43" t="n">
        <v>0.634539126693169</v>
      </c>
      <c r="M71" s="44" t="n">
        <f aca="false">IFERROR(1/L71,"")</f>
        <v>1.57594694784448</v>
      </c>
      <c r="N71" s="43" t="n">
        <v>0.472921960413752</v>
      </c>
      <c r="O71" s="44" t="n">
        <f aca="false">IFERROR(1/N71,"")</f>
        <v>2.11451377543372</v>
      </c>
      <c r="P71" s="43" t="n">
        <v>0.325296393230287</v>
      </c>
      <c r="Q71" s="44" t="n">
        <f aca="false">IFERROR(1/P71,"")</f>
        <v>3.07411954393257</v>
      </c>
    </row>
    <row r="72" customFormat="false" ht="18.75" hidden="false" customHeight="true" outlineLevel="0" collapsed="false">
      <c r="A72" s="35" t="n">
        <v>35</v>
      </c>
      <c r="B72" s="33" t="n">
        <v>46344</v>
      </c>
      <c r="C72" s="34" t="s">
        <v>8</v>
      </c>
      <c r="D72" s="34" t="s">
        <v>92</v>
      </c>
      <c r="E72" s="38" t="n">
        <v>2.32975381772297</v>
      </c>
      <c r="F72" s="38" t="n">
        <v>2.61474593577862</v>
      </c>
      <c r="G72" s="38" t="n">
        <v>4.94449975350159</v>
      </c>
      <c r="H72" s="36" t="n">
        <v>0.855596480265135</v>
      </c>
      <c r="I72" s="37" t="n">
        <f aca="false">IFERROR(1/H72,"")</f>
        <v>1.16877526154633</v>
      </c>
      <c r="J72" s="36" t="n">
        <v>0.711192835077302</v>
      </c>
      <c r="K72" s="37" t="n">
        <f aca="false">IFERROR(1/J72,"")</f>
        <v>1.40608840623557</v>
      </c>
      <c r="L72" s="36" t="n">
        <v>0.540236601459787</v>
      </c>
      <c r="M72" s="37" t="n">
        <f aca="false">IFERROR(1/L72,"")</f>
        <v>1.85104081674192</v>
      </c>
      <c r="N72" s="36" t="n">
        <v>0.374648821520333</v>
      </c>
      <c r="O72" s="37" t="n">
        <f aca="false">IFERROR(1/N72,"")</f>
        <v>2.66916627668007</v>
      </c>
      <c r="P72" s="36" t="n">
        <v>0.238026076383121</v>
      </c>
      <c r="Q72" s="37" t="n">
        <f aca="false">IFERROR(1/P72,"")</f>
        <v>4.201220367093</v>
      </c>
    </row>
    <row r="73" customFormat="false" ht="18.75" hidden="false" customHeight="true" outlineLevel="0" collapsed="false">
      <c r="A73" s="42" t="n">
        <v>35</v>
      </c>
      <c r="B73" s="40" t="n">
        <v>46344</v>
      </c>
      <c r="C73" s="41" t="s">
        <v>105</v>
      </c>
      <c r="D73" s="41" t="s">
        <v>103</v>
      </c>
      <c r="E73" s="45" t="n">
        <v>2.88228297206062</v>
      </c>
      <c r="F73" s="45" t="n">
        <v>2.9384404362692</v>
      </c>
      <c r="G73" s="45" t="n">
        <v>5.82072340832982</v>
      </c>
      <c r="H73" s="43" t="n">
        <v>0.916060336781623</v>
      </c>
      <c r="I73" s="44" t="n">
        <f aca="false">IFERROR(1/H73,"")</f>
        <v>1.09163115118954</v>
      </c>
      <c r="J73" s="43" t="n">
        <v>0.813468113624199</v>
      </c>
      <c r="K73" s="44" t="n">
        <f aca="false">IFERROR(1/J73,"")</f>
        <v>1.22930448440659</v>
      </c>
      <c r="L73" s="43" t="n">
        <v>0.673160274122585</v>
      </c>
      <c r="M73" s="44" t="n">
        <f aca="false">IFERROR(1/L73,"")</f>
        <v>1.48553032381988</v>
      </c>
      <c r="N73" s="43" t="n">
        <v>0.516165212727976</v>
      </c>
      <c r="O73" s="44" t="n">
        <f aca="false">IFERROR(1/N73,"")</f>
        <v>1.937364191428</v>
      </c>
      <c r="P73" s="43" t="n">
        <v>0.366527374271213</v>
      </c>
      <c r="Q73" s="44" t="n">
        <f aca="false">IFERROR(1/P73,"")</f>
        <v>2.72830918014884</v>
      </c>
    </row>
    <row r="74" customFormat="false" ht="18.75" hidden="false" customHeight="true" outlineLevel="0" collapsed="false">
      <c r="A74" s="35" t="n">
        <v>35</v>
      </c>
      <c r="B74" s="33" t="n">
        <v>46344</v>
      </c>
      <c r="C74" s="34" t="s">
        <v>95</v>
      </c>
      <c r="D74" s="34" t="s">
        <v>90</v>
      </c>
      <c r="E74" s="38" t="n">
        <v>2.31178030773809</v>
      </c>
      <c r="F74" s="38" t="n">
        <v>2.24523803963647</v>
      </c>
      <c r="G74" s="38" t="n">
        <v>4.55701834737457</v>
      </c>
      <c r="H74" s="36" t="n">
        <v>0.81779808703126</v>
      </c>
      <c r="I74" s="37" t="n">
        <f aca="false">IFERROR(1/H74,"")</f>
        <v>1.22279571921006</v>
      </c>
      <c r="J74" s="36" t="n">
        <v>0.653699719884862</v>
      </c>
      <c r="K74" s="37" t="n">
        <f aca="false">IFERROR(1/J74,"")</f>
        <v>1.52975436516346</v>
      </c>
      <c r="L74" s="36" t="n">
        <v>0.473130869102301</v>
      </c>
      <c r="M74" s="37" t="n">
        <f aca="false">IFERROR(1/L74,"")</f>
        <v>2.11358012191713</v>
      </c>
      <c r="N74" s="36" t="n">
        <v>0.310569268853213</v>
      </c>
      <c r="O74" s="37" t="n">
        <f aca="false">IFERROR(1/N74,"")</f>
        <v>3.21989359633853</v>
      </c>
      <c r="P74" s="36" t="n">
        <v>0.185904286751526</v>
      </c>
      <c r="Q74" s="37" t="n">
        <f aca="false">IFERROR(1/P74,"")</f>
        <v>5.37911210910682</v>
      </c>
    </row>
    <row r="75" customFormat="false" ht="18.75" hidden="false" customHeight="true" outlineLevel="0" collapsed="false">
      <c r="A75" s="42" t="n">
        <v>35</v>
      </c>
      <c r="B75" s="40" t="n">
        <v>46344</v>
      </c>
      <c r="C75" s="41" t="s">
        <v>104</v>
      </c>
      <c r="D75" s="41" t="s">
        <v>83</v>
      </c>
      <c r="E75" s="45" t="n">
        <v>1.34280843259796</v>
      </c>
      <c r="F75" s="45" t="n">
        <v>1.93578006980914</v>
      </c>
      <c r="G75" s="45" t="n">
        <v>3.27858850240711</v>
      </c>
      <c r="H75" s="43" t="n">
        <v>0.62631989965881</v>
      </c>
      <c r="I75" s="44" t="n">
        <f aca="false">IFERROR(1/H75,"")</f>
        <v>1.59662817762098</v>
      </c>
      <c r="J75" s="43" t="n">
        <v>0.412501584051915</v>
      </c>
      <c r="K75" s="44" t="n">
        <f aca="false">IFERROR(1/J75,"")</f>
        <v>2.42423311488216</v>
      </c>
      <c r="L75" s="43" t="n">
        <v>0.238347169070871</v>
      </c>
      <c r="M75" s="44" t="n">
        <f aca="false">IFERROR(1/L75,"")</f>
        <v>4.19556063492685</v>
      </c>
      <c r="N75" s="43" t="n">
        <v>0.122293030889655</v>
      </c>
      <c r="O75" s="44" t="n">
        <f aca="false">IFERROR(1/N75,"")</f>
        <v>8.17708084201711</v>
      </c>
      <c r="P75" s="43" t="n">
        <v>0.0564153724132191</v>
      </c>
      <c r="Q75" s="44" t="n">
        <f aca="false">IFERROR(1/P75,"")</f>
        <v>17.7256651374277</v>
      </c>
    </row>
    <row r="76" customFormat="false" ht="18.75" hidden="false" customHeight="true" outlineLevel="0" collapsed="false">
      <c r="A76" s="35" t="n">
        <v>35</v>
      </c>
      <c r="B76" s="33" t="n">
        <v>46344</v>
      </c>
      <c r="C76" s="34" t="s">
        <v>87</v>
      </c>
      <c r="D76" s="34" t="s">
        <v>98</v>
      </c>
      <c r="E76" s="38" t="n">
        <v>2.71690953642793</v>
      </c>
      <c r="F76" s="38" t="n">
        <v>2.7692005247036</v>
      </c>
      <c r="G76" s="38" t="n">
        <v>5.48611006113152</v>
      </c>
      <c r="H76" s="36" t="n">
        <v>0.896494504286556</v>
      </c>
      <c r="I76" s="37" t="n">
        <f aca="false">IFERROR(1/H76,"")</f>
        <v>1.11545580616338</v>
      </c>
      <c r="J76" s="36" t="n">
        <v>0.778721974060138</v>
      </c>
      <c r="K76" s="37" t="n">
        <f aca="false">IFERROR(1/J76,"")</f>
        <v>1.28415536393066</v>
      </c>
      <c r="L76" s="36" t="n">
        <v>0.625821113468463</v>
      </c>
      <c r="M76" s="37" t="n">
        <f aca="false">IFERROR(1/L76,"")</f>
        <v>1.59790070753245</v>
      </c>
      <c r="N76" s="36" t="n">
        <v>0.463411246170272</v>
      </c>
      <c r="O76" s="37" t="n">
        <f aca="false">IFERROR(1/N76,"")</f>
        <v>2.15791051310086</v>
      </c>
      <c r="P76" s="36" t="n">
        <v>0.316462368113976</v>
      </c>
      <c r="Q76" s="37" t="n">
        <f aca="false">IFERROR(1/P76,"")</f>
        <v>3.15993337836568</v>
      </c>
    </row>
    <row r="77" customFormat="false" ht="18.75" hidden="false" customHeight="true" outlineLevel="0" collapsed="false">
      <c r="A77" s="42" t="n">
        <v>35</v>
      </c>
      <c r="B77" s="40" t="n">
        <v>46344</v>
      </c>
      <c r="C77" s="41" t="s">
        <v>84</v>
      </c>
      <c r="D77" s="41" t="s">
        <v>100</v>
      </c>
      <c r="E77" s="45" t="n">
        <v>2.22300789630722</v>
      </c>
      <c r="F77" s="45" t="n">
        <v>2.25882586894835</v>
      </c>
      <c r="G77" s="45" t="n">
        <v>4.48183376525556</v>
      </c>
      <c r="H77" s="43" t="n">
        <v>0.809513436791432</v>
      </c>
      <c r="I77" s="44" t="n">
        <f aca="false">IFERROR(1/H77,"")</f>
        <v>1.235309946137</v>
      </c>
      <c r="J77" s="43" t="n">
        <v>0.641635763220269</v>
      </c>
      <c r="K77" s="44" t="n">
        <f aca="false">IFERROR(1/J77,"")</f>
        <v>1.55851661849576</v>
      </c>
      <c r="L77" s="43" t="n">
        <v>0.459656100345025</v>
      </c>
      <c r="M77" s="44" t="n">
        <f aca="false">IFERROR(1/L77,"")</f>
        <v>2.17553949409001</v>
      </c>
      <c r="N77" s="43" t="n">
        <v>0.29826137857044</v>
      </c>
      <c r="O77" s="44" t="n">
        <f aca="false">IFERROR(1/N77,"")</f>
        <v>3.35276395754951</v>
      </c>
      <c r="P77" s="43" t="n">
        <v>0.176332331296542</v>
      </c>
      <c r="Q77" s="44" t="n">
        <f aca="false">IFERROR(1/P77,"")</f>
        <v>5.67110973153459</v>
      </c>
    </row>
    <row r="78" customFormat="false" ht="18.75" hidden="false" customHeight="true" outlineLevel="0" collapsed="false">
      <c r="A78" s="35" t="n">
        <v>35</v>
      </c>
      <c r="B78" s="33" t="n">
        <v>46344</v>
      </c>
      <c r="C78" s="34" t="s">
        <v>106</v>
      </c>
      <c r="D78" s="34" t="s">
        <v>91</v>
      </c>
      <c r="E78" s="38" t="n">
        <v>2.66537159106308</v>
      </c>
      <c r="F78" s="38" t="n">
        <v>3.18353718305711</v>
      </c>
      <c r="G78" s="38" t="n">
        <v>5.84890877412019</v>
      </c>
      <c r="H78" s="36" t="n">
        <v>0.917538206419303</v>
      </c>
      <c r="I78" s="37" t="n">
        <f aca="false">IFERROR(1/H78,"")</f>
        <v>1.0898728717821</v>
      </c>
      <c r="J78" s="36" t="n">
        <v>0.816168708077357</v>
      </c>
      <c r="K78" s="37" t="n">
        <f aca="false">IFERROR(1/J78,"")</f>
        <v>1.2252368782377</v>
      </c>
      <c r="L78" s="36" t="n">
        <v>0.676945493869342</v>
      </c>
      <c r="M78" s="37" t="n">
        <f aca="false">IFERROR(1/L78,"")</f>
        <v>1.47722380761281</v>
      </c>
      <c r="N78" s="36" t="n">
        <v>0.520503777491119</v>
      </c>
      <c r="O78" s="37" t="n">
        <f aca="false">IFERROR(1/N78,"")</f>
        <v>1.921215643852</v>
      </c>
      <c r="P78" s="36" t="n">
        <v>0.370761349854627</v>
      </c>
      <c r="Q78" s="37" t="n">
        <f aca="false">IFERROR(1/P78,"")</f>
        <v>2.6971527652278</v>
      </c>
    </row>
    <row r="79" customFormat="false" ht="18.75" hidden="false" customHeight="true" outlineLevel="0" collapsed="false">
      <c r="A79" s="42" t="n">
        <v>36</v>
      </c>
      <c r="B79" s="40" t="n">
        <v>46348</v>
      </c>
      <c r="C79" s="41" t="s">
        <v>92</v>
      </c>
      <c r="D79" s="41" t="s">
        <v>104</v>
      </c>
      <c r="E79" s="45" t="n">
        <v>1.75409016962147</v>
      </c>
      <c r="F79" s="45" t="n">
        <v>2.2908287487477</v>
      </c>
      <c r="G79" s="45" t="n">
        <v>4.04491891836917</v>
      </c>
      <c r="H79" s="43" t="n">
        <v>0.754530750053202</v>
      </c>
      <c r="I79" s="44" t="n">
        <f aca="false">IFERROR(1/H79,"")</f>
        <v>1.32532703263517</v>
      </c>
      <c r="J79" s="43" t="n">
        <v>0.565811086676582</v>
      </c>
      <c r="K79" s="44" t="n">
        <f aca="false">IFERROR(1/J79,"")</f>
        <v>1.7673743472821</v>
      </c>
      <c r="L79" s="43" t="n">
        <v>0.379393149339736</v>
      </c>
      <c r="M79" s="44" t="n">
        <f aca="false">IFERROR(1/L79,"")</f>
        <v>2.63578823639888</v>
      </c>
      <c r="N79" s="43" t="n">
        <v>0.228734246350684</v>
      </c>
      <c r="O79" s="44" t="n">
        <f aca="false">IFERROR(1/N79,"")</f>
        <v>4.37188578428631</v>
      </c>
      <c r="P79" s="43" t="n">
        <v>0.125016449080782</v>
      </c>
      <c r="Q79" s="44" t="n">
        <f aca="false">IFERROR(1/P79,"")</f>
        <v>7.99894739734473</v>
      </c>
    </row>
    <row r="80" customFormat="false" ht="18.75" hidden="false" customHeight="true" outlineLevel="0" collapsed="false">
      <c r="A80" s="35" t="n">
        <v>36</v>
      </c>
      <c r="B80" s="33" t="n">
        <v>46348</v>
      </c>
      <c r="C80" s="34" t="s">
        <v>90</v>
      </c>
      <c r="D80" s="34" t="s">
        <v>101</v>
      </c>
      <c r="E80" s="38" t="n">
        <v>3.02409189280795</v>
      </c>
      <c r="F80" s="38" t="n">
        <v>3.03401711072997</v>
      </c>
      <c r="G80" s="38" t="n">
        <v>6.05810900353791</v>
      </c>
      <c r="H80" s="36" t="n">
        <v>0.927760506469492</v>
      </c>
      <c r="I80" s="37" t="n">
        <f aca="false">IFERROR(1/H80,"")</f>
        <v>1.07786437666485</v>
      </c>
      <c r="J80" s="36" t="n">
        <v>0.835174148250953</v>
      </c>
      <c r="K80" s="37" t="n">
        <f aca="false">IFERROR(1/J80,"")</f>
        <v>1.19735506911251</v>
      </c>
      <c r="L80" s="36" t="n">
        <v>0.70405047789664</v>
      </c>
      <c r="M80" s="37" t="n">
        <f aca="false">IFERROR(1/L80,"")</f>
        <v>1.42035270395315</v>
      </c>
      <c r="N80" s="36" t="n">
        <v>0.55211760496593</v>
      </c>
      <c r="O80" s="37" t="n">
        <f aca="false">IFERROR(1/N80,"")</f>
        <v>1.81120832048402</v>
      </c>
      <c r="P80" s="36" t="n">
        <v>0.402158173825593</v>
      </c>
      <c r="Q80" s="37" t="n">
        <f aca="false">IFERROR(1/P80,"")</f>
        <v>2.48658379982021</v>
      </c>
    </row>
    <row r="81" customFormat="false" ht="18.75" hidden="false" customHeight="true" outlineLevel="0" collapsed="false">
      <c r="A81" s="42" t="n">
        <v>36</v>
      </c>
      <c r="B81" s="40" t="n">
        <v>46348</v>
      </c>
      <c r="C81" s="41" t="s">
        <v>103</v>
      </c>
      <c r="D81" s="41" t="s">
        <v>99</v>
      </c>
      <c r="E81" s="45" t="n">
        <v>2.32904607591114</v>
      </c>
      <c r="F81" s="45" t="n">
        <v>2.82045924951862</v>
      </c>
      <c r="G81" s="45" t="n">
        <v>5.14950532542976</v>
      </c>
      <c r="H81" s="43" t="n">
        <v>0.872569985922238</v>
      </c>
      <c r="I81" s="44" t="n">
        <f aca="false">IFERROR(1/H81,"")</f>
        <v>1.14603987775614</v>
      </c>
      <c r="J81" s="43" t="n">
        <v>0.738470410062098</v>
      </c>
      <c r="K81" s="44" t="n">
        <f aca="false">IFERROR(1/J81,"")</f>
        <v>1.35415039841056</v>
      </c>
      <c r="L81" s="43" t="n">
        <v>0.573864146011185</v>
      </c>
      <c r="M81" s="44" t="n">
        <f aca="false">IFERROR(1/L81,"")</f>
        <v>1.74257270984919</v>
      </c>
      <c r="N81" s="43" t="n">
        <v>0.408553101678445</v>
      </c>
      <c r="O81" s="44" t="n">
        <f aca="false">IFERROR(1/N81,"")</f>
        <v>2.44766223996767</v>
      </c>
      <c r="P81" s="43" t="n">
        <v>0.267133775943678</v>
      </c>
      <c r="Q81" s="44" t="n">
        <f aca="false">IFERROR(1/P81,"")</f>
        <v>3.74344276184244</v>
      </c>
    </row>
    <row r="82" customFormat="false" ht="18.75" hidden="false" customHeight="true" outlineLevel="0" collapsed="false">
      <c r="A82" s="35" t="n">
        <v>36</v>
      </c>
      <c r="B82" s="33" t="n">
        <v>46348</v>
      </c>
      <c r="C82" s="34" t="s">
        <v>93</v>
      </c>
      <c r="D82" s="34" t="s">
        <v>87</v>
      </c>
      <c r="E82" s="38" t="n">
        <v>2.72625461047067</v>
      </c>
      <c r="F82" s="38" t="n">
        <v>2.7613509481823</v>
      </c>
      <c r="G82" s="38" t="n">
        <v>5.48760555865297</v>
      </c>
      <c r="H82" s="36" t="n">
        <v>0.896590775719739</v>
      </c>
      <c r="I82" s="37" t="n">
        <f aca="false">IFERROR(1/H82,"")</f>
        <v>1.11533603409788</v>
      </c>
      <c r="J82" s="36" t="n">
        <v>0.778888642858082</v>
      </c>
      <c r="K82" s="37" t="n">
        <f aca="false">IFERROR(1/J82,"")</f>
        <v>1.28388057672861</v>
      </c>
      <c r="L82" s="36" t="n">
        <v>0.626042432624342</v>
      </c>
      <c r="M82" s="37" t="n">
        <f aca="false">IFERROR(1/L82,"")</f>
        <v>1.59733581605331</v>
      </c>
      <c r="N82" s="36" t="n">
        <v>0.463651575250096</v>
      </c>
      <c r="O82" s="37" t="n">
        <f aca="false">IFERROR(1/N82,"")</f>
        <v>2.15679198212709</v>
      </c>
      <c r="P82" s="36" t="n">
        <v>0.316684566179524</v>
      </c>
      <c r="Q82" s="37" t="n">
        <f aca="false">IFERROR(1/P82,"")</f>
        <v>3.15771624763397</v>
      </c>
    </row>
    <row r="83" customFormat="false" ht="18.75" hidden="false" customHeight="true" outlineLevel="0" collapsed="false">
      <c r="A83" s="42" t="n">
        <v>36</v>
      </c>
      <c r="B83" s="40" t="n">
        <v>46348</v>
      </c>
      <c r="C83" s="41" t="s">
        <v>91</v>
      </c>
      <c r="D83" s="41" t="s">
        <v>84</v>
      </c>
      <c r="E83" s="45" t="n">
        <v>2.39697215451121</v>
      </c>
      <c r="F83" s="45" t="n">
        <v>2.34277895402334</v>
      </c>
      <c r="G83" s="45" t="n">
        <v>4.73975110853456</v>
      </c>
      <c r="H83" s="43" t="n">
        <v>0.83661053689808</v>
      </c>
      <c r="I83" s="44" t="n">
        <f aca="false">IFERROR(1/H83,"")</f>
        <v>1.19529931299661</v>
      </c>
      <c r="J83" s="43" t="n">
        <v>0.681789300775775</v>
      </c>
      <c r="K83" s="44" t="n">
        <f aca="false">IFERROR(1/J83,"")</f>
        <v>1.4667287956296</v>
      </c>
      <c r="L83" s="43" t="n">
        <v>0.50530435593995</v>
      </c>
      <c r="M83" s="44" t="n">
        <f aca="false">IFERROR(1/L83,"")</f>
        <v>1.9790053029324</v>
      </c>
      <c r="N83" s="43" t="n">
        <v>0.340707568750832</v>
      </c>
      <c r="O83" s="44" t="n">
        <f aca="false">IFERROR(1/N83,"")</f>
        <v>2.93506834516883</v>
      </c>
      <c r="P83" s="43" t="n">
        <v>0.209944102096494</v>
      </c>
      <c r="Q83" s="44" t="n">
        <f aca="false">IFERROR(1/P83,"")</f>
        <v>4.76317262554192</v>
      </c>
    </row>
    <row r="84" customFormat="false" ht="18.75" hidden="false" customHeight="true" outlineLevel="0" collapsed="false">
      <c r="A84" s="35" t="n">
        <v>36</v>
      </c>
      <c r="B84" s="33" t="n">
        <v>46348</v>
      </c>
      <c r="C84" s="34" t="s">
        <v>83</v>
      </c>
      <c r="D84" s="34" t="s">
        <v>96</v>
      </c>
      <c r="E84" s="38" t="n">
        <v>2.48996334810295</v>
      </c>
      <c r="F84" s="38" t="n">
        <v>2.00236189302658</v>
      </c>
      <c r="G84" s="38" t="n">
        <v>4.49232524112953</v>
      </c>
      <c r="H84" s="36" t="n">
        <v>0.810689166588016</v>
      </c>
      <c r="I84" s="37" t="n">
        <f aca="false">IFERROR(1/H84,"")</f>
        <v>1.23351839547671</v>
      </c>
      <c r="J84" s="36" t="n">
        <v>0.643336878477862</v>
      </c>
      <c r="K84" s="37" t="n">
        <f aca="false">IFERROR(1/J84,"")</f>
        <v>1.5543955794451</v>
      </c>
      <c r="L84" s="36" t="n">
        <v>0.461543952367955</v>
      </c>
      <c r="M84" s="37" t="n">
        <f aca="false">IFERROR(1/L84,"")</f>
        <v>2.16664089057931</v>
      </c>
      <c r="N84" s="36" t="n">
        <v>0.29997464511616</v>
      </c>
      <c r="O84" s="37" t="n">
        <f aca="false">IFERROR(1/N84,"")</f>
        <v>3.33361507807691</v>
      </c>
      <c r="P84" s="36" t="n">
        <v>0.177656150601299</v>
      </c>
      <c r="Q84" s="37" t="n">
        <f aca="false">IFERROR(1/P84,"")</f>
        <v>5.62885099454973</v>
      </c>
    </row>
    <row r="85" customFormat="false" ht="18.75" hidden="false" customHeight="true" outlineLevel="0" collapsed="false">
      <c r="A85" s="42" t="n">
        <v>36</v>
      </c>
      <c r="B85" s="40" t="n">
        <v>46348</v>
      </c>
      <c r="C85" s="41" t="s">
        <v>98</v>
      </c>
      <c r="D85" s="41" t="s">
        <v>95</v>
      </c>
      <c r="E85" s="45" t="n">
        <v>2.03235808428419</v>
      </c>
      <c r="F85" s="45" t="n">
        <v>2.93871333359601</v>
      </c>
      <c r="G85" s="45" t="n">
        <v>4.97107141788019</v>
      </c>
      <c r="H85" s="43" t="n">
        <v>0.857907504146916</v>
      </c>
      <c r="I85" s="44" t="n">
        <f aca="false">IFERROR(1/H85,"")</f>
        <v>1.16562682476403</v>
      </c>
      <c r="J85" s="43" t="n">
        <v>0.714849517851255</v>
      </c>
      <c r="K85" s="44" t="n">
        <f aca="false">IFERROR(1/J85,"")</f>
        <v>1.39889581657112</v>
      </c>
      <c r="L85" s="43" t="n">
        <v>0.54467451461961</v>
      </c>
      <c r="M85" s="44" t="n">
        <f aca="false">IFERROR(1/L85,"")</f>
        <v>1.83595885828875</v>
      </c>
      <c r="N85" s="43" t="n">
        <v>0.379053292530469</v>
      </c>
      <c r="O85" s="44" t="n">
        <f aca="false">IFERROR(1/N85,"")</f>
        <v>2.63815146763201</v>
      </c>
      <c r="P85" s="43" t="n">
        <v>0.241747903270422</v>
      </c>
      <c r="Q85" s="44" t="n">
        <f aca="false">IFERROR(1/P85,"")</f>
        <v>4.13654053032835</v>
      </c>
    </row>
    <row r="86" customFormat="false" ht="18.75" hidden="false" customHeight="true" outlineLevel="0" collapsed="false">
      <c r="A86" s="35" t="n">
        <v>36</v>
      </c>
      <c r="B86" s="33" t="n">
        <v>46348</v>
      </c>
      <c r="C86" s="34" t="s">
        <v>100</v>
      </c>
      <c r="D86" s="34" t="s">
        <v>106</v>
      </c>
      <c r="E86" s="38" t="n">
        <v>2.38814034459503</v>
      </c>
      <c r="F86" s="38" t="n">
        <v>3.177146939642</v>
      </c>
      <c r="G86" s="38" t="n">
        <v>5.56528728423703</v>
      </c>
      <c r="H86" s="36" t="n">
        <v>0.901477746758056</v>
      </c>
      <c r="I86" s="37" t="n">
        <f aca="false">IFERROR(1/H86,"")</f>
        <v>1.10928972300898</v>
      </c>
      <c r="J86" s="36" t="n">
        <v>0.787402543998777</v>
      </c>
      <c r="K86" s="37" t="n">
        <f aca="false">IFERROR(1/J86,"")</f>
        <v>1.2699984367863</v>
      </c>
      <c r="L86" s="36" t="n">
        <v>0.637419513082182</v>
      </c>
      <c r="M86" s="37" t="n">
        <f aca="false">IFERROR(1/L86,"")</f>
        <v>1.5688255214601</v>
      </c>
      <c r="N86" s="36" t="n">
        <v>0.476084154178383</v>
      </c>
      <c r="O86" s="37" t="n">
        <f aca="false">IFERROR(1/N86,"")</f>
        <v>2.10046898478648</v>
      </c>
      <c r="P86" s="36" t="n">
        <v>0.328252180625167</v>
      </c>
      <c r="Q86" s="37" t="n">
        <f aca="false">IFERROR(1/P86,"")</f>
        <v>3.046438253953</v>
      </c>
    </row>
    <row r="87" customFormat="false" ht="18.75" hidden="false" customHeight="true" outlineLevel="0" collapsed="false">
      <c r="A87" s="42" t="n">
        <v>36</v>
      </c>
      <c r="B87" s="40" t="n">
        <v>46348</v>
      </c>
      <c r="C87" s="41" t="s">
        <v>102</v>
      </c>
      <c r="D87" s="41" t="s">
        <v>8</v>
      </c>
      <c r="E87" s="45" t="n">
        <v>2.17986380626164</v>
      </c>
      <c r="F87" s="45" t="n">
        <v>2.78191162175643</v>
      </c>
      <c r="G87" s="45" t="n">
        <v>4.96177542801807</v>
      </c>
      <c r="H87" s="43" t="n">
        <v>0.857102868757948</v>
      </c>
      <c r="I87" s="44" t="n">
        <f aca="false">IFERROR(1/H87,"")</f>
        <v>1.16672109784107</v>
      </c>
      <c r="J87" s="43" t="n">
        <v>0.713574375125023</v>
      </c>
      <c r="K87" s="44" t="n">
        <f aca="false">IFERROR(1/J87,"")</f>
        <v>1.40139561461241</v>
      </c>
      <c r="L87" s="43" t="n">
        <v>0.543124533525109</v>
      </c>
      <c r="M87" s="44" t="n">
        <f aca="false">IFERROR(1/L87,"")</f>
        <v>1.84119835925948</v>
      </c>
      <c r="N87" s="43" t="n">
        <v>0.37751259736611</v>
      </c>
      <c r="O87" s="44" t="n">
        <f aca="false">IFERROR(1/N87,"")</f>
        <v>2.64891822677431</v>
      </c>
      <c r="P87" s="43" t="n">
        <v>0.240443974798906</v>
      </c>
      <c r="Q87" s="44" t="n">
        <f aca="false">IFERROR(1/P87,"")</f>
        <v>4.15897300332164</v>
      </c>
    </row>
    <row r="88" customFormat="false" ht="18.75" hidden="false" customHeight="true" outlineLevel="0" collapsed="false">
      <c r="A88" s="35" t="n">
        <v>36</v>
      </c>
      <c r="B88" s="33" t="n">
        <v>46348</v>
      </c>
      <c r="C88" s="34" t="s">
        <v>88</v>
      </c>
      <c r="D88" s="34" t="s">
        <v>105</v>
      </c>
      <c r="E88" s="38" t="n">
        <v>3.016986965333</v>
      </c>
      <c r="F88" s="38" t="n">
        <v>2.78580060142932</v>
      </c>
      <c r="G88" s="38" t="n">
        <v>5.80278756676232</v>
      </c>
      <c r="H88" s="36" t="n">
        <v>0.915106873862065</v>
      </c>
      <c r="I88" s="37" t="n">
        <f aca="false">IFERROR(1/H88,"")</f>
        <v>1.0927685372744</v>
      </c>
      <c r="J88" s="36" t="n">
        <v>0.811731823027111</v>
      </c>
      <c r="K88" s="37" t="n">
        <f aca="false">IFERROR(1/J88,"")</f>
        <v>1.23193396098578</v>
      </c>
      <c r="L88" s="36" t="n">
        <v>0.670735065424946</v>
      </c>
      <c r="M88" s="37" t="n">
        <f aca="false">IFERROR(1/L88,"")</f>
        <v>1.49090162651098</v>
      </c>
      <c r="N88" s="36" t="n">
        <v>0.513395091981729</v>
      </c>
      <c r="O88" s="37" t="n">
        <f aca="false">IFERROR(1/N88,"")</f>
        <v>1.94781760795561</v>
      </c>
      <c r="P88" s="36" t="n">
        <v>0.36383338925065</v>
      </c>
      <c r="Q88" s="37" t="n">
        <f aca="false">IFERROR(1/P88,"")</f>
        <v>2.7485108006706</v>
      </c>
    </row>
    <row r="89" customFormat="false" ht="18.75" hidden="false" customHeight="true" outlineLevel="0" collapsed="false">
      <c r="A89" s="42" t="n">
        <v>37</v>
      </c>
      <c r="B89" s="40" t="n">
        <v>46355</v>
      </c>
      <c r="C89" s="41" t="s">
        <v>90</v>
      </c>
      <c r="D89" s="41" t="s">
        <v>84</v>
      </c>
      <c r="E89" s="45" t="n">
        <v>1.98225092402207</v>
      </c>
      <c r="F89" s="45" t="n">
        <v>2.49523952094996</v>
      </c>
      <c r="G89" s="45" t="n">
        <v>4.47749044497203</v>
      </c>
      <c r="H89" s="43" t="n">
        <v>0.809024816076539</v>
      </c>
      <c r="I89" s="44" t="n">
        <f aca="false">IFERROR(1/H89,"")</f>
        <v>1.2360560271187</v>
      </c>
      <c r="J89" s="43" t="n">
        <v>0.640929851044003</v>
      </c>
      <c r="K89" s="44" t="n">
        <f aca="false">IFERROR(1/J89,"")</f>
        <v>1.56023314933937</v>
      </c>
      <c r="L89" s="43" t="n">
        <v>0.458873865184827</v>
      </c>
      <c r="M89" s="44" t="n">
        <f aca="false">IFERROR(1/L89,"")</f>
        <v>2.17924810251988</v>
      </c>
      <c r="N89" s="43" t="n">
        <v>0.297552541152692</v>
      </c>
      <c r="O89" s="44" t="n">
        <f aca="false">IFERROR(1/N89,"")</f>
        <v>3.36075099922216</v>
      </c>
      <c r="P89" s="43" t="n">
        <v>0.175785438007921</v>
      </c>
      <c r="Q89" s="44" t="n">
        <f aca="false">IFERROR(1/P89,"")</f>
        <v>5.68875335370465</v>
      </c>
    </row>
    <row r="90" customFormat="false" ht="18.75" hidden="false" customHeight="true" outlineLevel="0" collapsed="false">
      <c r="A90" s="35" t="n">
        <v>37</v>
      </c>
      <c r="B90" s="33" t="n">
        <v>46355</v>
      </c>
      <c r="C90" s="34" t="s">
        <v>93</v>
      </c>
      <c r="D90" s="34" t="s">
        <v>103</v>
      </c>
      <c r="E90" s="38" t="n">
        <v>2.984223972631</v>
      </c>
      <c r="F90" s="38" t="n">
        <v>2.70217862255307</v>
      </c>
      <c r="G90" s="38" t="n">
        <v>5.68640259518407</v>
      </c>
      <c r="H90" s="36" t="n">
        <v>0.908666738634877</v>
      </c>
      <c r="I90" s="37" t="n">
        <f aca="false">IFERROR(1/H90,"")</f>
        <v>1.10051348583787</v>
      </c>
      <c r="J90" s="36" t="n">
        <v>0.80012419518429</v>
      </c>
      <c r="K90" s="37" t="n">
        <f aca="false">IFERROR(1/J90,"")</f>
        <v>1.24980597514574</v>
      </c>
      <c r="L90" s="36" t="n">
        <v>0.654687423309011</v>
      </c>
      <c r="M90" s="37" t="n">
        <f aca="false">IFERROR(1/L90,"")</f>
        <v>1.52744647964316</v>
      </c>
      <c r="N90" s="36" t="n">
        <v>0.495251927730329</v>
      </c>
      <c r="O90" s="37" t="n">
        <f aca="false">IFERROR(1/N90,"")</f>
        <v>2.01917437168364</v>
      </c>
      <c r="P90" s="36" t="n">
        <v>0.346368216079061</v>
      </c>
      <c r="Q90" s="37" t="n">
        <f aca="false">IFERROR(1/P90,"")</f>
        <v>2.8871009335676</v>
      </c>
    </row>
    <row r="91" customFormat="false" ht="18.75" hidden="false" customHeight="true" outlineLevel="0" collapsed="false">
      <c r="A91" s="42" t="n">
        <v>37</v>
      </c>
      <c r="B91" s="40" t="n">
        <v>46355</v>
      </c>
      <c r="C91" s="41" t="s">
        <v>83</v>
      </c>
      <c r="D91" s="41" t="s">
        <v>102</v>
      </c>
      <c r="E91" s="45" t="n">
        <v>2.43469684533883</v>
      </c>
      <c r="F91" s="45" t="n">
        <v>1.59699445656645</v>
      </c>
      <c r="G91" s="45" t="n">
        <v>4.03169130190527</v>
      </c>
      <c r="H91" s="43" t="n">
        <v>0.752673393776405</v>
      </c>
      <c r="I91" s="44" t="n">
        <f aca="false">IFERROR(1/H91,"")</f>
        <v>1.32859751423214</v>
      </c>
      <c r="J91" s="43" t="n">
        <v>0.563368461813717</v>
      </c>
      <c r="K91" s="44" t="n">
        <f aca="false">IFERROR(1/J91,"")</f>
        <v>1.77503724077948</v>
      </c>
      <c r="L91" s="43" t="n">
        <v>0.376929230010243</v>
      </c>
      <c r="M91" s="44" t="n">
        <f aca="false">IFERROR(1/L91,"")</f>
        <v>2.65301791525382</v>
      </c>
      <c r="N91" s="43" t="n">
        <v>0.22670179980529</v>
      </c>
      <c r="O91" s="44" t="n">
        <f aca="false">IFERROR(1/N91,"")</f>
        <v>4.41108099211776</v>
      </c>
      <c r="P91" s="43" t="n">
        <v>0.123589006225721</v>
      </c>
      <c r="Q91" s="44" t="n">
        <f aca="false">IFERROR(1/P91,"")</f>
        <v>8.0913345817638</v>
      </c>
    </row>
    <row r="92" customFormat="false" ht="18.75" hidden="false" customHeight="true" outlineLevel="0" collapsed="false">
      <c r="A92" s="35" t="n">
        <v>37</v>
      </c>
      <c r="B92" s="33" t="n">
        <v>46355</v>
      </c>
      <c r="C92" s="34" t="s">
        <v>101</v>
      </c>
      <c r="D92" s="34" t="s">
        <v>105</v>
      </c>
      <c r="E92" s="38" t="n">
        <v>3.02742356564815</v>
      </c>
      <c r="F92" s="38" t="n">
        <v>3.66483813874597</v>
      </c>
      <c r="G92" s="38" t="n">
        <v>6.69226170439411</v>
      </c>
      <c r="H92" s="36" t="n">
        <v>0.951861363547993</v>
      </c>
      <c r="I92" s="37" t="n">
        <f aca="false">IFERROR(1/H92,"")</f>
        <v>1.05057315938591</v>
      </c>
      <c r="J92" s="36" t="n">
        <v>0.882608491930848</v>
      </c>
      <c r="K92" s="37" t="n">
        <f aca="false">IFERROR(1/J92,"")</f>
        <v>1.13300518762553</v>
      </c>
      <c r="L92" s="36" t="n">
        <v>0.775702587904814</v>
      </c>
      <c r="M92" s="37" t="n">
        <f aca="false">IFERROR(1/L92,"")</f>
        <v>1.28915387880942</v>
      </c>
      <c r="N92" s="36" t="n">
        <v>0.640681329364429</v>
      </c>
      <c r="O92" s="37" t="n">
        <f aca="false">IFERROR(1/N92,"")</f>
        <v>1.56083836716769</v>
      </c>
      <c r="P92" s="36" t="n">
        <v>0.495418668693625</v>
      </c>
      <c r="Q92" s="37" t="n">
        <f aca="false">IFERROR(1/P92,"")</f>
        <v>2.01849478671628</v>
      </c>
    </row>
    <row r="93" customFormat="false" ht="18.75" hidden="false" customHeight="true" outlineLevel="0" collapsed="false">
      <c r="A93" s="42" t="n">
        <v>37</v>
      </c>
      <c r="B93" s="40" t="n">
        <v>46355</v>
      </c>
      <c r="C93" s="41" t="s">
        <v>99</v>
      </c>
      <c r="D93" s="41" t="s">
        <v>8</v>
      </c>
      <c r="E93" s="45" t="n">
        <v>2.27113409843621</v>
      </c>
      <c r="F93" s="45" t="n">
        <v>2.56744119767244</v>
      </c>
      <c r="G93" s="45" t="n">
        <v>4.83857529610865</v>
      </c>
      <c r="H93" s="43" t="n">
        <v>0.846039741182078</v>
      </c>
      <c r="I93" s="44" t="n">
        <f aca="false">IFERROR(1/H93,"")</f>
        <v>1.18197757306626</v>
      </c>
      <c r="J93" s="43" t="n">
        <v>0.696253332684173</v>
      </c>
      <c r="K93" s="44" t="n">
        <f aca="false">IFERROR(1/J93,"")</f>
        <v>1.43625883433094</v>
      </c>
      <c r="L93" s="43" t="n">
        <v>0.522322958279957</v>
      </c>
      <c r="M93" s="44" t="n">
        <f aca="false">IFERROR(1/L93,"")</f>
        <v>1.91452430751477</v>
      </c>
      <c r="N93" s="43" t="n">
        <v>0.357083024045411</v>
      </c>
      <c r="O93" s="44" t="n">
        <f aca="false">IFERROR(1/N93,"")</f>
        <v>2.8004691700853</v>
      </c>
      <c r="P93" s="43" t="n">
        <v>0.223360065510048</v>
      </c>
      <c r="Q93" s="44" t="n">
        <f aca="false">IFERROR(1/P93,"")</f>
        <v>4.4770760507993</v>
      </c>
    </row>
    <row r="94" customFormat="false" ht="18.75" hidden="false" customHeight="true" outlineLevel="0" collapsed="false">
      <c r="A94" s="35" t="n">
        <v>37</v>
      </c>
      <c r="B94" s="33" t="n">
        <v>46355</v>
      </c>
      <c r="C94" s="34" t="s">
        <v>98</v>
      </c>
      <c r="D94" s="34" t="s">
        <v>96</v>
      </c>
      <c r="E94" s="38" t="n">
        <v>2.64588862204002</v>
      </c>
      <c r="F94" s="38" t="n">
        <v>3.42082857044147</v>
      </c>
      <c r="G94" s="38" t="n">
        <v>6.06671719248149</v>
      </c>
      <c r="H94" s="36" t="n">
        <v>0.928154158456748</v>
      </c>
      <c r="I94" s="37" t="n">
        <f aca="false">IFERROR(1/H94,"")</f>
        <v>1.07740722905634</v>
      </c>
      <c r="J94" s="36" t="n">
        <v>0.835917944206466</v>
      </c>
      <c r="K94" s="37" t="n">
        <f aca="false">IFERROR(1/J94,"")</f>
        <v>1.19628966805982</v>
      </c>
      <c r="L94" s="36" t="n">
        <v>0.705128438939777</v>
      </c>
      <c r="M94" s="37" t="n">
        <f aca="false">IFERROR(1/L94,"")</f>
        <v>1.41818134793087</v>
      </c>
      <c r="N94" s="36" t="n">
        <v>0.553395146385292</v>
      </c>
      <c r="O94" s="37" t="n">
        <f aca="false">IFERROR(1/N94,"")</f>
        <v>1.80702705206555</v>
      </c>
      <c r="P94" s="36" t="n">
        <v>0.403447294571473</v>
      </c>
      <c r="Q94" s="37" t="n">
        <f aca="false">IFERROR(1/P94,"")</f>
        <v>2.47863850732266</v>
      </c>
    </row>
    <row r="95" customFormat="false" ht="18.75" hidden="false" customHeight="true" outlineLevel="0" collapsed="false">
      <c r="A95" s="42" t="n">
        <v>37</v>
      </c>
      <c r="B95" s="40" t="n">
        <v>46355</v>
      </c>
      <c r="C95" s="41" t="s">
        <v>100</v>
      </c>
      <c r="D95" s="41" t="s">
        <v>91</v>
      </c>
      <c r="E95" s="45" t="n">
        <v>2.26115322883903</v>
      </c>
      <c r="F95" s="45" t="n">
        <v>3.20571337180947</v>
      </c>
      <c r="G95" s="45" t="n">
        <v>5.4668666006485</v>
      </c>
      <c r="H95" s="43" t="n">
        <v>0.895248220171008</v>
      </c>
      <c r="I95" s="44" t="n">
        <f aca="false">IFERROR(1/H95,"")</f>
        <v>1.11700864348994</v>
      </c>
      <c r="J95" s="43" t="n">
        <v>0.776567963381724</v>
      </c>
      <c r="K95" s="44" t="n">
        <f aca="false">IFERROR(1/J95,"")</f>
        <v>1.28771729861904</v>
      </c>
      <c r="L95" s="43" t="n">
        <v>0.622965582819911</v>
      </c>
      <c r="M95" s="44" t="n">
        <f aca="false">IFERROR(1/L95,"")</f>
        <v>1.60522511608652</v>
      </c>
      <c r="N95" s="43" t="n">
        <v>0.460315618199983</v>
      </c>
      <c r="O95" s="44" t="n">
        <f aca="false">IFERROR(1/N95,"")</f>
        <v>2.17242248679373</v>
      </c>
      <c r="P95" s="43" t="n">
        <v>0.313605056045279</v>
      </c>
      <c r="Q95" s="44" t="n">
        <f aca="false">IFERROR(1/P95,"")</f>
        <v>3.18872409970207</v>
      </c>
    </row>
    <row r="96" customFormat="false" ht="18.75" hidden="false" customHeight="true" outlineLevel="0" collapsed="false">
      <c r="A96" s="35" t="n">
        <v>37</v>
      </c>
      <c r="B96" s="33" t="n">
        <v>46355</v>
      </c>
      <c r="C96" s="34" t="s">
        <v>95</v>
      </c>
      <c r="D96" s="34" t="s">
        <v>92</v>
      </c>
      <c r="E96" s="38" t="n">
        <v>2.33602348196795</v>
      </c>
      <c r="F96" s="38" t="n">
        <v>2.17714508094688</v>
      </c>
      <c r="G96" s="38" t="n">
        <v>4.51316856291483</v>
      </c>
      <c r="H96" s="36" t="n">
        <v>0.813005950813078</v>
      </c>
      <c r="I96" s="37" t="n">
        <f aca="false">IFERROR(1/H96,"")</f>
        <v>1.23000329702373</v>
      </c>
      <c r="J96" s="36" t="n">
        <v>0.646699476341267</v>
      </c>
      <c r="K96" s="37" t="n">
        <f aca="false">IFERROR(1/J96,"")</f>
        <v>1.54631329788227</v>
      </c>
      <c r="L96" s="36" t="n">
        <v>0.465287408442934</v>
      </c>
      <c r="M96" s="37" t="n">
        <f aca="false">IFERROR(1/L96,"")</f>
        <v>2.14920924541341</v>
      </c>
      <c r="N96" s="36" t="n">
        <v>0.303382599670216</v>
      </c>
      <c r="O96" s="37" t="n">
        <f aca="false">IFERROR(1/N96,"")</f>
        <v>3.29616794465808</v>
      </c>
      <c r="P96" s="36" t="n">
        <v>0.180297720500204</v>
      </c>
      <c r="Q96" s="37" t="n">
        <f aca="false">IFERROR(1/P96,"")</f>
        <v>5.54638182460476</v>
      </c>
    </row>
    <row r="97" customFormat="false" ht="18.75" hidden="false" customHeight="true" outlineLevel="0" collapsed="false">
      <c r="A97" s="42" t="n">
        <v>37</v>
      </c>
      <c r="B97" s="40" t="n">
        <v>46355</v>
      </c>
      <c r="C97" s="41" t="s">
        <v>87</v>
      </c>
      <c r="D97" s="41" t="s">
        <v>104</v>
      </c>
      <c r="E97" s="45" t="n">
        <v>1.82938306373651</v>
      </c>
      <c r="F97" s="45" t="n">
        <v>2.33070326296686</v>
      </c>
      <c r="G97" s="45" t="n">
        <v>4.16008632670338</v>
      </c>
      <c r="H97" s="43" t="n">
        <v>0.770207525787867</v>
      </c>
      <c r="I97" s="44" t="n">
        <f aca="false">IFERROR(1/H97,"")</f>
        <v>1.2983513748156</v>
      </c>
      <c r="J97" s="43" t="n">
        <v>0.586723141763392</v>
      </c>
      <c r="K97" s="44" t="n">
        <f aca="false">IFERROR(1/J97,"")</f>
        <v>1.70438138334634</v>
      </c>
      <c r="L97" s="43" t="n">
        <v>0.400790898523396</v>
      </c>
      <c r="M97" s="44" t="n">
        <f aca="false">IFERROR(1/L97,"")</f>
        <v>2.4950666386992</v>
      </c>
      <c r="N97" s="43" t="n">
        <v>0.246639713675523</v>
      </c>
      <c r="O97" s="44" t="n">
        <f aca="false">IFERROR(1/N97,"")</f>
        <v>4.05449708442165</v>
      </c>
      <c r="P97" s="43" t="n">
        <v>0.137774179777712</v>
      </c>
      <c r="Q97" s="44" t="n">
        <f aca="false">IFERROR(1/P97,"")</f>
        <v>7.25825406192528</v>
      </c>
    </row>
    <row r="98" customFormat="false" ht="18.75" hidden="false" customHeight="true" outlineLevel="0" collapsed="false">
      <c r="A98" s="35" t="n">
        <v>37</v>
      </c>
      <c r="B98" s="33" t="n">
        <v>46355</v>
      </c>
      <c r="C98" s="34" t="s">
        <v>106</v>
      </c>
      <c r="D98" s="34" t="s">
        <v>88</v>
      </c>
      <c r="E98" s="38" t="n">
        <v>2.75490854093828</v>
      </c>
      <c r="F98" s="38" t="n">
        <v>2.9982455503357</v>
      </c>
      <c r="G98" s="38" t="n">
        <v>5.75315409127398</v>
      </c>
      <c r="H98" s="36" t="n">
        <v>0.912414705617207</v>
      </c>
      <c r="I98" s="37" t="n">
        <f aca="false">IFERROR(1/H98,"")</f>
        <v>1.09599285702387</v>
      </c>
      <c r="J98" s="36" t="n">
        <v>0.80685435187786</v>
      </c>
      <c r="K98" s="37" t="n">
        <f aca="false">IFERROR(1/J98,"")</f>
        <v>1.23938105765014</v>
      </c>
      <c r="L98" s="36" t="n">
        <v>0.663957134989446</v>
      </c>
      <c r="M98" s="37" t="n">
        <f aca="false">IFERROR(1/L98,"")</f>
        <v>1.50612132516039</v>
      </c>
      <c r="N98" s="36" t="n">
        <v>0.505692725618588</v>
      </c>
      <c r="O98" s="37" t="n">
        <f aca="false">IFERROR(1/N98,"")</f>
        <v>1.97748543599624</v>
      </c>
      <c r="P98" s="36" t="n">
        <v>0.356380924705346</v>
      </c>
      <c r="Q98" s="37" t="n">
        <f aca="false">IFERROR(1/P98,"")</f>
        <v>2.80598632159338</v>
      </c>
    </row>
    <row r="99" customFormat="false" ht="18.75" hidden="false" customHeight="true" outlineLevel="0" collapsed="false">
      <c r="A99" s="42" t="n">
        <v>38</v>
      </c>
      <c r="B99" s="40" t="n">
        <v>46358</v>
      </c>
      <c r="C99" s="41" t="s">
        <v>92</v>
      </c>
      <c r="D99" s="41" t="s">
        <v>87</v>
      </c>
      <c r="E99" s="45" t="n">
        <v>2.36141164932307</v>
      </c>
      <c r="F99" s="45" t="n">
        <v>2.71309501766744</v>
      </c>
      <c r="G99" s="45" t="n">
        <v>5.0745066669905</v>
      </c>
      <c r="H99" s="43" t="n">
        <v>0.866585189059648</v>
      </c>
      <c r="I99" s="44" t="n">
        <f aca="false">IFERROR(1/H99,"")</f>
        <v>1.15395464014925</v>
      </c>
      <c r="J99" s="43" t="n">
        <v>0.728739245553759</v>
      </c>
      <c r="K99" s="44" t="n">
        <f aca="false">IFERROR(1/J99,"")</f>
        <v>1.37223294354089</v>
      </c>
      <c r="L99" s="43" t="n">
        <v>0.561727625082491</v>
      </c>
      <c r="M99" s="44" t="n">
        <f aca="false">IFERROR(1/L99,"")</f>
        <v>1.78022222042782</v>
      </c>
      <c r="N99" s="43" t="n">
        <v>0.39617504751584</v>
      </c>
      <c r="O99" s="44" t="n">
        <f aca="false">IFERROR(1/N99,"")</f>
        <v>2.52413675790628</v>
      </c>
      <c r="P99" s="43" t="n">
        <v>0.25638489288376</v>
      </c>
      <c r="Q99" s="44" t="n">
        <f aca="false">IFERROR(1/P99,"")</f>
        <v>3.9003858174022</v>
      </c>
    </row>
    <row r="100" customFormat="false" ht="18.75" hidden="false" customHeight="true" outlineLevel="0" collapsed="false">
      <c r="A100" s="35" t="n">
        <v>38</v>
      </c>
      <c r="B100" s="33" t="n">
        <v>46358</v>
      </c>
      <c r="C100" s="34" t="s">
        <v>103</v>
      </c>
      <c r="D100" s="34" t="s">
        <v>90</v>
      </c>
      <c r="E100" s="38" t="n">
        <v>2.34418501385949</v>
      </c>
      <c r="F100" s="38" t="n">
        <v>2.98776645308079</v>
      </c>
      <c r="G100" s="38" t="n">
        <v>5.33195146694028</v>
      </c>
      <c r="H100" s="36" t="n">
        <v>0.886109300628443</v>
      </c>
      <c r="I100" s="37" t="n">
        <f aca="false">IFERROR(1/H100,"")</f>
        <v>1.12852895155348</v>
      </c>
      <c r="J100" s="36" t="n">
        <v>0.760971494101137</v>
      </c>
      <c r="K100" s="37" t="n">
        <f aca="false">IFERROR(1/J100,"")</f>
        <v>1.31410967132377</v>
      </c>
      <c r="L100" s="36" t="n">
        <v>0.602548992373692</v>
      </c>
      <c r="M100" s="37" t="n">
        <f aca="false">IFERROR(1/L100,"")</f>
        <v>1.65961608542499</v>
      </c>
      <c r="N100" s="36" t="n">
        <v>0.43845912894705</v>
      </c>
      <c r="O100" s="37" t="n">
        <f aca="false">IFERROR(1/N100,"")</f>
        <v>2.28071428778659</v>
      </c>
      <c r="P100" s="36" t="n">
        <v>0.293682646250968</v>
      </c>
      <c r="Q100" s="37" t="n">
        <f aca="false">IFERROR(1/P100,"")</f>
        <v>3.40503605768195</v>
      </c>
    </row>
    <row r="101" customFormat="false" ht="18.75" hidden="false" customHeight="true" outlineLevel="0" collapsed="false">
      <c r="A101" s="42" t="n">
        <v>38</v>
      </c>
      <c r="B101" s="40" t="n">
        <v>46358</v>
      </c>
      <c r="C101" s="41" t="s">
        <v>91</v>
      </c>
      <c r="D101" s="41" t="s">
        <v>98</v>
      </c>
      <c r="E101" s="45" t="n">
        <v>3.24864173718435</v>
      </c>
      <c r="F101" s="45" t="n">
        <v>2.52899793788219</v>
      </c>
      <c r="G101" s="45" t="n">
        <v>5.77763967506654</v>
      </c>
      <c r="H101" s="43" t="n">
        <v>0.913752756783283</v>
      </c>
      <c r="I101" s="44" t="n">
        <f aca="false">IFERROR(1/H101,"")</f>
        <v>1.09438794310218</v>
      </c>
      <c r="J101" s="43" t="n">
        <v>0.809273943100273</v>
      </c>
      <c r="K101" s="44" t="n">
        <f aca="false">IFERROR(1/J101,"")</f>
        <v>1.23567551942803</v>
      </c>
      <c r="L101" s="43" t="n">
        <v>0.667313116933636</v>
      </c>
      <c r="M101" s="44" t="n">
        <f aca="false">IFERROR(1/L101,"")</f>
        <v>1.49854689593858</v>
      </c>
      <c r="N101" s="43" t="n">
        <v>0.509499177527213</v>
      </c>
      <c r="O101" s="44" t="n">
        <f aca="false">IFERROR(1/N101,"")</f>
        <v>1.96271170613732</v>
      </c>
      <c r="P101" s="43" t="n">
        <v>0.360056862980026</v>
      </c>
      <c r="Q101" s="44" t="n">
        <f aca="false">IFERROR(1/P101,"")</f>
        <v>2.77733908950785</v>
      </c>
    </row>
    <row r="102" customFormat="false" ht="18.75" hidden="false" customHeight="true" outlineLevel="0" collapsed="false">
      <c r="A102" s="35" t="n">
        <v>38</v>
      </c>
      <c r="B102" s="33" t="n">
        <v>46358</v>
      </c>
      <c r="C102" s="34" t="s">
        <v>96</v>
      </c>
      <c r="D102" s="34" t="s">
        <v>100</v>
      </c>
      <c r="E102" s="38" t="n">
        <v>2.68710312970256</v>
      </c>
      <c r="F102" s="38" t="n">
        <v>2.97182288162174</v>
      </c>
      <c r="G102" s="38" t="n">
        <v>5.6589260113243</v>
      </c>
      <c r="H102" s="36" t="n">
        <v>0.907080480208369</v>
      </c>
      <c r="I102" s="37" t="n">
        <f aca="false">IFERROR(1/H102,"")</f>
        <v>1.10243801053936</v>
      </c>
      <c r="J102" s="36" t="n">
        <v>0.797296312075115</v>
      </c>
      <c r="K102" s="37" t="n">
        <f aca="false">IFERROR(1/J102,"")</f>
        <v>1.25423883800153</v>
      </c>
      <c r="L102" s="36" t="n">
        <v>0.650820572157486</v>
      </c>
      <c r="M102" s="37" t="n">
        <f aca="false">IFERROR(1/L102,"")</f>
        <v>1.53652180459658</v>
      </c>
      <c r="N102" s="36" t="n">
        <v>0.490928016932936</v>
      </c>
      <c r="O102" s="37" t="n">
        <f aca="false">IFERROR(1/N102,"")</f>
        <v>2.03695850615225</v>
      </c>
      <c r="P102" s="36" t="n">
        <v>0.342251572362482</v>
      </c>
      <c r="Q102" s="37" t="n">
        <f aca="false">IFERROR(1/P102,"")</f>
        <v>2.92182733624052</v>
      </c>
    </row>
    <row r="103" customFormat="false" ht="18.75" hidden="false" customHeight="true" outlineLevel="0" collapsed="false">
      <c r="A103" s="42" t="n">
        <v>38</v>
      </c>
      <c r="B103" s="40" t="n">
        <v>46358</v>
      </c>
      <c r="C103" s="41" t="s">
        <v>8</v>
      </c>
      <c r="D103" s="41" t="s">
        <v>83</v>
      </c>
      <c r="E103" s="45" t="n">
        <v>1.53061649697735</v>
      </c>
      <c r="F103" s="45" t="n">
        <v>2.57453424892406</v>
      </c>
      <c r="G103" s="45" t="n">
        <v>4.10515074590141</v>
      </c>
      <c r="H103" s="43" t="n">
        <v>0.762839481058303</v>
      </c>
      <c r="I103" s="44" t="n">
        <f aca="false">IFERROR(1/H103,"")</f>
        <v>1.31089177321116</v>
      </c>
      <c r="J103" s="43" t="n">
        <v>0.576828020412995</v>
      </c>
      <c r="K103" s="44" t="n">
        <f aca="false">IFERROR(1/J103,"")</f>
        <v>1.73361897240017</v>
      </c>
      <c r="L103" s="43" t="n">
        <v>0.390597873073697</v>
      </c>
      <c r="M103" s="44" t="n">
        <f aca="false">IFERROR(1/L103,"")</f>
        <v>2.56017779137093</v>
      </c>
      <c r="N103" s="43" t="n">
        <v>0.238053276708487</v>
      </c>
      <c r="O103" s="44" t="n">
        <f aca="false">IFERROR(1/N103,"")</f>
        <v>4.20074032933632</v>
      </c>
      <c r="P103" s="43" t="n">
        <v>0.131615682239111</v>
      </c>
      <c r="Q103" s="44" t="n">
        <f aca="false">IFERROR(1/P103,"")</f>
        <v>7.59787878608008</v>
      </c>
    </row>
    <row r="104" customFormat="false" ht="18.75" hidden="false" customHeight="true" outlineLevel="0" collapsed="false">
      <c r="A104" s="35" t="n">
        <v>38</v>
      </c>
      <c r="B104" s="33" t="n">
        <v>46358</v>
      </c>
      <c r="C104" s="34" t="s">
        <v>105</v>
      </c>
      <c r="D104" s="34" t="s">
        <v>95</v>
      </c>
      <c r="E104" s="38" t="n">
        <v>2.16596962028076</v>
      </c>
      <c r="F104" s="38" t="n">
        <v>2.89782107464477</v>
      </c>
      <c r="G104" s="38" t="n">
        <v>5.06379069492553</v>
      </c>
      <c r="H104" s="36" t="n">
        <v>0.865709281310544</v>
      </c>
      <c r="I104" s="37" t="n">
        <f aca="false">IFERROR(1/H104,"")</f>
        <v>1.15512218892486</v>
      </c>
      <c r="J104" s="36" t="n">
        <v>0.727325598402204</v>
      </c>
      <c r="K104" s="37" t="n">
        <f aca="false">IFERROR(1/J104,"")</f>
        <v>1.37490004778714</v>
      </c>
      <c r="L104" s="36" t="n">
        <v>0.559977650913171</v>
      </c>
      <c r="M104" s="37" t="n">
        <f aca="false">IFERROR(1/L104,"")</f>
        <v>1.78578555477932</v>
      </c>
      <c r="N104" s="36" t="n">
        <v>0.394403531851997</v>
      </c>
      <c r="O104" s="37" t="n">
        <f aca="false">IFERROR(1/N104,"")</f>
        <v>2.53547425223174</v>
      </c>
      <c r="P104" s="36" t="n">
        <v>0.254858012158426</v>
      </c>
      <c r="Q104" s="37" t="n">
        <f aca="false">IFERROR(1/P104,"")</f>
        <v>3.92375343247351</v>
      </c>
    </row>
    <row r="105" customFormat="false" ht="18.75" hidden="false" customHeight="true" outlineLevel="0" collapsed="false">
      <c r="A105" s="42" t="n">
        <v>38</v>
      </c>
      <c r="B105" s="40" t="n">
        <v>46358</v>
      </c>
      <c r="C105" s="41" t="s">
        <v>102</v>
      </c>
      <c r="D105" s="41" t="s">
        <v>99</v>
      </c>
      <c r="E105" s="45" t="n">
        <v>2.13239511723193</v>
      </c>
      <c r="F105" s="45" t="n">
        <v>2.69810497215281</v>
      </c>
      <c r="G105" s="45" t="n">
        <v>4.83050008938474</v>
      </c>
      <c r="H105" s="43" t="n">
        <v>0.845288138502128</v>
      </c>
      <c r="I105" s="44" t="n">
        <f aca="false">IFERROR(1/H105,"")</f>
        <v>1.18302854902474</v>
      </c>
      <c r="J105" s="43" t="n">
        <v>0.695090531448269</v>
      </c>
      <c r="K105" s="44" t="n">
        <f aca="false">IFERROR(1/J105,"")</f>
        <v>1.43866151926488</v>
      </c>
      <c r="L105" s="43" t="n">
        <v>0.520943112454382</v>
      </c>
      <c r="M105" s="44" t="n">
        <f aca="false">IFERROR(1/L105,"")</f>
        <v>1.91959539552904</v>
      </c>
      <c r="N105" s="43" t="n">
        <v>0.35574403094648</v>
      </c>
      <c r="O105" s="44" t="n">
        <f aca="false">IFERROR(1/N105,"")</f>
        <v>2.81100992008055</v>
      </c>
      <c r="P105" s="43" t="n">
        <v>0.222253765736203</v>
      </c>
      <c r="Q105" s="44" t="n">
        <f aca="false">IFERROR(1/P105,"")</f>
        <v>4.49936133449779</v>
      </c>
    </row>
    <row r="106" customFormat="false" ht="18.75" hidden="false" customHeight="true" outlineLevel="0" collapsed="false">
      <c r="A106" s="35" t="n">
        <v>38</v>
      </c>
      <c r="B106" s="33" t="n">
        <v>46358</v>
      </c>
      <c r="C106" s="34" t="s">
        <v>104</v>
      </c>
      <c r="D106" s="34" t="s">
        <v>101</v>
      </c>
      <c r="E106" s="38" t="n">
        <v>2.58226211214549</v>
      </c>
      <c r="F106" s="38" t="n">
        <v>2.31698510868252</v>
      </c>
      <c r="G106" s="38" t="n">
        <v>4.89924722082801</v>
      </c>
      <c r="H106" s="36" t="n">
        <v>0.851581729817592</v>
      </c>
      <c r="I106" s="37" t="n">
        <f aca="false">IFERROR(1/H106,"")</f>
        <v>1.17428540912239</v>
      </c>
      <c r="J106" s="36" t="n">
        <v>0.704881545623063</v>
      </c>
      <c r="K106" s="37" t="n">
        <f aca="false">IFERROR(1/J106,"")</f>
        <v>1.41867808316087</v>
      </c>
      <c r="L106" s="36" t="n">
        <v>0.532626544359915</v>
      </c>
      <c r="M106" s="37" t="n">
        <f aca="false">IFERROR(1/L106,"")</f>
        <v>1.87748810229079</v>
      </c>
      <c r="N106" s="36" t="n">
        <v>0.367144994983536</v>
      </c>
      <c r="O106" s="37" t="n">
        <f aca="false">IFERROR(1/N106,"")</f>
        <v>2.7237195485801</v>
      </c>
      <c r="P106" s="36" t="n">
        <v>0.231726276912106</v>
      </c>
      <c r="Q106" s="37" t="n">
        <f aca="false">IFERROR(1/P106,"")</f>
        <v>4.31543635588338</v>
      </c>
    </row>
    <row r="107" customFormat="false" ht="18.75" hidden="false" customHeight="true" outlineLevel="0" collapsed="false">
      <c r="A107" s="42" t="n">
        <v>38</v>
      </c>
      <c r="B107" s="40" t="n">
        <v>46358</v>
      </c>
      <c r="C107" s="41" t="s">
        <v>88</v>
      </c>
      <c r="D107" s="41" t="s">
        <v>93</v>
      </c>
      <c r="E107" s="45" t="n">
        <v>2.77440971122588</v>
      </c>
      <c r="F107" s="45" t="n">
        <v>2.88432919957604</v>
      </c>
      <c r="G107" s="45" t="n">
        <v>5.65873891080192</v>
      </c>
      <c r="H107" s="43" t="n">
        <v>0.907069590257718</v>
      </c>
      <c r="I107" s="44" t="n">
        <f aca="false">IFERROR(1/H107,"")</f>
        <v>1.10245124601287</v>
      </c>
      <c r="J107" s="43" t="n">
        <v>0.797276939635167</v>
      </c>
      <c r="K107" s="44" t="n">
        <f aca="false">IFERROR(1/J107,"")</f>
        <v>1.25426931381911</v>
      </c>
      <c r="L107" s="43" t="n">
        <v>0.650794138907163</v>
      </c>
      <c r="M107" s="44" t="n">
        <f aca="false">IFERROR(1/L107,"")</f>
        <v>1.53658421337235</v>
      </c>
      <c r="N107" s="43" t="n">
        <v>0.49089852254225</v>
      </c>
      <c r="O107" s="44" t="n">
        <f aca="false">IFERROR(1/N107,"")</f>
        <v>2.03708089162956</v>
      </c>
      <c r="P107" s="43" t="n">
        <v>0.342223551924583</v>
      </c>
      <c r="Q107" s="44" t="n">
        <f aca="false">IFERROR(1/P107,"")</f>
        <v>2.92206656840606</v>
      </c>
    </row>
    <row r="108" customFormat="false" ht="18.75" hidden="false" customHeight="true" outlineLevel="0" collapsed="false">
      <c r="A108" s="35" t="n">
        <v>38</v>
      </c>
      <c r="B108" s="33" t="n">
        <v>46358</v>
      </c>
      <c r="C108" s="34" t="s">
        <v>84</v>
      </c>
      <c r="D108" s="34" t="s">
        <v>106</v>
      </c>
      <c r="E108" s="38" t="n">
        <v>2.20762977699686</v>
      </c>
      <c r="F108" s="38" t="n">
        <v>2.66262817727949</v>
      </c>
      <c r="G108" s="38" t="n">
        <v>4.87025795427635</v>
      </c>
      <c r="H108" s="36" t="n">
        <v>0.848956752146471</v>
      </c>
      <c r="I108" s="37" t="n">
        <f aca="false">IFERROR(1/H108,"")</f>
        <v>1.17791630430129</v>
      </c>
      <c r="J108" s="36" t="n">
        <v>0.700782784987849</v>
      </c>
      <c r="K108" s="37" t="n">
        <f aca="false">IFERROR(1/J108,"")</f>
        <v>1.42697569264253</v>
      </c>
      <c r="L108" s="36" t="n">
        <v>0.527717597266886</v>
      </c>
      <c r="M108" s="37" t="n">
        <f aca="false">IFERROR(1/L108,"")</f>
        <v>1.89495291644456</v>
      </c>
      <c r="N108" s="36" t="n">
        <v>0.36233717964322</v>
      </c>
      <c r="O108" s="37" t="n">
        <f aca="false">IFERROR(1/N108,"")</f>
        <v>2.75986030742046</v>
      </c>
      <c r="P108" s="36" t="n">
        <v>0.22771710338795</v>
      </c>
      <c r="Q108" s="37" t="n">
        <f aca="false">IFERROR(1/P108,"")</f>
        <v>4.39141366687926</v>
      </c>
    </row>
    <row r="110" customFormat="false" ht="15" hidden="false" customHeight="false" outlineLevel="0" collapsed="false">
      <c r="A110" s="22" t="s">
        <v>351</v>
      </c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</row>
  </sheetData>
  <autoFilter ref="A5:Q108"/>
  <mergeCells count="9">
    <mergeCell ref="A2:Q2"/>
    <mergeCell ref="A4:D4"/>
    <mergeCell ref="E4:G4"/>
    <mergeCell ref="H4:I4"/>
    <mergeCell ref="J4:K4"/>
    <mergeCell ref="L4:M4"/>
    <mergeCell ref="N4:O4"/>
    <mergeCell ref="P4:Q4"/>
    <mergeCell ref="A110:Q110"/>
  </mergeCells>
  <conditionalFormatting sqref="H6:H108">
    <cfRule type="colorScale" priority="2">
      <colorScale>
        <cfvo type="num" val="0"/>
        <cfvo type="num" val="1"/>
        <color rgb="FFFFFFFF"/>
        <color rgb="FF9EC5F4"/>
      </colorScale>
    </cfRule>
  </conditionalFormatting>
  <conditionalFormatting sqref="J6:J108">
    <cfRule type="colorScale" priority="3">
      <colorScale>
        <cfvo type="num" val="0"/>
        <cfvo type="num" val="1"/>
        <color rgb="FFFFFFFF"/>
        <color rgb="FF9EC5F4"/>
      </colorScale>
    </cfRule>
  </conditionalFormatting>
  <conditionalFormatting sqref="L6:L108">
    <cfRule type="colorScale" priority="4">
      <colorScale>
        <cfvo type="num" val="0"/>
        <cfvo type="num" val="1"/>
        <color rgb="FFFFFFFF"/>
        <color rgb="FF9EC5F4"/>
      </colorScale>
    </cfRule>
  </conditionalFormatting>
  <conditionalFormatting sqref="N6:N108">
    <cfRule type="colorScale" priority="5">
      <colorScale>
        <cfvo type="num" val="0"/>
        <cfvo type="num" val="1"/>
        <color rgb="FFFFFFFF"/>
        <color rgb="FF9EC5F4"/>
      </colorScale>
    </cfRule>
  </conditionalFormatting>
  <conditionalFormatting sqref="P6:P108">
    <cfRule type="colorScale" priority="6">
      <colorScale>
        <cfvo type="num" val="0"/>
        <cfvo type="num" val="1"/>
        <color rgb="FFFFFFFF"/>
        <color rgb="FF9EC5F4"/>
      </colorScale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5" min="2" style="0" width="16"/>
  </cols>
  <sheetData>
    <row r="1" customFormat="false" ht="15" hidden="false" customHeight="false" outlineLevel="0" collapsed="false">
      <c r="A1" s="0" t="s">
        <v>135</v>
      </c>
      <c r="B1" s="0" t="s">
        <v>143</v>
      </c>
      <c r="C1" s="0" t="s">
        <v>76</v>
      </c>
      <c r="D1" s="0" t="s">
        <v>156</v>
      </c>
      <c r="E1" s="0" t="s">
        <v>352</v>
      </c>
      <c r="F1" s="0" t="s">
        <v>353</v>
      </c>
      <c r="G1" s="0" t="s">
        <v>354</v>
      </c>
      <c r="H1" s="0" t="s">
        <v>140</v>
      </c>
      <c r="I1" s="0" t="s">
        <v>107</v>
      </c>
      <c r="J1" s="0" t="s">
        <v>168</v>
      </c>
      <c r="K1" s="0" t="s">
        <v>152</v>
      </c>
      <c r="L1" s="0" t="s">
        <v>155</v>
      </c>
      <c r="M1" s="0" t="s">
        <v>355</v>
      </c>
      <c r="N1" s="0" t="s">
        <v>356</v>
      </c>
      <c r="O1" s="0" t="s">
        <v>150</v>
      </c>
      <c r="P1" s="0" t="s">
        <v>154</v>
      </c>
      <c r="Q1" s="0" t="s">
        <v>86</v>
      </c>
      <c r="R1" s="0" t="s">
        <v>292</v>
      </c>
      <c r="S1" s="0" t="s">
        <v>291</v>
      </c>
      <c r="T1" s="0" t="s">
        <v>149</v>
      </c>
      <c r="U1" s="0" t="s">
        <v>163</v>
      </c>
      <c r="V1" s="0" t="s">
        <v>170</v>
      </c>
      <c r="W1" s="0" t="s">
        <v>196</v>
      </c>
      <c r="X1" s="0" t="s">
        <v>188</v>
      </c>
      <c r="Y1" s="0" t="s">
        <v>158</v>
      </c>
    </row>
    <row r="2" customFormat="false" ht="15" hidden="false" customHeight="false" outlineLevel="0" collapsed="false">
      <c r="A2" s="0" t="s">
        <v>139</v>
      </c>
      <c r="B2" s="70" t="n">
        <v>0.354223598922765</v>
      </c>
      <c r="C2" s="70" t="n">
        <v>0.248614935152616</v>
      </c>
      <c r="D2" s="70" t="n">
        <v>0.397161465924619</v>
      </c>
      <c r="E2" s="70" t="n">
        <v>0.602838534075381</v>
      </c>
      <c r="F2" s="70" t="n">
        <v>0.751385064847384</v>
      </c>
      <c r="G2" s="70" t="n">
        <v>0.645776401077234</v>
      </c>
      <c r="H2" s="70" t="n">
        <v>0.941848444524692</v>
      </c>
      <c r="I2" s="70" t="n">
        <v>0.77109751587449</v>
      </c>
      <c r="J2" s="70" t="n">
        <v>0.535556794079534</v>
      </c>
      <c r="K2" s="70" t="n">
        <v>0.312756441608085</v>
      </c>
      <c r="L2" s="70" t="n">
        <v>0.464443205920467</v>
      </c>
      <c r="M2" s="70" t="n">
        <v>0.569578573025788</v>
      </c>
      <c r="N2" s="70" t="n">
        <v>0.430421426974213</v>
      </c>
      <c r="O2" s="70" t="n">
        <v>0.406291650445159</v>
      </c>
      <c r="P2" s="70" t="n">
        <v>0.629092002916607</v>
      </c>
      <c r="Q2" s="70" t="n">
        <v>0.786226646197878</v>
      </c>
      <c r="R2" s="70" t="n">
        <v>0.458341074266405</v>
      </c>
      <c r="S2" s="70" t="n">
        <v>0.615475717547675</v>
      </c>
      <c r="T2" s="70" t="n">
        <v>0.526694756781211</v>
      </c>
      <c r="U2" s="70" t="n">
        <v>0.408186079182415</v>
      </c>
      <c r="V2" s="70" t="n">
        <v>0.301845510306097</v>
      </c>
      <c r="W2" s="70" t="n">
        <v>0.469031242759801</v>
      </c>
      <c r="X2" s="70" t="n">
        <v>0.287216297748662</v>
      </c>
      <c r="Y2" s="70" t="n">
        <v>0.156855843984136</v>
      </c>
    </row>
    <row r="3" customFormat="false" ht="15" hidden="false" customHeight="false" outlineLevel="0" collapsed="false">
      <c r="A3" s="0" t="s">
        <v>144</v>
      </c>
      <c r="B3" s="70" t="n">
        <v>0.503638893384442</v>
      </c>
      <c r="C3" s="70" t="n">
        <v>0.258438234314728</v>
      </c>
      <c r="D3" s="70" t="n">
        <v>0.237922872300829</v>
      </c>
      <c r="E3" s="70" t="n">
        <v>0.762077127699171</v>
      </c>
      <c r="F3" s="70" t="n">
        <v>0.741561765685272</v>
      </c>
      <c r="G3" s="70" t="n">
        <v>0.496361106615558</v>
      </c>
      <c r="H3" s="70" t="n">
        <v>0.913607489048575</v>
      </c>
      <c r="I3" s="70" t="n">
        <v>0.697071938301797</v>
      </c>
      <c r="J3" s="70" t="n">
        <v>0.43869710859524</v>
      </c>
      <c r="K3" s="70" t="n">
        <v>0.228046757988991</v>
      </c>
      <c r="L3" s="70" t="n">
        <v>0.56130289140476</v>
      </c>
      <c r="M3" s="70" t="n">
        <v>0.470377121587554</v>
      </c>
      <c r="N3" s="70" t="n">
        <v>0.529622878412446</v>
      </c>
      <c r="O3" s="70" t="n">
        <v>0.474910380453335</v>
      </c>
      <c r="P3" s="70" t="n">
        <v>0.685560731059584</v>
      </c>
      <c r="Q3" s="70" t="n">
        <v>0.813649995185065</v>
      </c>
      <c r="R3" s="70" t="n">
        <v>0.469025180312806</v>
      </c>
      <c r="S3" s="70" t="n">
        <v>0.597114444438287</v>
      </c>
      <c r="T3" s="70" t="n">
        <v>0.686463344448431</v>
      </c>
      <c r="U3" s="70" t="n">
        <v>0.577583467972246</v>
      </c>
      <c r="V3" s="70" t="n">
        <v>0.467114280941794</v>
      </c>
      <c r="W3" s="70" t="n">
        <v>0.772751867580312</v>
      </c>
      <c r="X3" s="70" t="n">
        <v>0.617928275021675</v>
      </c>
      <c r="Y3" s="70" t="n">
        <v>0.45487809150161</v>
      </c>
    </row>
    <row r="4" customFormat="false" ht="15" hidden="false" customHeight="false" outlineLevel="0" collapsed="false">
      <c r="A4" s="0" t="s">
        <v>147</v>
      </c>
      <c r="B4" s="70" t="n">
        <v>0.512882686211862</v>
      </c>
      <c r="C4" s="70" t="n">
        <v>0.252716665258713</v>
      </c>
      <c r="D4" s="70" t="n">
        <v>0.234400648529425</v>
      </c>
      <c r="E4" s="70" t="n">
        <v>0.765599351470575</v>
      </c>
      <c r="F4" s="70" t="n">
        <v>0.747283334741287</v>
      </c>
      <c r="G4" s="70" t="n">
        <v>0.487117313788138</v>
      </c>
      <c r="H4" s="70" t="n">
        <v>0.919607177489373</v>
      </c>
      <c r="I4" s="70" t="n">
        <v>0.711960633147489</v>
      </c>
      <c r="J4" s="70" t="n">
        <v>0.457035931275731</v>
      </c>
      <c r="K4" s="70" t="n">
        <v>0.243131645141363</v>
      </c>
      <c r="L4" s="70" t="n">
        <v>0.542964068724269</v>
      </c>
      <c r="M4" s="70" t="n">
        <v>0.482947349799624</v>
      </c>
      <c r="N4" s="70" t="n">
        <v>0.517052650200376</v>
      </c>
      <c r="O4" s="70" t="n">
        <v>0.462571246213642</v>
      </c>
      <c r="P4" s="70" t="n">
        <v>0.676475532348011</v>
      </c>
      <c r="Q4" s="70" t="n">
        <v>0.810342857188946</v>
      </c>
      <c r="R4" s="70" t="n">
        <v>0.468828988006127</v>
      </c>
      <c r="S4" s="70" t="n">
        <v>0.602696312847062</v>
      </c>
      <c r="T4" s="70" t="n">
        <v>0.725031096878435</v>
      </c>
      <c r="U4" s="70" t="n">
        <v>0.621750488353522</v>
      </c>
      <c r="V4" s="70" t="n">
        <v>0.513601556853095</v>
      </c>
      <c r="W4" s="70" t="n">
        <v>0.772899256447598</v>
      </c>
      <c r="X4" s="70" t="n">
        <v>0.618122320930711</v>
      </c>
      <c r="Y4" s="70" t="n">
        <v>0.45508700519989</v>
      </c>
    </row>
    <row r="5" customFormat="false" ht="15" hidden="false" customHeight="false" outlineLevel="0" collapsed="false">
      <c r="A5" s="0" t="s">
        <v>148</v>
      </c>
      <c r="B5" s="70" t="n">
        <v>0.45587463984214</v>
      </c>
      <c r="C5" s="70" t="n">
        <v>0.268513430487424</v>
      </c>
      <c r="D5" s="70" t="n">
        <v>0.275611929670436</v>
      </c>
      <c r="E5" s="70" t="n">
        <v>0.724388070329564</v>
      </c>
      <c r="F5" s="70" t="n">
        <v>0.731486569512576</v>
      </c>
      <c r="G5" s="70" t="n">
        <v>0.54412536015786</v>
      </c>
      <c r="H5" s="70" t="n">
        <v>0.909538037029801</v>
      </c>
      <c r="I5" s="70" t="n">
        <v>0.687081121714975</v>
      </c>
      <c r="J5" s="70" t="n">
        <v>0.426728192318324</v>
      </c>
      <c r="K5" s="70" t="n">
        <v>0.218434649285566</v>
      </c>
      <c r="L5" s="70" t="n">
        <v>0.573271807681676</v>
      </c>
      <c r="M5" s="70" t="n">
        <v>0.473378218688515</v>
      </c>
      <c r="N5" s="70" t="n">
        <v>0.526621781311485</v>
      </c>
      <c r="O5" s="70" t="n">
        <v>0.482809844711478</v>
      </c>
      <c r="P5" s="70" t="n">
        <v>0.691103387744236</v>
      </c>
      <c r="Q5" s="70" t="n">
        <v>0.815370185648016</v>
      </c>
      <c r="R5" s="70" t="n">
        <v>0.468646472429409</v>
      </c>
      <c r="S5" s="70" t="n">
        <v>0.592913270333189</v>
      </c>
      <c r="T5" s="70" t="n">
        <v>0.654465506703888</v>
      </c>
      <c r="U5" s="70" t="n">
        <v>0.541965836527545</v>
      </c>
      <c r="V5" s="70" t="n">
        <v>0.43067592450186</v>
      </c>
      <c r="W5" s="70" t="n">
        <v>0.716031610330263</v>
      </c>
      <c r="X5" s="70" t="n">
        <v>0.546113704998686</v>
      </c>
      <c r="Y5" s="70" t="n">
        <v>0.380486165669843</v>
      </c>
    </row>
    <row r="6" customFormat="false" ht="15" hidden="false" customHeight="false" outlineLevel="0" collapsed="false">
      <c r="A6" s="0" t="s">
        <v>151</v>
      </c>
      <c r="B6" s="70" t="n">
        <v>0.596488740691601</v>
      </c>
      <c r="C6" s="70" t="n">
        <v>0.216740464328827</v>
      </c>
      <c r="D6" s="70" t="n">
        <v>0.186770794979572</v>
      </c>
      <c r="E6" s="70" t="n">
        <v>0.813229205020428</v>
      </c>
      <c r="F6" s="70" t="n">
        <v>0.783259535671174</v>
      </c>
      <c r="G6" s="70" t="n">
        <v>0.403511259308399</v>
      </c>
      <c r="H6" s="70" t="n">
        <v>0.944837810975331</v>
      </c>
      <c r="I6" s="70" t="n">
        <v>0.780263148415046</v>
      </c>
      <c r="J6" s="70" t="n">
        <v>0.548367548110498</v>
      </c>
      <c r="K6" s="70" t="n">
        <v>0.324918071610036</v>
      </c>
      <c r="L6" s="70" t="n">
        <v>0.451632451889502</v>
      </c>
      <c r="M6" s="70" t="n">
        <v>0.525980197558623</v>
      </c>
      <c r="N6" s="70" t="n">
        <v>0.474019802441377</v>
      </c>
      <c r="O6" s="70" t="n">
        <v>0.396470262864833</v>
      </c>
      <c r="P6" s="70" t="n">
        <v>0.619919739365294</v>
      </c>
      <c r="Q6" s="70" t="n">
        <v>0.780557569755276</v>
      </c>
      <c r="R6" s="70" t="n">
        <v>0.45534507680501</v>
      </c>
      <c r="S6" s="70" t="n">
        <v>0.615982907194992</v>
      </c>
      <c r="T6" s="70" t="n">
        <v>0.488957981088973</v>
      </c>
      <c r="U6" s="70" t="n">
        <v>0.371097534859893</v>
      </c>
      <c r="V6" s="70" t="n">
        <v>0.268343488448791</v>
      </c>
      <c r="W6" s="70" t="n">
        <v>0.688528043274563</v>
      </c>
      <c r="X6" s="70" t="n">
        <v>0.513194148795952</v>
      </c>
      <c r="Y6" s="70" t="n">
        <v>0.348261579880478</v>
      </c>
    </row>
    <row r="7" customFormat="false" ht="15" hidden="false" customHeight="false" outlineLevel="0" collapsed="false">
      <c r="A7" s="0" t="s">
        <v>153</v>
      </c>
      <c r="B7" s="70" t="n">
        <v>0.429158576156502</v>
      </c>
      <c r="C7" s="70" t="n">
        <v>0.256552259128917</v>
      </c>
      <c r="D7" s="70" t="n">
        <v>0.314289164714581</v>
      </c>
      <c r="E7" s="70" t="n">
        <v>0.685710835285419</v>
      </c>
      <c r="F7" s="70" t="n">
        <v>0.743447740871083</v>
      </c>
      <c r="G7" s="70" t="n">
        <v>0.570841423843498</v>
      </c>
      <c r="H7" s="70" t="n">
        <v>0.929798991365186</v>
      </c>
      <c r="I7" s="70" t="n">
        <v>0.738034361975533</v>
      </c>
      <c r="J7" s="70" t="n">
        <v>0.49056055220963</v>
      </c>
      <c r="K7" s="70" t="n">
        <v>0.271843485400392</v>
      </c>
      <c r="L7" s="70" t="n">
        <v>0.509439447790371</v>
      </c>
      <c r="M7" s="70" t="n">
        <v>0.53075408371458</v>
      </c>
      <c r="N7" s="70" t="n">
        <v>0.46924591628542</v>
      </c>
      <c r="O7" s="70" t="n">
        <v>0.439238439155557</v>
      </c>
      <c r="P7" s="70" t="n">
        <v>0.657955505964794</v>
      </c>
      <c r="Q7" s="70" t="n">
        <v>0.802088020653686</v>
      </c>
      <c r="R7" s="70" t="n">
        <v>0.466190876575141</v>
      </c>
      <c r="S7" s="70" t="n">
        <v>0.610323391264033</v>
      </c>
      <c r="T7" s="70" t="n">
        <v>0.793047340381303</v>
      </c>
      <c r="U7" s="70" t="n">
        <v>0.703269893283484</v>
      </c>
      <c r="V7" s="70" t="n">
        <v>0.603420253864075</v>
      </c>
      <c r="W7" s="70" t="n">
        <v>0.698620686943821</v>
      </c>
      <c r="X7" s="70" t="n">
        <v>0.525138581273361</v>
      </c>
      <c r="Y7" s="70" t="n">
        <v>0.359821498566871</v>
      </c>
    </row>
    <row r="8" customFormat="false" ht="15" hidden="false" customHeight="false" outlineLevel="0" collapsed="false">
      <c r="A8" s="0" t="s">
        <v>157</v>
      </c>
      <c r="B8" s="70" t="n">
        <v>0.480814742760228</v>
      </c>
      <c r="C8" s="70" t="n">
        <v>0.27931563641294</v>
      </c>
      <c r="D8" s="70" t="n">
        <v>0.239869620826833</v>
      </c>
      <c r="E8" s="70" t="n">
        <v>0.760130379173167</v>
      </c>
      <c r="F8" s="70" t="n">
        <v>0.72068436358706</v>
      </c>
      <c r="G8" s="70" t="n">
        <v>0.519185257239772</v>
      </c>
      <c r="H8" s="70" t="n">
        <v>0.88761940631186</v>
      </c>
      <c r="I8" s="70" t="n">
        <v>0.637198933205728</v>
      </c>
      <c r="J8" s="70" t="n">
        <v>0.369929389925032</v>
      </c>
      <c r="K8" s="70" t="n">
        <v>0.175286098868619</v>
      </c>
      <c r="L8" s="70" t="n">
        <v>0.630070610074968</v>
      </c>
      <c r="M8" s="70" t="n">
        <v>0.417813967122782</v>
      </c>
      <c r="N8" s="70" t="n">
        <v>0.582186032877218</v>
      </c>
      <c r="O8" s="70" t="n">
        <v>0.517690016386827</v>
      </c>
      <c r="P8" s="70" t="n">
        <v>0.712333307443241</v>
      </c>
      <c r="Q8" s="70" t="n">
        <v>0.818053658479767</v>
      </c>
      <c r="R8" s="70" t="n">
        <v>0.461912834337109</v>
      </c>
      <c r="S8" s="70" t="n">
        <v>0.567633185373635</v>
      </c>
      <c r="T8" s="70" t="n">
        <v>0.669819234194778</v>
      </c>
      <c r="U8" s="70" t="n">
        <v>0.558944062364612</v>
      </c>
      <c r="V8" s="70" t="n">
        <v>0.447930418294902</v>
      </c>
      <c r="W8" s="70" t="n">
        <v>0.803802560503797</v>
      </c>
      <c r="X8" s="70" t="n">
        <v>0.659742010742713</v>
      </c>
      <c r="Y8" s="70" t="n">
        <v>0.500931822737565</v>
      </c>
    </row>
    <row r="9" customFormat="false" ht="15" hidden="false" customHeight="false" outlineLevel="0" collapsed="false">
      <c r="A9" s="0" t="s">
        <v>160</v>
      </c>
      <c r="B9" s="70" t="n">
        <v>0.627227752522016</v>
      </c>
      <c r="C9" s="70" t="n">
        <v>0.210393608813374</v>
      </c>
      <c r="D9" s="70" t="n">
        <v>0.16237863866461</v>
      </c>
      <c r="E9" s="70" t="n">
        <v>0.83762136133539</v>
      </c>
      <c r="F9" s="70" t="n">
        <v>0.789606391186626</v>
      </c>
      <c r="G9" s="70" t="n">
        <v>0.372772247477984</v>
      </c>
      <c r="H9" s="70" t="n">
        <v>0.941624100827332</v>
      </c>
      <c r="I9" s="70" t="n">
        <v>0.771233444634423</v>
      </c>
      <c r="J9" s="70" t="n">
        <v>0.535463747849238</v>
      </c>
      <c r="K9" s="70" t="n">
        <v>0.312667468439079</v>
      </c>
      <c r="L9" s="70" t="n">
        <v>0.464536252150762</v>
      </c>
      <c r="M9" s="70" t="n">
        <v>0.497700426210343</v>
      </c>
      <c r="N9" s="70" t="n">
        <v>0.502299573789657</v>
      </c>
      <c r="O9" s="70" t="n">
        <v>0.406160352978094</v>
      </c>
      <c r="P9" s="70" t="n">
        <v>0.628956632388253</v>
      </c>
      <c r="Q9" s="70" t="n">
        <v>0.786067176363151</v>
      </c>
      <c r="R9" s="70" t="n">
        <v>0.458565976195344</v>
      </c>
      <c r="S9" s="70" t="n">
        <v>0.615676520170242</v>
      </c>
      <c r="T9" s="70" t="n">
        <v>0.645546374112517</v>
      </c>
      <c r="U9" s="70" t="n">
        <v>0.532196263511205</v>
      </c>
      <c r="V9" s="70" t="n">
        <v>0.420841329771938</v>
      </c>
      <c r="W9" s="70" t="n">
        <v>0.748630227787692</v>
      </c>
      <c r="X9" s="70" t="n">
        <v>0.586706554889072</v>
      </c>
      <c r="Y9" s="70" t="n">
        <v>0.421828164545113</v>
      </c>
    </row>
    <row r="10" customFormat="false" ht="15" hidden="false" customHeight="false" outlineLevel="0" collapsed="false">
      <c r="A10" s="0" t="s">
        <v>162</v>
      </c>
      <c r="B10" s="70" t="n">
        <v>0.461683183401895</v>
      </c>
      <c r="C10" s="70" t="n">
        <v>0.276778128596004</v>
      </c>
      <c r="D10" s="70" t="n">
        <v>0.2615386880021</v>
      </c>
      <c r="E10" s="70" t="n">
        <v>0.7384613119979</v>
      </c>
      <c r="F10" s="70" t="n">
        <v>0.723221871403996</v>
      </c>
      <c r="G10" s="70" t="n">
        <v>0.538316816598104</v>
      </c>
      <c r="H10" s="70" t="n">
        <v>0.896131703957303</v>
      </c>
      <c r="I10" s="70" t="n">
        <v>0.655969647591675</v>
      </c>
      <c r="J10" s="70" t="n">
        <v>0.390698117785273</v>
      </c>
      <c r="K10" s="70" t="n">
        <v>0.19059487129436</v>
      </c>
      <c r="L10" s="70" t="n">
        <v>0.609301882214727</v>
      </c>
      <c r="M10" s="70" t="n">
        <v>0.44128954688148</v>
      </c>
      <c r="N10" s="70" t="n">
        <v>0.55871045311852</v>
      </c>
      <c r="O10" s="70" t="n">
        <v>0.50543358617203</v>
      </c>
      <c r="P10" s="70" t="n">
        <v>0.705536832662943</v>
      </c>
      <c r="Q10" s="70" t="n">
        <v>0.818101938553411</v>
      </c>
      <c r="R10" s="70" t="n">
        <v>0.465374776297314</v>
      </c>
      <c r="S10" s="70" t="n">
        <v>0.577939882187782</v>
      </c>
      <c r="T10" s="70" t="n">
        <v>0.618449573217396</v>
      </c>
      <c r="U10" s="70" t="n">
        <v>0.502926211347039</v>
      </c>
      <c r="V10" s="70" t="n">
        <v>0.391782980114964</v>
      </c>
      <c r="W10" s="70" t="n">
        <v>0.839117612252474</v>
      </c>
      <c r="X10" s="70" t="n">
        <v>0.709780919272141</v>
      </c>
      <c r="Y10" s="70" t="n">
        <v>0.558927218341921</v>
      </c>
    </row>
    <row r="11" customFormat="false" ht="15" hidden="false" customHeight="false" outlineLevel="0" collapsed="false">
      <c r="A11" s="0" t="s">
        <v>165</v>
      </c>
      <c r="B11" s="70" t="n">
        <v>0.656706758754522</v>
      </c>
      <c r="C11" s="70" t="n">
        <v>0.203863112994046</v>
      </c>
      <c r="D11" s="70" t="n">
        <v>0.139430128251431</v>
      </c>
      <c r="E11" s="70" t="n">
        <v>0.860569871748569</v>
      </c>
      <c r="F11" s="70" t="n">
        <v>0.796136887005953</v>
      </c>
      <c r="G11" s="70" t="n">
        <v>0.343293241245477</v>
      </c>
      <c r="H11" s="70" t="n">
        <v>0.937334119996593</v>
      </c>
      <c r="I11" s="70" t="n">
        <v>0.759432033169033</v>
      </c>
      <c r="J11" s="70" t="n">
        <v>0.518969190642772</v>
      </c>
      <c r="K11" s="70" t="n">
        <v>0.297348590727448</v>
      </c>
      <c r="L11" s="70" t="n">
        <v>0.481030809357228</v>
      </c>
      <c r="M11" s="70" t="n">
        <v>0.463688511809297</v>
      </c>
      <c r="N11" s="70" t="n">
        <v>0.536311488190703</v>
      </c>
      <c r="O11" s="70" t="n">
        <v>0.418364929353821</v>
      </c>
      <c r="P11" s="70" t="n">
        <v>0.639985529269145</v>
      </c>
      <c r="Q11" s="70" t="n">
        <v>0.792448152898918</v>
      </c>
      <c r="R11" s="70" t="n">
        <v>0.462083442441585</v>
      </c>
      <c r="S11" s="70" t="n">
        <v>0.614546066071358</v>
      </c>
      <c r="T11" s="70" t="n">
        <v>0.7241033400037</v>
      </c>
      <c r="U11" s="70" t="n">
        <v>0.620671475962177</v>
      </c>
      <c r="V11" s="70" t="n">
        <v>0.512448249979809</v>
      </c>
      <c r="W11" s="70" t="n">
        <v>0.75030509878665</v>
      </c>
      <c r="X11" s="70" t="n">
        <v>0.588840795410901</v>
      </c>
      <c r="Y11" s="70" t="n">
        <v>0.42405213065792</v>
      </c>
    </row>
    <row r="12" customFormat="false" ht="15" hidden="false" customHeight="false" outlineLevel="0" collapsed="false">
      <c r="A12" s="0" t="s">
        <v>166</v>
      </c>
      <c r="B12" s="70" t="n">
        <v>0.38071817580899</v>
      </c>
      <c r="C12" s="70" t="n">
        <v>0.251940433053161</v>
      </c>
      <c r="D12" s="70" t="n">
        <v>0.367341391137849</v>
      </c>
      <c r="E12" s="70" t="n">
        <v>0.632658608862152</v>
      </c>
      <c r="F12" s="70" t="n">
        <v>0.748059566946839</v>
      </c>
      <c r="G12" s="70" t="n">
        <v>0.61928182419101</v>
      </c>
      <c r="H12" s="70" t="n">
        <v>0.938257395582887</v>
      </c>
      <c r="I12" s="70" t="n">
        <v>0.760979465588912</v>
      </c>
      <c r="J12" s="70" t="n">
        <v>0.521469668631917</v>
      </c>
      <c r="K12" s="70" t="n">
        <v>0.299648296144979</v>
      </c>
      <c r="L12" s="70" t="n">
        <v>0.478530331368083</v>
      </c>
      <c r="M12" s="70" t="n">
        <v>0.55906624068683</v>
      </c>
      <c r="N12" s="70" t="n">
        <v>0.440933759313171</v>
      </c>
      <c r="O12" s="70" t="n">
        <v>0.416787726950969</v>
      </c>
      <c r="P12" s="70" t="n">
        <v>0.638609099437907</v>
      </c>
      <c r="Q12" s="70" t="n">
        <v>0.791783810720465</v>
      </c>
      <c r="R12" s="70" t="n">
        <v>0.461331169443933</v>
      </c>
      <c r="S12" s="70" t="n">
        <v>0.61450588072649</v>
      </c>
      <c r="T12" s="70" t="n">
        <v>0.664291689754723</v>
      </c>
      <c r="U12" s="70" t="n">
        <v>0.552808064242895</v>
      </c>
      <c r="V12" s="70" t="n">
        <v>0.441670552021508</v>
      </c>
      <c r="W12" s="70" t="n">
        <v>0.637154166339778</v>
      </c>
      <c r="X12" s="70" t="n">
        <v>0.454701538029644</v>
      </c>
      <c r="Y12" s="70" t="n">
        <v>0.293782167495546</v>
      </c>
    </row>
    <row r="13" customFormat="false" ht="15" hidden="false" customHeight="false" outlineLevel="0" collapsed="false">
      <c r="A13" s="0" t="s">
        <v>167</v>
      </c>
      <c r="B13" s="70" t="n">
        <v>0.274557353862132</v>
      </c>
      <c r="C13" s="70" t="n">
        <v>0.247493001913276</v>
      </c>
      <c r="D13" s="70" t="n">
        <v>0.477949644224592</v>
      </c>
      <c r="E13" s="70" t="n">
        <v>0.522050355775408</v>
      </c>
      <c r="F13" s="70" t="n">
        <v>0.752506998086724</v>
      </c>
      <c r="G13" s="70" t="n">
        <v>0.725442646137868</v>
      </c>
      <c r="H13" s="70" t="n">
        <v>0.934850419765168</v>
      </c>
      <c r="I13" s="70" t="n">
        <v>0.751728308203922</v>
      </c>
      <c r="J13" s="70" t="n">
        <v>0.508789222653078</v>
      </c>
      <c r="K13" s="70" t="n">
        <v>0.288083884143802</v>
      </c>
      <c r="L13" s="70" t="n">
        <v>0.491210777346922</v>
      </c>
      <c r="M13" s="70" t="n">
        <v>0.536357668838902</v>
      </c>
      <c r="N13" s="70" t="n">
        <v>0.463642331161098</v>
      </c>
      <c r="O13" s="70" t="n">
        <v>0.42606119711209</v>
      </c>
      <c r="P13" s="70" t="n">
        <v>0.646766535621365</v>
      </c>
      <c r="Q13" s="70" t="n">
        <v>0.796287111479944</v>
      </c>
      <c r="R13" s="70" t="n">
        <v>0.463644424060119</v>
      </c>
      <c r="S13" s="70" t="n">
        <v>0.613164999918697</v>
      </c>
      <c r="T13" s="70" t="n">
        <v>0.634276162671547</v>
      </c>
      <c r="U13" s="70" t="n">
        <v>0.519947795629192</v>
      </c>
      <c r="V13" s="70" t="n">
        <v>0.408607557216091</v>
      </c>
      <c r="W13" s="70" t="n">
        <v>0.750775205196111</v>
      </c>
      <c r="X13" s="70" t="n">
        <v>0.589440720736575</v>
      </c>
      <c r="Y13" s="70" t="n">
        <v>0.424678197710238</v>
      </c>
    </row>
    <row r="14" customFormat="false" ht="15" hidden="false" customHeight="false" outlineLevel="0" collapsed="false">
      <c r="A14" s="0" t="s">
        <v>169</v>
      </c>
      <c r="B14" s="70" t="n">
        <v>0.56202545739844</v>
      </c>
      <c r="C14" s="70" t="n">
        <v>0.23566021815145</v>
      </c>
      <c r="D14" s="70" t="n">
        <v>0.202314324450111</v>
      </c>
      <c r="E14" s="70" t="n">
        <v>0.79768567554989</v>
      </c>
      <c r="F14" s="70" t="n">
        <v>0.76433978184855</v>
      </c>
      <c r="G14" s="70" t="n">
        <v>0.43797454260156</v>
      </c>
      <c r="H14" s="70" t="n">
        <v>0.929561417220768</v>
      </c>
      <c r="I14" s="70" t="n">
        <v>0.737840805557789</v>
      </c>
      <c r="J14" s="70" t="n">
        <v>0.490148478058131</v>
      </c>
      <c r="K14" s="70" t="n">
        <v>0.271481097324349</v>
      </c>
      <c r="L14" s="70" t="n">
        <v>0.509851521941869</v>
      </c>
      <c r="M14" s="70" t="n">
        <v>0.491997213832433</v>
      </c>
      <c r="N14" s="70" t="n">
        <v>0.508002786167567</v>
      </c>
      <c r="O14" s="70" t="n">
        <v>0.439412939162638</v>
      </c>
      <c r="P14" s="70" t="n">
        <v>0.658080319896419</v>
      </c>
      <c r="Q14" s="70" t="n">
        <v>0.802089784662631</v>
      </c>
      <c r="R14" s="70" t="n">
        <v>0.46635970823344</v>
      </c>
      <c r="S14" s="70" t="n">
        <v>0.610369172999652</v>
      </c>
      <c r="T14" s="70" t="n">
        <v>0.561975959481511</v>
      </c>
      <c r="U14" s="70" t="n">
        <v>0.443837202186835</v>
      </c>
      <c r="V14" s="70" t="n">
        <v>0.334955199273813</v>
      </c>
      <c r="W14" s="70" t="n">
        <v>0.627879150616625</v>
      </c>
      <c r="X14" s="70" t="n">
        <v>0.444534398345608</v>
      </c>
      <c r="Y14" s="70" t="n">
        <v>0.284668141146509</v>
      </c>
    </row>
    <row r="15" customFormat="false" ht="15" hidden="false" customHeight="false" outlineLevel="0" collapsed="false">
      <c r="A15" s="0" t="s">
        <v>171</v>
      </c>
      <c r="B15" s="70" t="n">
        <v>0.529167364969504</v>
      </c>
      <c r="C15" s="70" t="n">
        <v>0.244588057354094</v>
      </c>
      <c r="D15" s="70" t="n">
        <v>0.226244577676402</v>
      </c>
      <c r="E15" s="70" t="n">
        <v>0.773755422323598</v>
      </c>
      <c r="F15" s="70" t="n">
        <v>0.755411942645906</v>
      </c>
      <c r="G15" s="70" t="n">
        <v>0.470832635030496</v>
      </c>
      <c r="H15" s="70" t="n">
        <v>0.926931578732396</v>
      </c>
      <c r="I15" s="70" t="n">
        <v>0.730779269156838</v>
      </c>
      <c r="J15" s="70" t="n">
        <v>0.480978376203953</v>
      </c>
      <c r="K15" s="70" t="n">
        <v>0.263485130937001</v>
      </c>
      <c r="L15" s="70" t="n">
        <v>0.519021623796047</v>
      </c>
      <c r="M15" s="70" t="n">
        <v>0.497539348904862</v>
      </c>
      <c r="N15" s="70" t="n">
        <v>0.502460651095138</v>
      </c>
      <c r="O15" s="70" t="n">
        <v>0.445953202528443</v>
      </c>
      <c r="P15" s="70" t="n">
        <v>0.663446447795395</v>
      </c>
      <c r="Q15" s="70" t="n">
        <v>0.804688998153705</v>
      </c>
      <c r="R15" s="70" t="n">
        <v>0.467294138219838</v>
      </c>
      <c r="S15" s="70" t="n">
        <v>0.608536688578147</v>
      </c>
      <c r="T15" s="70" t="n">
        <v>0.66281523830037</v>
      </c>
      <c r="U15" s="70" t="n">
        <v>0.551173604758833</v>
      </c>
      <c r="V15" s="70" t="n">
        <v>0.440007693228799</v>
      </c>
      <c r="W15" s="70" t="n">
        <v>0.75982213901377</v>
      </c>
      <c r="X15" s="70" t="n">
        <v>0.601062095641498</v>
      </c>
      <c r="Y15" s="70" t="n">
        <v>0.43688612396162</v>
      </c>
    </row>
    <row r="16" customFormat="false" ht="15" hidden="false" customHeight="false" outlineLevel="0" collapsed="false">
      <c r="A16" s="0" t="s">
        <v>172</v>
      </c>
      <c r="B16" s="70" t="n">
        <v>0.450704071466609</v>
      </c>
      <c r="C16" s="70" t="n">
        <v>0.247793005350548</v>
      </c>
      <c r="D16" s="70" t="n">
        <v>0.301502923182843</v>
      </c>
      <c r="E16" s="70" t="n">
        <v>0.698497076817157</v>
      </c>
      <c r="F16" s="70" t="n">
        <v>0.752206994649452</v>
      </c>
      <c r="G16" s="70" t="n">
        <v>0.549295928533391</v>
      </c>
      <c r="H16" s="70" t="n">
        <v>0.938604999641662</v>
      </c>
      <c r="I16" s="70" t="n">
        <v>0.7620236576289</v>
      </c>
      <c r="J16" s="70" t="n">
        <v>0.522882745164768</v>
      </c>
      <c r="K16" s="70" t="n">
        <v>0.300950626732355</v>
      </c>
      <c r="L16" s="70" t="n">
        <v>0.477117254835232</v>
      </c>
      <c r="M16" s="70" t="n">
        <v>0.553460051456648</v>
      </c>
      <c r="N16" s="70" t="n">
        <v>0.446539948543352</v>
      </c>
      <c r="O16" s="70" t="n">
        <v>0.415722254476894</v>
      </c>
      <c r="P16" s="70" t="n">
        <v>0.637654372909307</v>
      </c>
      <c r="Q16" s="70" t="n">
        <v>0.791231278024327</v>
      </c>
      <c r="R16" s="70" t="n">
        <v>0.461073030896545</v>
      </c>
      <c r="S16" s="70" t="n">
        <v>0.614649936011565</v>
      </c>
      <c r="T16" s="70" t="n">
        <v>0.739554692327667</v>
      </c>
      <c r="U16" s="70" t="n">
        <v>0.638752393323706</v>
      </c>
      <c r="V16" s="70" t="n">
        <v>0.531893197809471</v>
      </c>
      <c r="W16" s="70" t="n">
        <v>0.704751307853394</v>
      </c>
      <c r="X16" s="70" t="n">
        <v>0.532470161902218</v>
      </c>
      <c r="Y16" s="70" t="n">
        <v>0.366991440771556</v>
      </c>
    </row>
    <row r="17" customFormat="false" ht="15" hidden="false" customHeight="false" outlineLevel="0" collapsed="false">
      <c r="A17" s="0" t="s">
        <v>173</v>
      </c>
      <c r="B17" s="70" t="n">
        <v>0.397247154704857</v>
      </c>
      <c r="C17" s="70" t="n">
        <v>0.279620246095401</v>
      </c>
      <c r="D17" s="70" t="n">
        <v>0.323132599199743</v>
      </c>
      <c r="E17" s="70" t="n">
        <v>0.676867400800257</v>
      </c>
      <c r="F17" s="70" t="n">
        <v>0.720379753904599</v>
      </c>
      <c r="G17" s="70" t="n">
        <v>0.602752845295144</v>
      </c>
      <c r="H17" s="70" t="n">
        <v>0.901211274315209</v>
      </c>
      <c r="I17" s="70" t="n">
        <v>0.667409286379377</v>
      </c>
      <c r="J17" s="70" t="n">
        <v>0.403747665802002</v>
      </c>
      <c r="K17" s="70" t="n">
        <v>0.200489254616545</v>
      </c>
      <c r="L17" s="70" t="n">
        <v>0.596252334197999</v>
      </c>
      <c r="M17" s="70" t="n">
        <v>0.463473890042686</v>
      </c>
      <c r="N17" s="70" t="n">
        <v>0.536526109957314</v>
      </c>
      <c r="O17" s="70" t="n">
        <v>0.497463608513207</v>
      </c>
      <c r="P17" s="70" t="n">
        <v>0.700722019698664</v>
      </c>
      <c r="Q17" s="70" t="n">
        <v>0.817554706947522</v>
      </c>
      <c r="R17" s="70" t="n">
        <v>0.466920031762832</v>
      </c>
      <c r="S17" s="70" t="n">
        <v>0.583752719011691</v>
      </c>
      <c r="T17" s="70" t="n">
        <v>0.722743690592126</v>
      </c>
      <c r="U17" s="70" t="n">
        <v>0.61909167016458</v>
      </c>
      <c r="V17" s="70" t="n">
        <v>0.510761282581831</v>
      </c>
      <c r="W17" s="70" t="n">
        <v>0.828777637034736</v>
      </c>
      <c r="X17" s="70" t="n">
        <v>0.694834670122472</v>
      </c>
      <c r="Y17" s="70" t="n">
        <v>0.54125959412791</v>
      </c>
    </row>
    <row r="18" customFormat="false" ht="15" hidden="false" customHeight="false" outlineLevel="0" collapsed="false">
      <c r="A18" s="0" t="s">
        <v>174</v>
      </c>
      <c r="B18" s="70" t="n">
        <v>0.27393995755703</v>
      </c>
      <c r="C18" s="70" t="n">
        <v>0.255765047680959</v>
      </c>
      <c r="D18" s="70" t="n">
        <v>0.470294994762011</v>
      </c>
      <c r="E18" s="70" t="n">
        <v>0.529705005237989</v>
      </c>
      <c r="F18" s="70" t="n">
        <v>0.744234952319041</v>
      </c>
      <c r="G18" s="70" t="n">
        <v>0.72606004244297</v>
      </c>
      <c r="H18" s="70" t="n">
        <v>0.925001065102474</v>
      </c>
      <c r="I18" s="70" t="n">
        <v>0.725561011904373</v>
      </c>
      <c r="J18" s="70" t="n">
        <v>0.474318093757382</v>
      </c>
      <c r="K18" s="70" t="n">
        <v>0.257747681692181</v>
      </c>
      <c r="L18" s="70" t="n">
        <v>0.525681906242618</v>
      </c>
      <c r="M18" s="70" t="n">
        <v>0.509782718557892</v>
      </c>
      <c r="N18" s="70" t="n">
        <v>0.490217281442108</v>
      </c>
      <c r="O18" s="70" t="n">
        <v>0.450682971345092</v>
      </c>
      <c r="P18" s="70" t="n">
        <v>0.667253383410293</v>
      </c>
      <c r="Q18" s="70" t="n">
        <v>0.806465236527464</v>
      </c>
      <c r="R18" s="70" t="n">
        <v>0.467813330212192</v>
      </c>
      <c r="S18" s="70" t="n">
        <v>0.607025183329362</v>
      </c>
      <c r="T18" s="70" t="n">
        <v>0.634347238420978</v>
      </c>
      <c r="U18" s="70" t="n">
        <v>0.520024706724703</v>
      </c>
      <c r="V18" s="70" t="n">
        <v>0.408684043352236</v>
      </c>
      <c r="W18" s="70" t="n">
        <v>0.556441972870631</v>
      </c>
      <c r="X18" s="70" t="n">
        <v>0.36998219502388</v>
      </c>
      <c r="Y18" s="70" t="n">
        <v>0.221003949546353</v>
      </c>
    </row>
    <row r="19" customFormat="false" ht="15" hidden="false" customHeight="false" outlineLevel="0" collapsed="false">
      <c r="A19" s="0" t="s">
        <v>176</v>
      </c>
      <c r="B19" s="70" t="n">
        <v>0.320231495630554</v>
      </c>
      <c r="C19" s="70" t="n">
        <v>0.250291422732277</v>
      </c>
      <c r="D19" s="70" t="n">
        <v>0.429477081637169</v>
      </c>
      <c r="E19" s="70" t="n">
        <v>0.570522918362831</v>
      </c>
      <c r="F19" s="70" t="n">
        <v>0.749708577267723</v>
      </c>
      <c r="G19" s="70" t="n">
        <v>0.679768504369446</v>
      </c>
      <c r="H19" s="70" t="n">
        <v>0.937773794905072</v>
      </c>
      <c r="I19" s="70" t="n">
        <v>0.759674270089504</v>
      </c>
      <c r="J19" s="70" t="n">
        <v>0.519658985938223</v>
      </c>
      <c r="K19" s="70" t="n">
        <v>0.29798341339787</v>
      </c>
      <c r="L19" s="70" t="n">
        <v>0.480341014061777</v>
      </c>
      <c r="M19" s="70" t="n">
        <v>0.554085665548008</v>
      </c>
      <c r="N19" s="70" t="n">
        <v>0.445914334451992</v>
      </c>
      <c r="O19" s="70" t="n">
        <v>0.418114808966849</v>
      </c>
      <c r="P19" s="70" t="n">
        <v>0.639790381507203</v>
      </c>
      <c r="Q19" s="70" t="n">
        <v>0.792448355214792</v>
      </c>
      <c r="R19" s="70" t="n">
        <v>0.461690856691634</v>
      </c>
      <c r="S19" s="70" t="n">
        <v>0.614348830399224</v>
      </c>
      <c r="T19" s="70" t="n">
        <v>0.548647317833872</v>
      </c>
      <c r="U19" s="70" t="n">
        <v>0.43025666090791</v>
      </c>
      <c r="V19" s="70" t="n">
        <v>0.322238390782885</v>
      </c>
      <c r="W19" s="70" t="n">
        <v>0.751405683223629</v>
      </c>
      <c r="X19" s="70" t="n">
        <v>0.590245912600856</v>
      </c>
      <c r="Y19" s="70" t="n">
        <v>0.425519111437498</v>
      </c>
    </row>
    <row r="20" customFormat="false" ht="15" hidden="false" customHeight="false" outlineLevel="0" collapsed="false">
      <c r="A20" s="0" t="s">
        <v>177</v>
      </c>
      <c r="B20" s="70" t="n">
        <v>0.621240755764678</v>
      </c>
      <c r="C20" s="70" t="n">
        <v>0.216805911128329</v>
      </c>
      <c r="D20" s="70" t="n">
        <v>0.161953333106993</v>
      </c>
      <c r="E20" s="70" t="n">
        <v>0.838046666893007</v>
      </c>
      <c r="F20" s="70" t="n">
        <v>0.783194088871671</v>
      </c>
      <c r="G20" s="70" t="n">
        <v>0.378759244235322</v>
      </c>
      <c r="H20" s="70" t="n">
        <v>0.934389436949661</v>
      </c>
      <c r="I20" s="70" t="n">
        <v>0.751121924061847</v>
      </c>
      <c r="J20" s="70" t="n">
        <v>0.507733248501614</v>
      </c>
      <c r="K20" s="70" t="n">
        <v>0.287129817993427</v>
      </c>
      <c r="L20" s="70" t="n">
        <v>0.492266751498386</v>
      </c>
      <c r="M20" s="70" t="n">
        <v>0.476609776803223</v>
      </c>
      <c r="N20" s="70" t="n">
        <v>0.523390223196777</v>
      </c>
      <c r="O20" s="70" t="n">
        <v>0.426656188448047</v>
      </c>
      <c r="P20" s="70" t="n">
        <v>0.647259618956234</v>
      </c>
      <c r="Q20" s="70" t="n">
        <v>0.796473340661102</v>
      </c>
      <c r="R20" s="70" t="n">
        <v>0.46399210606842</v>
      </c>
      <c r="S20" s="70" t="n">
        <v>0.613205827773288</v>
      </c>
      <c r="T20" s="70" t="n">
        <v>0.599849177773018</v>
      </c>
      <c r="U20" s="70" t="n">
        <v>0.483183409990301</v>
      </c>
      <c r="V20" s="70" t="n">
        <v>0.372524196590503</v>
      </c>
      <c r="W20" s="70" t="n">
        <v>0.763185969212934</v>
      </c>
      <c r="X20" s="70" t="n">
        <v>0.605420555291676</v>
      </c>
      <c r="Y20" s="70" t="n">
        <v>0.441504139703839</v>
      </c>
    </row>
    <row r="21" customFormat="false" ht="15" hidden="false" customHeight="false" outlineLevel="0" collapsed="false">
      <c r="A21" s="0" t="s">
        <v>178</v>
      </c>
      <c r="B21" s="70" t="n">
        <v>0.445596013823509</v>
      </c>
      <c r="C21" s="70" t="n">
        <v>0.264075608958079</v>
      </c>
      <c r="D21" s="70" t="n">
        <v>0.290328377218412</v>
      </c>
      <c r="E21" s="70" t="n">
        <v>0.709671622781588</v>
      </c>
      <c r="F21" s="70" t="n">
        <v>0.735924391041921</v>
      </c>
      <c r="G21" s="70" t="n">
        <v>0.554403986176491</v>
      </c>
      <c r="H21" s="70" t="n">
        <v>0.917560651761926</v>
      </c>
      <c r="I21" s="70" t="n">
        <v>0.706633263743484</v>
      </c>
      <c r="J21" s="70" t="n">
        <v>0.450484256514805</v>
      </c>
      <c r="K21" s="70" t="n">
        <v>0.237692680643583</v>
      </c>
      <c r="L21" s="70" t="n">
        <v>0.549515743485195</v>
      </c>
      <c r="M21" s="70" t="n">
        <v>0.495324138928437</v>
      </c>
      <c r="N21" s="70" t="n">
        <v>0.504675861071563</v>
      </c>
      <c r="O21" s="70" t="n">
        <v>0.467076395247121</v>
      </c>
      <c r="P21" s="70" t="n">
        <v>0.679867971118343</v>
      </c>
      <c r="Q21" s="70" t="n">
        <v>0.811682682900119</v>
      </c>
      <c r="R21" s="70" t="n">
        <v>0.468940583099901</v>
      </c>
      <c r="S21" s="70" t="n">
        <v>0.600755294881677</v>
      </c>
      <c r="T21" s="70" t="n">
        <v>0.551246714940101</v>
      </c>
      <c r="U21" s="70" t="n">
        <v>0.432894434669179</v>
      </c>
      <c r="V21" s="70" t="n">
        <v>0.324698354900453</v>
      </c>
      <c r="W21" s="70" t="n">
        <v>0.788584717766385</v>
      </c>
      <c r="X21" s="70" t="n">
        <v>0.639010460954669</v>
      </c>
      <c r="Y21" s="70" t="n">
        <v>0.477835021777736</v>
      </c>
    </row>
    <row r="22" customFormat="false" ht="15" hidden="false" customHeight="false" outlineLevel="0" collapsed="false">
      <c r="A22" s="0" t="s">
        <v>179</v>
      </c>
      <c r="B22" s="70" t="n">
        <v>0.63159117064212</v>
      </c>
      <c r="C22" s="70" t="n">
        <v>0.22640729277741</v>
      </c>
      <c r="D22" s="70" t="n">
        <v>0.14200153658047</v>
      </c>
      <c r="E22" s="70" t="n">
        <v>0.85799846341953</v>
      </c>
      <c r="F22" s="70" t="n">
        <v>0.77359270722259</v>
      </c>
      <c r="G22" s="70" t="n">
        <v>0.36840882935788</v>
      </c>
      <c r="H22" s="70" t="n">
        <v>0.912909980196951</v>
      </c>
      <c r="I22" s="70" t="n">
        <v>0.696106950933686</v>
      </c>
      <c r="J22" s="70" t="n">
        <v>0.437266039805861</v>
      </c>
      <c r="K22" s="70" t="n">
        <v>0.226887250273797</v>
      </c>
      <c r="L22" s="70" t="n">
        <v>0.56273396019414</v>
      </c>
      <c r="M22" s="70" t="n">
        <v>0.406249530445393</v>
      </c>
      <c r="N22" s="70" t="n">
        <v>0.593750469554607</v>
      </c>
      <c r="O22" s="70" t="n">
        <v>0.475643940391091</v>
      </c>
      <c r="P22" s="70" t="n">
        <v>0.686022729923154</v>
      </c>
      <c r="Q22" s="70" t="n">
        <v>0.813657526989605</v>
      </c>
      <c r="R22" s="70" t="n">
        <v>0.469219700659889</v>
      </c>
      <c r="S22" s="70" t="n">
        <v>0.59685449772634</v>
      </c>
      <c r="T22" s="70" t="n">
        <v>0.708029977519127</v>
      </c>
      <c r="U22" s="70" t="n">
        <v>0.60210910658899</v>
      </c>
      <c r="V22" s="70" t="n">
        <v>0.492747050451007</v>
      </c>
      <c r="W22" s="70" t="n">
        <v>0.830631105350843</v>
      </c>
      <c r="X22" s="70" t="n">
        <v>0.697495107400609</v>
      </c>
      <c r="Y22" s="70" t="n">
        <v>0.544382391670381</v>
      </c>
    </row>
    <row r="23" customFormat="false" ht="15" hidden="false" customHeight="false" outlineLevel="0" collapsed="false">
      <c r="A23" s="0" t="s">
        <v>180</v>
      </c>
      <c r="B23" s="70" t="n">
        <v>0.560354063671756</v>
      </c>
      <c r="C23" s="70" t="n">
        <v>0.252012206393277</v>
      </c>
      <c r="D23" s="70" t="n">
        <v>0.187633729934967</v>
      </c>
      <c r="E23" s="70" t="n">
        <v>0.812366270065033</v>
      </c>
      <c r="F23" s="70" t="n">
        <v>0.747987793606723</v>
      </c>
      <c r="G23" s="70" t="n">
        <v>0.439645936328245</v>
      </c>
      <c r="H23" s="70" t="n">
        <v>0.90441019460565</v>
      </c>
      <c r="I23" s="70" t="n">
        <v>0.675395405216618</v>
      </c>
      <c r="J23" s="70" t="n">
        <v>0.412794928246641</v>
      </c>
      <c r="K23" s="70" t="n">
        <v>0.207474345999895</v>
      </c>
      <c r="L23" s="70" t="n">
        <v>0.587205071753359</v>
      </c>
      <c r="M23" s="70" t="n">
        <v>0.424801018335001</v>
      </c>
      <c r="N23" s="70" t="n">
        <v>0.575198981664999</v>
      </c>
      <c r="O23" s="70" t="n">
        <v>0.491615266359009</v>
      </c>
      <c r="P23" s="70" t="n">
        <v>0.696935848605755</v>
      </c>
      <c r="Q23" s="70" t="n">
        <v>0.816709013712443</v>
      </c>
      <c r="R23" s="70" t="n">
        <v>0.467921059216723</v>
      </c>
      <c r="S23" s="70" t="n">
        <v>0.587694224323411</v>
      </c>
      <c r="T23" s="70" t="n">
        <v>0.607577823905545</v>
      </c>
      <c r="U23" s="70" t="n">
        <v>0.491352704001172</v>
      </c>
      <c r="V23" s="70" t="n">
        <v>0.380460039486355</v>
      </c>
      <c r="W23" s="70" t="n">
        <v>0.796016666670568</v>
      </c>
      <c r="X23" s="70" t="n">
        <v>0.649076173069496</v>
      </c>
      <c r="Y23" s="70" t="n">
        <v>0.488983441440873</v>
      </c>
    </row>
    <row r="24" customFormat="false" ht="15" hidden="false" customHeight="false" outlineLevel="0" collapsed="false">
      <c r="A24" s="0" t="s">
        <v>181</v>
      </c>
      <c r="B24" s="70" t="n">
        <v>0.55353873460418</v>
      </c>
      <c r="C24" s="70" t="n">
        <v>0.221590122629108</v>
      </c>
      <c r="D24" s="70" t="n">
        <v>0.224871142766712</v>
      </c>
      <c r="E24" s="70" t="n">
        <v>0.775128857233288</v>
      </c>
      <c r="F24" s="70" t="n">
        <v>0.778409877370892</v>
      </c>
      <c r="G24" s="70" t="n">
        <v>0.44646126539582</v>
      </c>
      <c r="H24" s="70" t="n">
        <v>0.951793011853751</v>
      </c>
      <c r="I24" s="70" t="n">
        <v>0.800682581123056</v>
      </c>
      <c r="J24" s="70" t="n">
        <v>0.57839887539768</v>
      </c>
      <c r="K24" s="70" t="n">
        <v>0.354357862305691</v>
      </c>
      <c r="L24" s="70" t="n">
        <v>0.42160112460232</v>
      </c>
      <c r="M24" s="70" t="n">
        <v>0.570580072753365</v>
      </c>
      <c r="N24" s="70" t="n">
        <v>0.429419927246635</v>
      </c>
      <c r="O24" s="70" t="n">
        <v>0.37339413645607</v>
      </c>
      <c r="P24" s="70" t="n">
        <v>0.597435149548059</v>
      </c>
      <c r="Q24" s="70" t="n">
        <v>0.765864132125228</v>
      </c>
      <c r="R24" s="70" t="n">
        <v>0.446324718817365</v>
      </c>
      <c r="S24" s="70" t="n">
        <v>0.614753701394534</v>
      </c>
      <c r="T24" s="70" t="n">
        <v>0.690135345228023</v>
      </c>
      <c r="U24" s="70" t="n">
        <v>0.581729130160595</v>
      </c>
      <c r="V24" s="70" t="n">
        <v>0.471415697932554</v>
      </c>
      <c r="W24" s="70" t="n">
        <v>0.478861238310396</v>
      </c>
      <c r="X24" s="70" t="n">
        <v>0.296081284441268</v>
      </c>
      <c r="Y24" s="70" t="n">
        <v>0.163393635009181</v>
      </c>
    </row>
    <row r="25" customFormat="false" ht="15" hidden="false" customHeight="false" outlineLevel="0" collapsed="false">
      <c r="A25" s="0" t="s">
        <v>182</v>
      </c>
      <c r="B25" s="70" t="n">
        <v>0.307972686723041</v>
      </c>
      <c r="C25" s="70" t="n">
        <v>0.278389639274704</v>
      </c>
      <c r="D25" s="70" t="n">
        <v>0.413637674002255</v>
      </c>
      <c r="E25" s="70" t="n">
        <v>0.586362325997745</v>
      </c>
      <c r="F25" s="70" t="n">
        <v>0.721610360725296</v>
      </c>
      <c r="G25" s="70" t="n">
        <v>0.692027313276959</v>
      </c>
      <c r="H25" s="70" t="n">
        <v>0.901450503264865</v>
      </c>
      <c r="I25" s="70" t="n">
        <v>0.667983930340205</v>
      </c>
      <c r="J25" s="70" t="n">
        <v>0.404400149911206</v>
      </c>
      <c r="K25" s="70" t="n">
        <v>0.200989578837582</v>
      </c>
      <c r="L25" s="70" t="n">
        <v>0.595599850088794</v>
      </c>
      <c r="M25" s="70" t="n">
        <v>0.462160628033405</v>
      </c>
      <c r="N25" s="70" t="n">
        <v>0.537839371966595</v>
      </c>
      <c r="O25" s="70" t="n">
        <v>0.497050353353659</v>
      </c>
      <c r="P25" s="70" t="n">
        <v>0.700460924427283</v>
      </c>
      <c r="Q25" s="70" t="n">
        <v>0.817506204392828</v>
      </c>
      <c r="R25" s="70" t="n">
        <v>0.466994351502623</v>
      </c>
      <c r="S25" s="70" t="n">
        <v>0.584039631468167</v>
      </c>
      <c r="T25" s="70" t="n">
        <v>0.707359590405959</v>
      </c>
      <c r="U25" s="70" t="n">
        <v>0.601340243650864</v>
      </c>
      <c r="V25" s="70" t="n">
        <v>0.491936652409474</v>
      </c>
      <c r="W25" s="70" t="n">
        <v>0.705480896352774</v>
      </c>
      <c r="X25" s="70" t="n">
        <v>0.53334655280005</v>
      </c>
      <c r="Y25" s="70" t="n">
        <v>0.367852316342533</v>
      </c>
    </row>
    <row r="26" customFormat="false" ht="15" hidden="false" customHeight="false" outlineLevel="0" collapsed="false">
      <c r="A26" s="0" t="s">
        <v>183</v>
      </c>
      <c r="B26" s="70" t="n">
        <v>0.625594703486607</v>
      </c>
      <c r="C26" s="70" t="n">
        <v>0.209473972762562</v>
      </c>
      <c r="D26" s="70" t="n">
        <v>0.164931323750832</v>
      </c>
      <c r="E26" s="70" t="n">
        <v>0.835068676249169</v>
      </c>
      <c r="F26" s="70" t="n">
        <v>0.790526027237438</v>
      </c>
      <c r="G26" s="70" t="n">
        <v>0.374405296513394</v>
      </c>
      <c r="H26" s="70" t="n">
        <v>0.943747126297701</v>
      </c>
      <c r="I26" s="70" t="n">
        <v>0.777283384890795</v>
      </c>
      <c r="J26" s="70" t="n">
        <v>0.54404249712721</v>
      </c>
      <c r="K26" s="70" t="n">
        <v>0.320785325490116</v>
      </c>
      <c r="L26" s="70" t="n">
        <v>0.45595750287279</v>
      </c>
      <c r="M26" s="70" t="n">
        <v>0.506285283107282</v>
      </c>
      <c r="N26" s="70" t="n">
        <v>0.493714716892718</v>
      </c>
      <c r="O26" s="70" t="n">
        <v>0.399704629170491</v>
      </c>
      <c r="P26" s="70" t="n">
        <v>0.622961800807585</v>
      </c>
      <c r="Q26" s="70" t="n">
        <v>0.782428921175602</v>
      </c>
      <c r="R26" s="70" t="n">
        <v>0.456498059400679</v>
      </c>
      <c r="S26" s="70" t="n">
        <v>0.615965179768697</v>
      </c>
      <c r="T26" s="70" t="n">
        <v>0.688947258329939</v>
      </c>
      <c r="U26" s="70" t="n">
        <v>0.580386450357992</v>
      </c>
      <c r="V26" s="70" t="n">
        <v>0.470021183819599</v>
      </c>
      <c r="W26" s="70" t="n">
        <v>0.699285925761855</v>
      </c>
      <c r="X26" s="70" t="n">
        <v>0.525931332375872</v>
      </c>
      <c r="Y26" s="70" t="n">
        <v>0.360594034639136</v>
      </c>
    </row>
    <row r="27" customFormat="false" ht="15" hidden="false" customHeight="false" outlineLevel="0" collapsed="false">
      <c r="A27" s="0" t="s">
        <v>184</v>
      </c>
      <c r="B27" s="70" t="n">
        <v>0.298687171929437</v>
      </c>
      <c r="C27" s="70" t="n">
        <v>0.24959390007113</v>
      </c>
      <c r="D27" s="70" t="n">
        <v>0.451718927999434</v>
      </c>
      <c r="E27" s="70" t="n">
        <v>0.548281072000567</v>
      </c>
      <c r="F27" s="70" t="n">
        <v>0.750406099928871</v>
      </c>
      <c r="G27" s="70" t="n">
        <v>0.701312828070563</v>
      </c>
      <c r="H27" s="70" t="n">
        <v>0.936173982960214</v>
      </c>
      <c r="I27" s="70" t="n">
        <v>0.755291933432767</v>
      </c>
      <c r="J27" s="70" t="n">
        <v>0.513648699095637</v>
      </c>
      <c r="K27" s="70" t="n">
        <v>0.29248958433537</v>
      </c>
      <c r="L27" s="70" t="n">
        <v>0.486351300904363</v>
      </c>
      <c r="M27" s="70" t="n">
        <v>0.545824247784222</v>
      </c>
      <c r="N27" s="70" t="n">
        <v>0.454175752215778</v>
      </c>
      <c r="O27" s="70" t="n">
        <v>0.422525283864577</v>
      </c>
      <c r="P27" s="70" t="n">
        <v>0.643684398624844</v>
      </c>
      <c r="Q27" s="70" t="n">
        <v>0.794614900463626</v>
      </c>
      <c r="R27" s="70" t="n">
        <v>0.462802349097397</v>
      </c>
      <c r="S27" s="70" t="n">
        <v>0.613732850936179</v>
      </c>
      <c r="T27" s="70" t="n">
        <v>0.632087575293576</v>
      </c>
      <c r="U27" s="70" t="n">
        <v>0.517581587648576</v>
      </c>
      <c r="V27" s="70" t="n">
        <v>0.406256472826835</v>
      </c>
      <c r="W27" s="70" t="n">
        <v>0.755816896149987</v>
      </c>
      <c r="X27" s="70" t="n">
        <v>0.595899143852299</v>
      </c>
      <c r="Y27" s="70" t="n">
        <v>0.431443716926167</v>
      </c>
    </row>
    <row r="28" customFormat="false" ht="15" hidden="false" customHeight="false" outlineLevel="0" collapsed="false">
      <c r="A28" s="0" t="s">
        <v>185</v>
      </c>
      <c r="B28" s="70" t="n">
        <v>0.717744160077261</v>
      </c>
      <c r="C28" s="70" t="n">
        <v>0.171872064016699</v>
      </c>
      <c r="D28" s="70" t="n">
        <v>0.11038377590604</v>
      </c>
      <c r="E28" s="70" t="n">
        <v>0.88961622409396</v>
      </c>
      <c r="F28" s="70" t="n">
        <v>0.828127935983301</v>
      </c>
      <c r="G28" s="70" t="n">
        <v>0.282255839922739</v>
      </c>
      <c r="H28" s="70" t="n">
        <v>0.954237582576023</v>
      </c>
      <c r="I28" s="70" t="n">
        <v>0.809140207811456</v>
      </c>
      <c r="J28" s="70" t="n">
        <v>0.590839684053257</v>
      </c>
      <c r="K28" s="70" t="n">
        <v>0.366939177927444</v>
      </c>
      <c r="L28" s="70" t="n">
        <v>0.409160315946743</v>
      </c>
      <c r="M28" s="70" t="n">
        <v>0.482117753830597</v>
      </c>
      <c r="N28" s="70" t="n">
        <v>0.517882246169403</v>
      </c>
      <c r="O28" s="70" t="n">
        <v>0.363397898522766</v>
      </c>
      <c r="P28" s="70" t="n">
        <v>0.587298404648579</v>
      </c>
      <c r="Q28" s="70" t="n">
        <v>0.758769628856944</v>
      </c>
      <c r="R28" s="70" t="n">
        <v>0.442201029884012</v>
      </c>
      <c r="S28" s="70" t="n">
        <v>0.613672254092378</v>
      </c>
      <c r="T28" s="70" t="n">
        <v>0.598363965231368</v>
      </c>
      <c r="U28" s="70" t="n">
        <v>0.481619021135337</v>
      </c>
      <c r="V28" s="70" t="n">
        <v>0.371009843876337</v>
      </c>
      <c r="W28" s="70" t="n">
        <v>0.622719434485512</v>
      </c>
      <c r="X28" s="70" t="n">
        <v>0.438928492896808</v>
      </c>
      <c r="Y28" s="70" t="n">
        <v>0.279687447825964</v>
      </c>
    </row>
    <row r="29" customFormat="false" ht="15" hidden="false" customHeight="false" outlineLevel="0" collapsed="false">
      <c r="A29" s="0" t="s">
        <v>186</v>
      </c>
      <c r="B29" s="70" t="n">
        <v>0.544433707233567</v>
      </c>
      <c r="C29" s="70" t="n">
        <v>0.257265112714017</v>
      </c>
      <c r="D29" s="70" t="n">
        <v>0.198301180052416</v>
      </c>
      <c r="E29" s="70" t="n">
        <v>0.801698819947584</v>
      </c>
      <c r="F29" s="70" t="n">
        <v>0.742734887285983</v>
      </c>
      <c r="G29" s="70" t="n">
        <v>0.455566292766433</v>
      </c>
      <c r="H29" s="70" t="n">
        <v>0.902176087661053</v>
      </c>
      <c r="I29" s="70" t="n">
        <v>0.670115788657996</v>
      </c>
      <c r="J29" s="70" t="n">
        <v>0.406698082366596</v>
      </c>
      <c r="K29" s="70" t="n">
        <v>0.202755748798767</v>
      </c>
      <c r="L29" s="70" t="n">
        <v>0.593301917633404</v>
      </c>
      <c r="M29" s="70" t="n">
        <v>0.426702263682028</v>
      </c>
      <c r="N29" s="70" t="n">
        <v>0.573297736317972</v>
      </c>
      <c r="O29" s="70" t="n">
        <v>0.495478005294457</v>
      </c>
      <c r="P29" s="70" t="n">
        <v>0.699420338862286</v>
      </c>
      <c r="Q29" s="70" t="n">
        <v>0.81721381816444</v>
      </c>
      <c r="R29" s="70" t="n">
        <v>0.467360039859229</v>
      </c>
      <c r="S29" s="70" t="n">
        <v>0.585153519161382</v>
      </c>
      <c r="T29" s="70" t="n">
        <v>0.55031627562955</v>
      </c>
      <c r="U29" s="70" t="n">
        <v>0.431949661798899</v>
      </c>
      <c r="V29" s="70" t="n">
        <v>0.323816711481545</v>
      </c>
      <c r="W29" s="70" t="n">
        <v>0.886019986648843</v>
      </c>
      <c r="X29" s="70" t="n">
        <v>0.781107073427894</v>
      </c>
      <c r="Y29" s="70" t="n">
        <v>0.647682785304919</v>
      </c>
    </row>
    <row r="30" customFormat="false" ht="15" hidden="false" customHeight="false" outlineLevel="0" collapsed="false">
      <c r="A30" s="0" t="s">
        <v>187</v>
      </c>
      <c r="B30" s="70" t="n">
        <v>0.531355529264127</v>
      </c>
      <c r="C30" s="70" t="n">
        <v>0.245965059707496</v>
      </c>
      <c r="D30" s="70" t="n">
        <v>0.222679411028377</v>
      </c>
      <c r="E30" s="70" t="n">
        <v>0.777320588971623</v>
      </c>
      <c r="F30" s="70" t="n">
        <v>0.754034940292504</v>
      </c>
      <c r="G30" s="70" t="n">
        <v>0.468644470735873</v>
      </c>
      <c r="H30" s="70" t="n">
        <v>0.924252156743924</v>
      </c>
      <c r="I30" s="70" t="n">
        <v>0.723846444372647</v>
      </c>
      <c r="J30" s="70" t="n">
        <v>0.472042864755615</v>
      </c>
      <c r="K30" s="70" t="n">
        <v>0.255800899233407</v>
      </c>
      <c r="L30" s="70" t="n">
        <v>0.527957135244385</v>
      </c>
      <c r="M30" s="70" t="n">
        <v>0.489094793156981</v>
      </c>
      <c r="N30" s="70" t="n">
        <v>0.510905206843019</v>
      </c>
      <c r="O30" s="70" t="n">
        <v>0.452209291988309</v>
      </c>
      <c r="P30" s="70" t="n">
        <v>0.668451257510517</v>
      </c>
      <c r="Q30" s="70" t="n">
        <v>0.806965764910911</v>
      </c>
      <c r="R30" s="70" t="n">
        <v>0.46804554513924</v>
      </c>
      <c r="S30" s="70" t="n">
        <v>0.606560052539634</v>
      </c>
      <c r="T30" s="70" t="n">
        <v>0.620845872856601</v>
      </c>
      <c r="U30" s="70" t="n">
        <v>0.50549016817472</v>
      </c>
      <c r="V30" s="70" t="n">
        <v>0.394304176010948</v>
      </c>
      <c r="W30" s="70" t="n">
        <v>0.807671551735069</v>
      </c>
      <c r="X30" s="70" t="n">
        <v>0.665089197218201</v>
      </c>
      <c r="Y30" s="70" t="n">
        <v>0.506975159520199</v>
      </c>
    </row>
    <row r="31" customFormat="false" ht="15" hidden="false" customHeight="false" outlineLevel="0" collapsed="false">
      <c r="A31" s="0" t="s">
        <v>189</v>
      </c>
      <c r="B31" s="70" t="n">
        <v>0.398057052040988</v>
      </c>
      <c r="C31" s="70" t="n">
        <v>0.275904826469972</v>
      </c>
      <c r="D31" s="70" t="n">
        <v>0.32603812148904</v>
      </c>
      <c r="E31" s="70" t="n">
        <v>0.67396187851096</v>
      </c>
      <c r="F31" s="70" t="n">
        <v>0.724095173530028</v>
      </c>
      <c r="G31" s="70" t="n">
        <v>0.601942947959012</v>
      </c>
      <c r="H31" s="70" t="n">
        <v>0.906363183345092</v>
      </c>
      <c r="I31" s="70" t="n">
        <v>0.679425637788126</v>
      </c>
      <c r="J31" s="70" t="n">
        <v>0.417706852250393</v>
      </c>
      <c r="K31" s="70" t="n">
        <v>0.211310290672288</v>
      </c>
      <c r="L31" s="70" t="n">
        <v>0.582293147749607</v>
      </c>
      <c r="M31" s="70" t="n">
        <v>0.474947378010008</v>
      </c>
      <c r="N31" s="70" t="n">
        <v>0.525052621989992</v>
      </c>
      <c r="O31" s="70" t="n">
        <v>0.488656331094699</v>
      </c>
      <c r="P31" s="70" t="n">
        <v>0.695052892672804</v>
      </c>
      <c r="Q31" s="70" t="n">
        <v>0.816415073797958</v>
      </c>
      <c r="R31" s="70" t="n">
        <v>0.468115347115838</v>
      </c>
      <c r="S31" s="70" t="n">
        <v>0.589477528240992</v>
      </c>
      <c r="T31" s="70" t="n">
        <v>0.586240389244487</v>
      </c>
      <c r="U31" s="70" t="n">
        <v>0.468915006678074</v>
      </c>
      <c r="V31" s="70" t="n">
        <v>0.358775506059494</v>
      </c>
      <c r="W31" s="70" t="n">
        <v>0.846499900949187</v>
      </c>
      <c r="X31" s="70" t="n">
        <v>0.720611656983674</v>
      </c>
      <c r="Y31" s="70" t="n">
        <v>0.571921533403419</v>
      </c>
    </row>
    <row r="32" customFormat="false" ht="15" hidden="false" customHeight="false" outlineLevel="0" collapsed="false">
      <c r="A32" s="0" t="s">
        <v>190</v>
      </c>
      <c r="B32" s="70" t="n">
        <v>0.499352864426719</v>
      </c>
      <c r="C32" s="70" t="n">
        <v>0.25012926221857</v>
      </c>
      <c r="D32" s="70" t="n">
        <v>0.250517873354711</v>
      </c>
      <c r="E32" s="70" t="n">
        <v>0.749482126645289</v>
      </c>
      <c r="F32" s="70" t="n">
        <v>0.74987073778143</v>
      </c>
      <c r="G32" s="70" t="n">
        <v>0.500647135573281</v>
      </c>
      <c r="H32" s="70" t="n">
        <v>0.926813814100854</v>
      </c>
      <c r="I32" s="70" t="n">
        <v>0.730357763392843</v>
      </c>
      <c r="J32" s="70" t="n">
        <v>0.480472970183316</v>
      </c>
      <c r="K32" s="70" t="n">
        <v>0.263047783860416</v>
      </c>
      <c r="L32" s="70" t="n">
        <v>0.519527029816684</v>
      </c>
      <c r="M32" s="70" t="n">
        <v>0.507105364735342</v>
      </c>
      <c r="N32" s="70" t="n">
        <v>0.492894635264658</v>
      </c>
      <c r="O32" s="70" t="n">
        <v>0.446340843917538</v>
      </c>
      <c r="P32" s="70" t="n">
        <v>0.663766030240438</v>
      </c>
      <c r="Q32" s="70" t="n">
        <v>0.804854995294494</v>
      </c>
      <c r="R32" s="70" t="n">
        <v>0.467309979532427</v>
      </c>
      <c r="S32" s="70" t="n">
        <v>0.608398944586483</v>
      </c>
      <c r="T32" s="70" t="n">
        <v>0.702847897584149</v>
      </c>
      <c r="U32" s="70" t="n">
        <v>0.59617676623411</v>
      </c>
      <c r="V32" s="70" t="n">
        <v>0.4865057536339</v>
      </c>
      <c r="W32" s="70" t="n">
        <v>0.659072817656237</v>
      </c>
      <c r="X32" s="70" t="n">
        <v>0.479197760119734</v>
      </c>
      <c r="Y32" s="70" t="n">
        <v>0.3161711241467</v>
      </c>
    </row>
    <row r="33" customFormat="false" ht="15" hidden="false" customHeight="false" outlineLevel="0" collapsed="false">
      <c r="A33" s="0" t="s">
        <v>191</v>
      </c>
      <c r="B33" s="70" t="n">
        <v>0.377280149274393</v>
      </c>
      <c r="C33" s="70" t="n">
        <v>0.255309996658155</v>
      </c>
      <c r="D33" s="70" t="n">
        <v>0.367409854067452</v>
      </c>
      <c r="E33" s="70" t="n">
        <v>0.632590145932548</v>
      </c>
      <c r="F33" s="70" t="n">
        <v>0.744690003341845</v>
      </c>
      <c r="G33" s="70" t="n">
        <v>0.622719850725608</v>
      </c>
      <c r="H33" s="70" t="n">
        <v>0.934203672283015</v>
      </c>
      <c r="I33" s="70" t="n">
        <v>0.749821338309787</v>
      </c>
      <c r="J33" s="70" t="n">
        <v>0.50626798943668</v>
      </c>
      <c r="K33" s="70" t="n">
        <v>0.285810957498142</v>
      </c>
      <c r="L33" s="70" t="n">
        <v>0.49373201056332</v>
      </c>
      <c r="M33" s="70" t="n">
        <v>0.547172390182232</v>
      </c>
      <c r="N33" s="70" t="n">
        <v>0.452827609817768</v>
      </c>
      <c r="O33" s="70" t="n">
        <v>0.427935682846335</v>
      </c>
      <c r="P33" s="70" t="n">
        <v>0.648392714784873</v>
      </c>
      <c r="Q33" s="70" t="n">
        <v>0.797177066122731</v>
      </c>
      <c r="R33" s="70" t="n">
        <v>0.464010380811646</v>
      </c>
      <c r="S33" s="70" t="n">
        <v>0.612794732149504</v>
      </c>
      <c r="T33" s="70" t="n">
        <v>0.791170150239703</v>
      </c>
      <c r="U33" s="70" t="n">
        <v>0.700952179918372</v>
      </c>
      <c r="V33" s="70" t="n">
        <v>0.600790364524449</v>
      </c>
      <c r="W33" s="70" t="n">
        <v>0.619907145751698</v>
      </c>
      <c r="X33" s="70" t="n">
        <v>0.435887954705864</v>
      </c>
      <c r="Y33" s="70" t="n">
        <v>0.276999232422584</v>
      </c>
    </row>
    <row r="34" customFormat="false" ht="15" hidden="false" customHeight="false" outlineLevel="0" collapsed="false">
      <c r="A34" s="0" t="s">
        <v>192</v>
      </c>
      <c r="B34" s="70" t="n">
        <v>0.543637274095709</v>
      </c>
      <c r="C34" s="70" t="n">
        <v>0.242975950374775</v>
      </c>
      <c r="D34" s="70" t="n">
        <v>0.213386775529516</v>
      </c>
      <c r="E34" s="70" t="n">
        <v>0.786613224470484</v>
      </c>
      <c r="F34" s="70" t="n">
        <v>0.757024049625225</v>
      </c>
      <c r="G34" s="70" t="n">
        <v>0.456362725904291</v>
      </c>
      <c r="H34" s="70" t="n">
        <v>0.92483718456084</v>
      </c>
      <c r="I34" s="70" t="n">
        <v>0.725409109098347</v>
      </c>
      <c r="J34" s="70" t="n">
        <v>0.474025729061622</v>
      </c>
      <c r="K34" s="70" t="n">
        <v>0.257496936535539</v>
      </c>
      <c r="L34" s="70" t="n">
        <v>0.525974270938378</v>
      </c>
      <c r="M34" s="70" t="n">
        <v>0.485956331360988</v>
      </c>
      <c r="N34" s="70" t="n">
        <v>0.514043668639012</v>
      </c>
      <c r="O34" s="70" t="n">
        <v>0.450811455499217</v>
      </c>
      <c r="P34" s="70" t="n">
        <v>0.667340248025301</v>
      </c>
      <c r="Q34" s="70" t="n">
        <v>0.806462810671217</v>
      </c>
      <c r="R34" s="70" t="n">
        <v>0.467912172562808</v>
      </c>
      <c r="S34" s="70" t="n">
        <v>0.607034735208725</v>
      </c>
      <c r="T34" s="70" t="n">
        <v>0.589798261901098</v>
      </c>
      <c r="U34" s="70" t="n">
        <v>0.47263109273656</v>
      </c>
      <c r="V34" s="70" t="n">
        <v>0.362342542661634</v>
      </c>
      <c r="W34" s="70" t="n">
        <v>0.65574252007214</v>
      </c>
      <c r="X34" s="70" t="n">
        <v>0.475432650969923</v>
      </c>
      <c r="Y34" s="70" t="n">
        <v>0.312690193746411</v>
      </c>
    </row>
    <row r="35" customFormat="false" ht="15" hidden="false" customHeight="false" outlineLevel="0" collapsed="false">
      <c r="A35" s="0" t="s">
        <v>193</v>
      </c>
      <c r="B35" s="70" t="n">
        <v>0.263879551007815</v>
      </c>
      <c r="C35" s="70" t="n">
        <v>0.254317073785885</v>
      </c>
      <c r="D35" s="70" t="n">
        <v>0.4818033752063</v>
      </c>
      <c r="E35" s="70" t="n">
        <v>0.5181966247937</v>
      </c>
      <c r="F35" s="70" t="n">
        <v>0.745682926214115</v>
      </c>
      <c r="G35" s="70" t="n">
        <v>0.736120448992185</v>
      </c>
      <c r="H35" s="70" t="n">
        <v>0.924777921003437</v>
      </c>
      <c r="I35" s="70" t="n">
        <v>0.725018007932475</v>
      </c>
      <c r="J35" s="70" t="n">
        <v>0.473609417185516</v>
      </c>
      <c r="K35" s="70" t="n">
        <v>0.257140605709049</v>
      </c>
      <c r="L35" s="70" t="n">
        <v>0.526390582814484</v>
      </c>
      <c r="M35" s="70" t="n">
        <v>0.506317715794563</v>
      </c>
      <c r="N35" s="70" t="n">
        <v>0.493682284205438</v>
      </c>
      <c r="O35" s="70" t="n">
        <v>0.451168503817921</v>
      </c>
      <c r="P35" s="70" t="n">
        <v>0.667637315294388</v>
      </c>
      <c r="Q35" s="70" t="n">
        <v>0.806632140245642</v>
      </c>
      <c r="R35" s="70" t="n">
        <v>0.467877402223426</v>
      </c>
      <c r="S35" s="70" t="n">
        <v>0.606872227174681</v>
      </c>
      <c r="T35" s="70" t="n">
        <v>0.572248129132193</v>
      </c>
      <c r="U35" s="70" t="n">
        <v>0.454397444935641</v>
      </c>
      <c r="V35" s="70" t="n">
        <v>0.344932521213096</v>
      </c>
      <c r="W35" s="70" t="n">
        <v>0.620319810481526</v>
      </c>
      <c r="X35" s="70" t="n">
        <v>0.436333454394016</v>
      </c>
      <c r="Y35" s="70" t="n">
        <v>0.277392528921964</v>
      </c>
    </row>
    <row r="36" customFormat="false" ht="15" hidden="false" customHeight="false" outlineLevel="0" collapsed="false">
      <c r="A36" s="0" t="s">
        <v>194</v>
      </c>
      <c r="B36" s="70" t="n">
        <v>0.38584176131359</v>
      </c>
      <c r="C36" s="70" t="n">
        <v>0.251757542803976</v>
      </c>
      <c r="D36" s="70" t="n">
        <v>0.362400695882433</v>
      </c>
      <c r="E36" s="70" t="n">
        <v>0.637599304117567</v>
      </c>
      <c r="F36" s="70" t="n">
        <v>0.748242457196024</v>
      </c>
      <c r="G36" s="70" t="n">
        <v>0.61415823868641</v>
      </c>
      <c r="H36" s="70" t="n">
        <v>0.938398766514522</v>
      </c>
      <c r="I36" s="70" t="n">
        <v>0.761374671836539</v>
      </c>
      <c r="J36" s="70" t="n">
        <v>0.52201402041122</v>
      </c>
      <c r="K36" s="70" t="n">
        <v>0.300149688489272</v>
      </c>
      <c r="L36" s="70" t="n">
        <v>0.47798597958878</v>
      </c>
      <c r="M36" s="70" t="n">
        <v>0.559380753123951</v>
      </c>
      <c r="N36" s="70" t="n">
        <v>0.440619246876049</v>
      </c>
      <c r="O36" s="70" t="n">
        <v>0.416384746103302</v>
      </c>
      <c r="P36" s="70" t="n">
        <v>0.63824907802525</v>
      </c>
      <c r="Q36" s="70" t="n">
        <v>0.791578815920128</v>
      </c>
      <c r="R36" s="70" t="n">
        <v>0.461224983347267</v>
      </c>
      <c r="S36" s="70" t="n">
        <v>0.614554721242146</v>
      </c>
      <c r="T36" s="70" t="n">
        <v>0.551619638075937</v>
      </c>
      <c r="U36" s="70" t="n">
        <v>0.433273289691958</v>
      </c>
      <c r="V36" s="70" t="n">
        <v>0.325052069470745</v>
      </c>
      <c r="W36" s="70" t="n">
        <v>0.763456930765264</v>
      </c>
      <c r="X36" s="70" t="n">
        <v>0.605772529495936</v>
      </c>
      <c r="Y36" s="70" t="n">
        <v>0.441878023479283</v>
      </c>
    </row>
    <row r="37" customFormat="false" ht="15" hidden="false" customHeight="false" outlineLevel="0" collapsed="false">
      <c r="A37" s="0" t="s">
        <v>195</v>
      </c>
      <c r="B37" s="70" t="n">
        <v>0.637996516603916</v>
      </c>
      <c r="C37" s="70" t="n">
        <v>0.210521677170073</v>
      </c>
      <c r="D37" s="70" t="n">
        <v>0.151481806226011</v>
      </c>
      <c r="E37" s="70" t="n">
        <v>0.848518193773989</v>
      </c>
      <c r="F37" s="70" t="n">
        <v>0.789478322829928</v>
      </c>
      <c r="G37" s="70" t="n">
        <v>0.362003483396084</v>
      </c>
      <c r="H37" s="70" t="n">
        <v>0.936293225435012</v>
      </c>
      <c r="I37" s="70" t="n">
        <v>0.756432398457621</v>
      </c>
      <c r="J37" s="70" t="n">
        <v>0.514907700207952</v>
      </c>
      <c r="K37" s="70" t="n">
        <v>0.293634926280417</v>
      </c>
      <c r="L37" s="70" t="n">
        <v>0.485092299792048</v>
      </c>
      <c r="M37" s="70" t="n">
        <v>0.472621115082822</v>
      </c>
      <c r="N37" s="70" t="n">
        <v>0.527378884917178</v>
      </c>
      <c r="O37" s="70" t="n">
        <v>0.42138552522706</v>
      </c>
      <c r="P37" s="70" t="n">
        <v>0.642658299154594</v>
      </c>
      <c r="Q37" s="70" t="n">
        <v>0.793953684375213</v>
      </c>
      <c r="R37" s="70" t="n">
        <v>0.462797472177204</v>
      </c>
      <c r="S37" s="70" t="n">
        <v>0.614092857397823</v>
      </c>
      <c r="T37" s="70" t="n">
        <v>0.804329386064761</v>
      </c>
      <c r="U37" s="70" t="n">
        <v>0.717287277264072</v>
      </c>
      <c r="V37" s="70" t="n">
        <v>0.619426021363549</v>
      </c>
      <c r="W37" s="70" t="n">
        <v>0.652750392261264</v>
      </c>
      <c r="X37" s="70" t="n">
        <v>0.472063180920421</v>
      </c>
      <c r="Y37" s="70" t="n">
        <v>0.309587305188332</v>
      </c>
    </row>
    <row r="38" customFormat="false" ht="15" hidden="false" customHeight="false" outlineLevel="0" collapsed="false">
      <c r="A38" s="0" t="s">
        <v>197</v>
      </c>
      <c r="B38" s="70" t="n">
        <v>0.629029529027885</v>
      </c>
      <c r="C38" s="70" t="n">
        <v>0.212404248719823</v>
      </c>
      <c r="D38" s="70" t="n">
        <v>0.158566222252292</v>
      </c>
      <c r="E38" s="70" t="n">
        <v>0.841433777747708</v>
      </c>
      <c r="F38" s="70" t="n">
        <v>0.787595751280177</v>
      </c>
      <c r="G38" s="70" t="n">
        <v>0.370970470972115</v>
      </c>
      <c r="H38" s="70" t="n">
        <v>0.937669989829449</v>
      </c>
      <c r="I38" s="70" t="n">
        <v>0.760167634125815</v>
      </c>
      <c r="J38" s="70" t="n">
        <v>0.520051900177917</v>
      </c>
      <c r="K38" s="70" t="n">
        <v>0.298342989016414</v>
      </c>
      <c r="L38" s="70" t="n">
        <v>0.479948099822083</v>
      </c>
      <c r="M38" s="70" t="n">
        <v>0.482877171661068</v>
      </c>
      <c r="N38" s="70" t="n">
        <v>0.517122828338932</v>
      </c>
      <c r="O38" s="70" t="n">
        <v>0.417618089651532</v>
      </c>
      <c r="P38" s="70" t="n">
        <v>0.639327000813035</v>
      </c>
      <c r="Q38" s="70" t="n">
        <v>0.792098713961968</v>
      </c>
      <c r="R38" s="70" t="n">
        <v>0.461824645109401</v>
      </c>
      <c r="S38" s="70" t="n">
        <v>0.614596358258334</v>
      </c>
      <c r="T38" s="70" t="n">
        <v>0.637281556610685</v>
      </c>
      <c r="U38" s="70" t="n">
        <v>0.523203620984802</v>
      </c>
      <c r="V38" s="70" t="n">
        <v>0.411849065726888</v>
      </c>
      <c r="W38" s="70" t="n">
        <v>0.719073765710047</v>
      </c>
      <c r="X38" s="70" t="n">
        <v>0.549827799124935</v>
      </c>
      <c r="Y38" s="70" t="n">
        <v>0.384194233012067</v>
      </c>
    </row>
    <row r="39" customFormat="false" ht="15" hidden="false" customHeight="false" outlineLevel="0" collapsed="false">
      <c r="A39" s="0" t="s">
        <v>198</v>
      </c>
      <c r="B39" s="70" t="n">
        <v>0.424688896181804</v>
      </c>
      <c r="C39" s="70" t="n">
        <v>0.267687943243933</v>
      </c>
      <c r="D39" s="70" t="n">
        <v>0.307623160574263</v>
      </c>
      <c r="E39" s="70" t="n">
        <v>0.692376839425737</v>
      </c>
      <c r="F39" s="70" t="n">
        <v>0.732312056756067</v>
      </c>
      <c r="G39" s="70" t="n">
        <v>0.575311103818196</v>
      </c>
      <c r="H39" s="70" t="n">
        <v>0.915291856063116</v>
      </c>
      <c r="I39" s="70" t="n">
        <v>0.700977161947578</v>
      </c>
      <c r="J39" s="70" t="n">
        <v>0.443538154956882</v>
      </c>
      <c r="K39" s="70" t="n">
        <v>0.231986807365407</v>
      </c>
      <c r="L39" s="70" t="n">
        <v>0.556461845043118</v>
      </c>
      <c r="M39" s="70" t="n">
        <v>0.493083394256738</v>
      </c>
      <c r="N39" s="70" t="n">
        <v>0.506916605743262</v>
      </c>
      <c r="O39" s="70" t="n">
        <v>0.471753701106234</v>
      </c>
      <c r="P39" s="70" t="n">
        <v>0.683305048697709</v>
      </c>
      <c r="Q39" s="70" t="n">
        <v>0.81292921818265</v>
      </c>
      <c r="R39" s="70" t="n">
        <v>0.468990354582171</v>
      </c>
      <c r="S39" s="70" t="n">
        <v>0.598614524067112</v>
      </c>
      <c r="T39" s="70" t="n">
        <v>0.562673686241946</v>
      </c>
      <c r="U39" s="70" t="n">
        <v>0.444551898131073</v>
      </c>
      <c r="V39" s="70" t="n">
        <v>0.335627995335365</v>
      </c>
      <c r="W39" s="70" t="n">
        <v>0.774062607152098</v>
      </c>
      <c r="X39" s="70" t="n">
        <v>0.619655372519844</v>
      </c>
      <c r="Y39" s="70" t="n">
        <v>0.456739064364482</v>
      </c>
    </row>
    <row r="40" customFormat="false" ht="15" hidden="false" customHeight="false" outlineLevel="0" collapsed="false">
      <c r="A40" s="0" t="s">
        <v>199</v>
      </c>
      <c r="B40" s="70" t="n">
        <v>0.48396440421835</v>
      </c>
      <c r="C40" s="70" t="n">
        <v>0.259502081945547</v>
      </c>
      <c r="D40" s="70" t="n">
        <v>0.256533513836103</v>
      </c>
      <c r="E40" s="70" t="n">
        <v>0.743466486163897</v>
      </c>
      <c r="F40" s="70" t="n">
        <v>0.740497918054453</v>
      </c>
      <c r="G40" s="70" t="n">
        <v>0.51603559578165</v>
      </c>
      <c r="H40" s="70" t="n">
        <v>0.916904779216458</v>
      </c>
      <c r="I40" s="70" t="n">
        <v>0.705110382497029</v>
      </c>
      <c r="J40" s="70" t="n">
        <v>0.448564804931194</v>
      </c>
      <c r="K40" s="70" t="n">
        <v>0.236109659233399</v>
      </c>
      <c r="L40" s="70" t="n">
        <v>0.551435195068806</v>
      </c>
      <c r="M40" s="70" t="n">
        <v>0.484739135333548</v>
      </c>
      <c r="N40" s="70" t="n">
        <v>0.515260864666452</v>
      </c>
      <c r="O40" s="70" t="n">
        <v>0.468339974285264</v>
      </c>
      <c r="P40" s="70" t="n">
        <v>0.68079511998306</v>
      </c>
      <c r="Q40" s="70" t="n">
        <v>0.812006019704946</v>
      </c>
      <c r="R40" s="70" t="n">
        <v>0.46900072326363</v>
      </c>
      <c r="S40" s="70" t="n">
        <v>0.600211622985516</v>
      </c>
      <c r="T40" s="70" t="n">
        <v>0.735543469303346</v>
      </c>
      <c r="U40" s="70" t="n">
        <v>0.634035755919083</v>
      </c>
      <c r="V40" s="70" t="n">
        <v>0.526796196198277</v>
      </c>
      <c r="W40" s="70" t="n">
        <v>0.667793317568487</v>
      </c>
      <c r="X40" s="70" t="n">
        <v>0.489131496237984</v>
      </c>
      <c r="Y40" s="70" t="n">
        <v>0.325424725688286</v>
      </c>
    </row>
    <row r="41" customFormat="false" ht="15" hidden="false" customHeight="false" outlineLevel="0" collapsed="false">
      <c r="A41" s="0" t="s">
        <v>200</v>
      </c>
      <c r="B41" s="70" t="n">
        <v>0.661764499713578</v>
      </c>
      <c r="C41" s="70" t="n">
        <v>0.205916025561594</v>
      </c>
      <c r="D41" s="70" t="n">
        <v>0.132319474724828</v>
      </c>
      <c r="E41" s="70" t="n">
        <v>0.867680525275172</v>
      </c>
      <c r="F41" s="70" t="n">
        <v>0.794083974438406</v>
      </c>
      <c r="G41" s="70" t="n">
        <v>0.338235500286423</v>
      </c>
      <c r="H41" s="70" t="n">
        <v>0.931016382764407</v>
      </c>
      <c r="I41" s="70" t="n">
        <v>0.742341381195933</v>
      </c>
      <c r="J41" s="70" t="n">
        <v>0.495865253059697</v>
      </c>
      <c r="K41" s="70" t="n">
        <v>0.276521780529985</v>
      </c>
      <c r="L41" s="70" t="n">
        <v>0.504134746940303</v>
      </c>
      <c r="M41" s="70" t="n">
        <v>0.438918074144141</v>
      </c>
      <c r="N41" s="70" t="n">
        <v>0.56108192585586</v>
      </c>
      <c r="O41" s="70" t="n">
        <v>0.43515112970471</v>
      </c>
      <c r="P41" s="70" t="n">
        <v>0.654494602234422</v>
      </c>
      <c r="Q41" s="70" t="n">
        <v>0.800212174923728</v>
      </c>
      <c r="R41" s="70" t="n">
        <v>0.465819600665948</v>
      </c>
      <c r="S41" s="70" t="n">
        <v>0.611537173355255</v>
      </c>
      <c r="T41" s="70" t="n">
        <v>0.796278506448761</v>
      </c>
      <c r="U41" s="70" t="n">
        <v>0.707268991876525</v>
      </c>
      <c r="V41" s="70" t="n">
        <v>0.607968997487204</v>
      </c>
      <c r="W41" s="70" t="n">
        <v>0.777059921322182</v>
      </c>
      <c r="X41" s="70" t="n">
        <v>0.623616982456893</v>
      </c>
      <c r="Y41" s="70" t="n">
        <v>0.461020943857281</v>
      </c>
    </row>
    <row r="42" customFormat="false" ht="15" hidden="false" customHeight="false" outlineLevel="0" collapsed="false">
      <c r="A42" s="0" t="s">
        <v>201</v>
      </c>
      <c r="B42" s="70" t="n">
        <v>0.452673038785135</v>
      </c>
      <c r="C42" s="70" t="n">
        <v>0.250690833200746</v>
      </c>
      <c r="D42" s="70" t="n">
        <v>0.296636128014119</v>
      </c>
      <c r="E42" s="70" t="n">
        <v>0.703363871985881</v>
      </c>
      <c r="F42" s="70" t="n">
        <v>0.749309166799254</v>
      </c>
      <c r="G42" s="70" t="n">
        <v>0.547326961214865</v>
      </c>
      <c r="H42" s="70" t="n">
        <v>0.934627444824243</v>
      </c>
      <c r="I42" s="70" t="n">
        <v>0.751059887868693</v>
      </c>
      <c r="J42" s="70" t="n">
        <v>0.507907788698148</v>
      </c>
      <c r="K42" s="70" t="n">
        <v>0.28728828781618</v>
      </c>
      <c r="L42" s="70" t="n">
        <v>0.492092211301852</v>
      </c>
      <c r="M42" s="70" t="n">
        <v>0.541001846704999</v>
      </c>
      <c r="N42" s="70" t="n">
        <v>0.458998153295001</v>
      </c>
      <c r="O42" s="70" t="n">
        <v>0.426719656126095</v>
      </c>
      <c r="P42" s="70" t="n">
        <v>0.647339157008063</v>
      </c>
      <c r="Q42" s="70" t="n">
        <v>0.796602678188079</v>
      </c>
      <c r="R42" s="70" t="n">
        <v>0.463771600052513</v>
      </c>
      <c r="S42" s="70" t="n">
        <v>0.613035121232528</v>
      </c>
      <c r="T42" s="70" t="n">
        <v>0.655627655310908</v>
      </c>
      <c r="U42" s="70" t="n">
        <v>0.543243807242099</v>
      </c>
      <c r="V42" s="70" t="n">
        <v>0.431967459986392</v>
      </c>
      <c r="W42" s="70" t="n">
        <v>0.789576108105722</v>
      </c>
      <c r="X42" s="70" t="n">
        <v>0.640346791083229</v>
      </c>
      <c r="Y42" s="70" t="n">
        <v>0.479308031214384</v>
      </c>
    </row>
    <row r="43" customFormat="false" ht="15" hidden="false" customHeight="false" outlineLevel="0" collapsed="false">
      <c r="A43" s="0" t="s">
        <v>202</v>
      </c>
      <c r="B43" s="70" t="n">
        <v>0.412156902484691</v>
      </c>
      <c r="C43" s="70" t="n">
        <v>0.267311110721739</v>
      </c>
      <c r="D43" s="70" t="n">
        <v>0.32053198679357</v>
      </c>
      <c r="E43" s="70" t="n">
        <v>0.67946801320643</v>
      </c>
      <c r="F43" s="70" t="n">
        <v>0.732688889278261</v>
      </c>
      <c r="G43" s="70" t="n">
        <v>0.587843097515309</v>
      </c>
      <c r="H43" s="70" t="n">
        <v>0.917067997075215</v>
      </c>
      <c r="I43" s="70" t="n">
        <v>0.705348541338864</v>
      </c>
      <c r="J43" s="70" t="n">
        <v>0.448917905296588</v>
      </c>
      <c r="K43" s="70" t="n">
        <v>0.236400585897143</v>
      </c>
      <c r="L43" s="70" t="n">
        <v>0.551082094703412</v>
      </c>
      <c r="M43" s="70" t="n">
        <v>0.499099930854435</v>
      </c>
      <c r="N43" s="70" t="n">
        <v>0.500900069145565</v>
      </c>
      <c r="O43" s="70" t="n">
        <v>0.468150091778627</v>
      </c>
      <c r="P43" s="70" t="n">
        <v>0.680667411178072</v>
      </c>
      <c r="Q43" s="70" t="n">
        <v>0.811989400170914</v>
      </c>
      <c r="R43" s="70" t="n">
        <v>0.468947955441722</v>
      </c>
      <c r="S43" s="70" t="n">
        <v>0.600269944434563</v>
      </c>
      <c r="T43" s="70" t="n">
        <v>0.538092122068083</v>
      </c>
      <c r="U43" s="70" t="n">
        <v>0.419598851299289</v>
      </c>
      <c r="V43" s="70" t="n">
        <v>0.312348349278162</v>
      </c>
      <c r="W43" s="70" t="n">
        <v>0.766757491861109</v>
      </c>
      <c r="X43" s="70" t="n">
        <v>0.610070673910898</v>
      </c>
      <c r="Y43" s="70" t="n">
        <v>0.446455199616289</v>
      </c>
    </row>
    <row r="44" customFormat="false" ht="15" hidden="false" customHeight="false" outlineLevel="0" collapsed="false">
      <c r="A44" s="0" t="s">
        <v>203</v>
      </c>
      <c r="B44" s="70" t="n">
        <v>0.34677540710245</v>
      </c>
      <c r="C44" s="70" t="n">
        <v>0.279811780739644</v>
      </c>
      <c r="D44" s="70" t="n">
        <v>0.373412812157906</v>
      </c>
      <c r="E44" s="70" t="n">
        <v>0.626587187842094</v>
      </c>
      <c r="F44" s="70" t="n">
        <v>0.720188219260356</v>
      </c>
      <c r="G44" s="70" t="n">
        <v>0.65322459289755</v>
      </c>
      <c r="H44" s="70" t="n">
        <v>0.902168187947051</v>
      </c>
      <c r="I44" s="70" t="n">
        <v>0.66960131787858</v>
      </c>
      <c r="J44" s="70" t="n">
        <v>0.406277261539216</v>
      </c>
      <c r="K44" s="70" t="n">
        <v>0.202431959005575</v>
      </c>
      <c r="L44" s="70" t="n">
        <v>0.593722738460784</v>
      </c>
      <c r="M44" s="70" t="n">
        <v>0.467089364929079</v>
      </c>
      <c r="N44" s="70" t="n">
        <v>0.532910635070921</v>
      </c>
      <c r="O44" s="70" t="n">
        <v>0.495890926407836</v>
      </c>
      <c r="P44" s="70" t="n">
        <v>0.699736228941476</v>
      </c>
      <c r="Q44" s="70" t="n">
        <v>0.817392633118308</v>
      </c>
      <c r="R44" s="70" t="n">
        <v>0.467169358873004</v>
      </c>
      <c r="S44" s="70" t="n">
        <v>0.584825763049836</v>
      </c>
      <c r="T44" s="70" t="n">
        <v>0.570863093635036</v>
      </c>
      <c r="U44" s="70" t="n">
        <v>0.45296877006628</v>
      </c>
      <c r="V44" s="70" t="n">
        <v>0.343578167439789</v>
      </c>
      <c r="W44" s="70" t="n">
        <v>0.771417906298909</v>
      </c>
      <c r="X44" s="70" t="n">
        <v>0.616173890785652</v>
      </c>
      <c r="Y44" s="70" t="n">
        <v>0.452991278094458</v>
      </c>
    </row>
    <row r="45" customFormat="false" ht="15" hidden="false" customHeight="false" outlineLevel="0" collapsed="false">
      <c r="A45" s="0" t="s">
        <v>204</v>
      </c>
      <c r="B45" s="70" t="n">
        <v>0.437855750545641</v>
      </c>
      <c r="C45" s="70" t="n">
        <v>0.278339610453099</v>
      </c>
      <c r="D45" s="70" t="n">
        <v>0.28380463900126</v>
      </c>
      <c r="E45" s="70" t="n">
        <v>0.71619536099874</v>
      </c>
      <c r="F45" s="70" t="n">
        <v>0.721660389546901</v>
      </c>
      <c r="G45" s="70" t="n">
        <v>0.562144249454359</v>
      </c>
      <c r="H45" s="70" t="n">
        <v>0.898261634453548</v>
      </c>
      <c r="I45" s="70" t="n">
        <v>0.660726605636234</v>
      </c>
      <c r="J45" s="70" t="n">
        <v>0.396093893217481</v>
      </c>
      <c r="K45" s="70" t="n">
        <v>0.194660170412682</v>
      </c>
      <c r="L45" s="70" t="n">
        <v>0.603906106782519</v>
      </c>
      <c r="M45" s="70" t="n">
        <v>0.451207343807505</v>
      </c>
      <c r="N45" s="70" t="n">
        <v>0.548792656192495</v>
      </c>
      <c r="O45" s="70" t="n">
        <v>0.502167741236067</v>
      </c>
      <c r="P45" s="70" t="n">
        <v>0.703601464040866</v>
      </c>
      <c r="Q45" s="70" t="n">
        <v>0.817934677836534</v>
      </c>
      <c r="R45" s="70" t="n">
        <v>0.466066435223552</v>
      </c>
      <c r="S45" s="70" t="n">
        <v>0.58039964901922</v>
      </c>
      <c r="T45" s="70" t="n">
        <v>0.645920099041261</v>
      </c>
      <c r="U45" s="70" t="n">
        <v>0.532604263463737</v>
      </c>
      <c r="V45" s="70" t="n">
        <v>0.421250679339422</v>
      </c>
      <c r="W45" s="70" t="n">
        <v>0.793664838521324</v>
      </c>
      <c r="X45" s="70" t="n">
        <v>0.645878872624784</v>
      </c>
      <c r="Y45" s="70" t="n">
        <v>0.485428893533599</v>
      </c>
    </row>
    <row r="46" customFormat="false" ht="15" hidden="false" customHeight="false" outlineLevel="0" collapsed="false">
      <c r="A46" s="0" t="s">
        <v>205</v>
      </c>
      <c r="B46" s="70" t="n">
        <v>0.451622690447422</v>
      </c>
      <c r="C46" s="70" t="n">
        <v>0.266599119882747</v>
      </c>
      <c r="D46" s="70" t="n">
        <v>0.281778189669831</v>
      </c>
      <c r="E46" s="70" t="n">
        <v>0.718221810330169</v>
      </c>
      <c r="F46" s="70" t="n">
        <v>0.733400880117253</v>
      </c>
      <c r="G46" s="70" t="n">
        <v>0.548377309552578</v>
      </c>
      <c r="H46" s="70" t="n">
        <v>0.913037353022611</v>
      </c>
      <c r="I46" s="70" t="n">
        <v>0.695516238325388</v>
      </c>
      <c r="J46" s="70" t="n">
        <v>0.436868529260041</v>
      </c>
      <c r="K46" s="70" t="n">
        <v>0.226566457291418</v>
      </c>
      <c r="L46" s="70" t="n">
        <v>0.563131470739959</v>
      </c>
      <c r="M46" s="70" t="n">
        <v>0.482801438085528</v>
      </c>
      <c r="N46" s="70" t="n">
        <v>0.517198561914472</v>
      </c>
      <c r="O46" s="70" t="n">
        <v>0.47616882376257</v>
      </c>
      <c r="P46" s="70" t="n">
        <v>0.686470895731193</v>
      </c>
      <c r="Q46" s="70" t="n">
        <v>0.813978564329431</v>
      </c>
      <c r="R46" s="70" t="n">
        <v>0.46894978103397</v>
      </c>
      <c r="S46" s="70" t="n">
        <v>0.596457449632208</v>
      </c>
      <c r="T46" s="70" t="n">
        <v>0.659842265850621</v>
      </c>
      <c r="U46" s="70" t="n">
        <v>0.547888214141564</v>
      </c>
      <c r="V46" s="70" t="n">
        <v>0.43667105199274</v>
      </c>
      <c r="W46" s="70" t="n">
        <v>0.772564910786759</v>
      </c>
      <c r="X46" s="70" t="n">
        <v>0.617682194335101</v>
      </c>
      <c r="Y46" s="70" t="n">
        <v>0.45461321927298</v>
      </c>
    </row>
    <row r="47" customFormat="false" ht="15" hidden="false" customHeight="false" outlineLevel="0" collapsed="false">
      <c r="A47" s="0" t="s">
        <v>206</v>
      </c>
      <c r="B47" s="70" t="n">
        <v>0.652621885693369</v>
      </c>
      <c r="C47" s="70" t="n">
        <v>0.200522086107634</v>
      </c>
      <c r="D47" s="70" t="n">
        <v>0.146856028198997</v>
      </c>
      <c r="E47" s="70" t="n">
        <v>0.853143971801003</v>
      </c>
      <c r="F47" s="70" t="n">
        <v>0.799477913892366</v>
      </c>
      <c r="G47" s="70" t="n">
        <v>0.347378114306631</v>
      </c>
      <c r="H47" s="70" t="n">
        <v>0.944819311560777</v>
      </c>
      <c r="I47" s="70" t="n">
        <v>0.780549949879681</v>
      </c>
      <c r="J47" s="70" t="n">
        <v>0.548653173872806</v>
      </c>
      <c r="K47" s="70" t="n">
        <v>0.325190873084984</v>
      </c>
      <c r="L47" s="70" t="n">
        <v>0.451346826127194</v>
      </c>
      <c r="M47" s="70" t="n">
        <v>0.49340637223671</v>
      </c>
      <c r="N47" s="70" t="n">
        <v>0.50659362776329</v>
      </c>
      <c r="O47" s="70" t="n">
        <v>0.396166137687971</v>
      </c>
      <c r="P47" s="70" t="n">
        <v>0.619628438475793</v>
      </c>
      <c r="Q47" s="70" t="n">
        <v>0.78034441483681</v>
      </c>
      <c r="R47" s="70" t="n">
        <v>0.455359076794697</v>
      </c>
      <c r="S47" s="70" t="n">
        <v>0.616075053155714</v>
      </c>
      <c r="T47" s="70" t="n">
        <v>0.733777455437891</v>
      </c>
      <c r="U47" s="70" t="n">
        <v>0.631964270574319</v>
      </c>
      <c r="V47" s="70" t="n">
        <v>0.524563159409945</v>
      </c>
      <c r="W47" s="70" t="n">
        <v>0.608068587730416</v>
      </c>
      <c r="X47" s="70" t="n">
        <v>0.423203020208872</v>
      </c>
      <c r="Y47" s="70" t="n">
        <v>0.265884272677648</v>
      </c>
    </row>
    <row r="48" customFormat="false" ht="15" hidden="false" customHeight="false" outlineLevel="0" collapsed="false">
      <c r="A48" s="0" t="s">
        <v>207</v>
      </c>
      <c r="B48" s="70" t="n">
        <v>0.433323322665609</v>
      </c>
      <c r="C48" s="70" t="n">
        <v>0.26786967721078</v>
      </c>
      <c r="D48" s="70" t="n">
        <v>0.298807000123611</v>
      </c>
      <c r="E48" s="70" t="n">
        <v>0.701192999876389</v>
      </c>
      <c r="F48" s="70" t="n">
        <v>0.73213032278922</v>
      </c>
      <c r="G48" s="70" t="n">
        <v>0.566676677334391</v>
      </c>
      <c r="H48" s="70" t="n">
        <v>0.913981413697068</v>
      </c>
      <c r="I48" s="70" t="n">
        <v>0.697778357687328</v>
      </c>
      <c r="J48" s="70" t="n">
        <v>0.439629113862875</v>
      </c>
      <c r="K48" s="70" t="n">
        <v>0.22880304045847</v>
      </c>
      <c r="L48" s="70" t="n">
        <v>0.560370886137125</v>
      </c>
      <c r="M48" s="70" t="n">
        <v>0.488522288223722</v>
      </c>
      <c r="N48" s="70" t="n">
        <v>0.511477711776278</v>
      </c>
      <c r="O48" s="70" t="n">
        <v>0.474352299834193</v>
      </c>
      <c r="P48" s="70" t="n">
        <v>0.685178373238598</v>
      </c>
      <c r="Q48" s="70" t="n">
        <v>0.81356357802561</v>
      </c>
      <c r="R48" s="70" t="n">
        <v>0.468975317228858</v>
      </c>
      <c r="S48" s="70" t="n">
        <v>0.597360522015869</v>
      </c>
      <c r="T48" s="70" t="n">
        <v>0.707934543837977</v>
      </c>
      <c r="U48" s="70" t="n">
        <v>0.601999628477639</v>
      </c>
      <c r="V48" s="70" t="n">
        <v>0.492631630976504</v>
      </c>
      <c r="W48" s="70" t="n">
        <v>0.79081346228315</v>
      </c>
      <c r="X48" s="70" t="n">
        <v>0.642017408272428</v>
      </c>
      <c r="Y48" s="70" t="n">
        <v>0.481152547939844</v>
      </c>
    </row>
    <row r="49" customFormat="false" ht="15" hidden="false" customHeight="false" outlineLevel="0" collapsed="false">
      <c r="A49" s="0" t="s">
        <v>208</v>
      </c>
      <c r="B49" s="70" t="n">
        <v>0.461792939476874</v>
      </c>
      <c r="C49" s="70" t="n">
        <v>0.254127917591347</v>
      </c>
      <c r="D49" s="70" t="n">
        <v>0.284079142931779</v>
      </c>
      <c r="E49" s="70" t="n">
        <v>0.715920857068221</v>
      </c>
      <c r="F49" s="70" t="n">
        <v>0.745872082408653</v>
      </c>
      <c r="G49" s="70" t="n">
        <v>0.538207060523126</v>
      </c>
      <c r="H49" s="70" t="n">
        <v>0.928713020939087</v>
      </c>
      <c r="I49" s="70" t="n">
        <v>0.73522795446765</v>
      </c>
      <c r="J49" s="70" t="n">
        <v>0.486854756348318</v>
      </c>
      <c r="K49" s="70" t="n">
        <v>0.268596512154967</v>
      </c>
      <c r="L49" s="70" t="n">
        <v>0.513145243651682</v>
      </c>
      <c r="M49" s="70" t="n">
        <v>0.522025142088135</v>
      </c>
      <c r="N49" s="70" t="n">
        <v>0.477974857911865</v>
      </c>
      <c r="O49" s="70" t="n">
        <v>0.44185826459077</v>
      </c>
      <c r="P49" s="70" t="n">
        <v>0.66011650878412</v>
      </c>
      <c r="Q49" s="70" t="n">
        <v>0.803135807045643</v>
      </c>
      <c r="R49" s="70" t="n">
        <v>0.466631442312683</v>
      </c>
      <c r="S49" s="70" t="n">
        <v>0.609650740574206</v>
      </c>
      <c r="T49" s="70" t="n">
        <v>0.532215306794321</v>
      </c>
      <c r="U49" s="70" t="n">
        <v>0.413701763913757</v>
      </c>
      <c r="V49" s="70" t="n">
        <v>0.306910089094853</v>
      </c>
      <c r="W49" s="70" t="n">
        <v>0.766469409522289</v>
      </c>
      <c r="X49" s="70" t="n">
        <v>0.609694723699054</v>
      </c>
      <c r="Y49" s="70" t="n">
        <v>0.446053994323241</v>
      </c>
    </row>
    <row r="50" customFormat="false" ht="15" hidden="false" customHeight="false" outlineLevel="0" collapsed="false">
      <c r="A50" s="0" t="s">
        <v>209</v>
      </c>
      <c r="B50" s="70" t="n">
        <v>0.488756030674576</v>
      </c>
      <c r="C50" s="70" t="n">
        <v>0.264725942875028</v>
      </c>
      <c r="D50" s="70" t="n">
        <v>0.246518026450396</v>
      </c>
      <c r="E50" s="70" t="n">
        <v>0.753481973549605</v>
      </c>
      <c r="F50" s="70" t="n">
        <v>0.735274057124972</v>
      </c>
      <c r="G50" s="70" t="n">
        <v>0.511243969325424</v>
      </c>
      <c r="H50" s="70" t="n">
        <v>0.908039392521478</v>
      </c>
      <c r="I50" s="70" t="n">
        <v>0.683610552188671</v>
      </c>
      <c r="J50" s="70" t="n">
        <v>0.422567875865997</v>
      </c>
      <c r="K50" s="70" t="n">
        <v>0.215136256665596</v>
      </c>
      <c r="L50" s="70" t="n">
        <v>0.577432124134003</v>
      </c>
      <c r="M50" s="70" t="n">
        <v>0.461237576053878</v>
      </c>
      <c r="N50" s="70" t="n">
        <v>0.538762423946123</v>
      </c>
      <c r="O50" s="70" t="n">
        <v>0.485471516655481</v>
      </c>
      <c r="P50" s="70" t="n">
        <v>0.692903135855882</v>
      </c>
      <c r="Q50" s="70" t="n">
        <v>0.815832856021549</v>
      </c>
      <c r="R50" s="70" t="n">
        <v>0.468474295523076</v>
      </c>
      <c r="S50" s="70" t="n">
        <v>0.591404015688743</v>
      </c>
      <c r="T50" s="70" t="n">
        <v>0.570854986625328</v>
      </c>
      <c r="U50" s="70" t="n">
        <v>0.452960412035443</v>
      </c>
      <c r="V50" s="70" t="n">
        <v>0.343570248383659</v>
      </c>
      <c r="W50" s="70" t="n">
        <v>0.775921034903091</v>
      </c>
      <c r="X50" s="70" t="n">
        <v>0.622109687537346</v>
      </c>
      <c r="Y50" s="70" t="n">
        <v>0.459389625333002</v>
      </c>
    </row>
    <row r="51" customFormat="false" ht="15" hidden="false" customHeight="false" outlineLevel="0" collapsed="false">
      <c r="A51" s="0" t="s">
        <v>210</v>
      </c>
      <c r="B51" s="70" t="n">
        <v>0.428918087517414</v>
      </c>
      <c r="C51" s="70" t="n">
        <v>0.265920880638504</v>
      </c>
      <c r="D51" s="70" t="n">
        <v>0.305161031844082</v>
      </c>
      <c r="E51" s="70" t="n">
        <v>0.694838968155918</v>
      </c>
      <c r="F51" s="70" t="n">
        <v>0.734079119361496</v>
      </c>
      <c r="G51" s="70" t="n">
        <v>0.571081912482586</v>
      </c>
      <c r="H51" s="70" t="n">
        <v>0.917240691612103</v>
      </c>
      <c r="I51" s="70" t="n">
        <v>0.705803866062109</v>
      </c>
      <c r="J51" s="70" t="n">
        <v>0.449470793477639</v>
      </c>
      <c r="K51" s="70" t="n">
        <v>0.23685630321662</v>
      </c>
      <c r="L51" s="70" t="n">
        <v>0.550529206522361</v>
      </c>
      <c r="M51" s="70" t="n">
        <v>0.497335239804342</v>
      </c>
      <c r="N51" s="70" t="n">
        <v>0.502664760195658</v>
      </c>
      <c r="O51" s="70" t="n">
        <v>0.467769898134464</v>
      </c>
      <c r="P51" s="70" t="n">
        <v>0.680384388395483</v>
      </c>
      <c r="Q51" s="70" t="n">
        <v>0.81188038578858</v>
      </c>
      <c r="R51" s="70" t="n">
        <v>0.468947562845488</v>
      </c>
      <c r="S51" s="70" t="n">
        <v>0.600443560238586</v>
      </c>
      <c r="T51" s="70" t="n">
        <v>0.589739908801077</v>
      </c>
      <c r="U51" s="70" t="n">
        <v>0.472570063731928</v>
      </c>
      <c r="V51" s="70" t="n">
        <v>0.362283883639715</v>
      </c>
      <c r="W51" s="70" t="n">
        <v>0.776614028190298</v>
      </c>
      <c r="X51" s="70" t="n">
        <v>0.623026557520776</v>
      </c>
      <c r="Y51" s="70" t="n">
        <v>0.460381619532036</v>
      </c>
    </row>
    <row r="52" customFormat="false" ht="15" hidden="false" customHeight="false" outlineLevel="0" collapsed="false">
      <c r="A52" s="0" t="s">
        <v>211</v>
      </c>
      <c r="B52" s="70" t="n">
        <v>0.315487972235046</v>
      </c>
      <c r="C52" s="70" t="n">
        <v>0.249894435047321</v>
      </c>
      <c r="D52" s="70" t="n">
        <v>0.434617592717633</v>
      </c>
      <c r="E52" s="70" t="n">
        <v>0.565382407282367</v>
      </c>
      <c r="F52" s="70" t="n">
        <v>0.750105564952679</v>
      </c>
      <c r="G52" s="70" t="n">
        <v>0.684512027764954</v>
      </c>
      <c r="H52" s="70" t="n">
        <v>0.937776047312259</v>
      </c>
      <c r="I52" s="70" t="n">
        <v>0.759688236493</v>
      </c>
      <c r="J52" s="70" t="n">
        <v>0.519675369504936</v>
      </c>
      <c r="K52" s="70" t="n">
        <v>0.297998448923772</v>
      </c>
      <c r="L52" s="70" t="n">
        <v>0.480324630495064</v>
      </c>
      <c r="M52" s="70" t="n">
        <v>0.553409569229142</v>
      </c>
      <c r="N52" s="70" t="n">
        <v>0.446590430770859</v>
      </c>
      <c r="O52" s="70" t="n">
        <v>0.418100677807323</v>
      </c>
      <c r="P52" s="70" t="n">
        <v>0.639777598388487</v>
      </c>
      <c r="Q52" s="70" t="n">
        <v>0.792440264810426</v>
      </c>
      <c r="R52" s="70" t="n">
        <v>0.461689787569228</v>
      </c>
      <c r="S52" s="70" t="n">
        <v>0.614352453991167</v>
      </c>
      <c r="T52" s="70" t="n">
        <v>0.658799715490267</v>
      </c>
      <c r="U52" s="70" t="n">
        <v>0.546737919550909</v>
      </c>
      <c r="V52" s="70" t="n">
        <v>0.435504652527524</v>
      </c>
      <c r="W52" s="70" t="n">
        <v>0.619776224909746</v>
      </c>
      <c r="X52" s="70" t="n">
        <v>0.435746663921251</v>
      </c>
      <c r="Y52" s="70" t="n">
        <v>0.276874539587467</v>
      </c>
    </row>
    <row r="53" customFormat="false" ht="15" hidden="false" customHeight="false" outlineLevel="0" collapsed="false">
      <c r="A53" s="0" t="s">
        <v>212</v>
      </c>
      <c r="B53" s="70" t="n">
        <v>0.269291234031585</v>
      </c>
      <c r="C53" s="70" t="n">
        <v>0.261058765675232</v>
      </c>
      <c r="D53" s="70" t="n">
        <v>0.469650000293183</v>
      </c>
      <c r="E53" s="70" t="n">
        <v>0.530349999706817</v>
      </c>
      <c r="F53" s="70" t="n">
        <v>0.738941234324768</v>
      </c>
      <c r="G53" s="70" t="n">
        <v>0.730708765968416</v>
      </c>
      <c r="H53" s="70" t="n">
        <v>0.917670239651031</v>
      </c>
      <c r="I53" s="70" t="n">
        <v>0.706967833684001</v>
      </c>
      <c r="J53" s="70" t="n">
        <v>0.450876436744286</v>
      </c>
      <c r="K53" s="70" t="n">
        <v>0.238016664797945</v>
      </c>
      <c r="L53" s="70" t="n">
        <v>0.549123563255714</v>
      </c>
      <c r="M53" s="70" t="n">
        <v>0.490426497242812</v>
      </c>
      <c r="N53" s="70" t="n">
        <v>0.509573502757188</v>
      </c>
      <c r="O53" s="70" t="n">
        <v>0.466793802906745</v>
      </c>
      <c r="P53" s="70" t="n">
        <v>0.679653574853087</v>
      </c>
      <c r="Q53" s="70" t="n">
        <v>0.811591560087066</v>
      </c>
      <c r="R53" s="70" t="n">
        <v>0.468951168886057</v>
      </c>
      <c r="S53" s="70" t="n">
        <v>0.600889154120035</v>
      </c>
      <c r="T53" s="70" t="n">
        <v>0.703601409407764</v>
      </c>
      <c r="U53" s="70" t="n">
        <v>0.597037811444714</v>
      </c>
      <c r="V53" s="70" t="n">
        <v>0.487410002615704</v>
      </c>
      <c r="W53" s="70" t="n">
        <v>0.749658680679706</v>
      </c>
      <c r="X53" s="70" t="n">
        <v>0.58801650225854</v>
      </c>
      <c r="Y53" s="70" t="n">
        <v>0.423192577947718</v>
      </c>
    </row>
    <row r="54" customFormat="false" ht="15" hidden="false" customHeight="false" outlineLevel="0" collapsed="false">
      <c r="A54" s="0" t="s">
        <v>213</v>
      </c>
      <c r="B54" s="70" t="n">
        <v>0.246718409100986</v>
      </c>
      <c r="C54" s="70" t="n">
        <v>0.234466675867208</v>
      </c>
      <c r="D54" s="70" t="n">
        <v>0.518814915031806</v>
      </c>
      <c r="E54" s="70" t="n">
        <v>0.481185084968194</v>
      </c>
      <c r="F54" s="70" t="n">
        <v>0.765533324132792</v>
      </c>
      <c r="G54" s="70" t="n">
        <v>0.753281590899014</v>
      </c>
      <c r="H54" s="70" t="n">
        <v>0.943682039649061</v>
      </c>
      <c r="I54" s="70" t="n">
        <v>0.776589912540498</v>
      </c>
      <c r="J54" s="70" t="n">
        <v>0.543241188635287</v>
      </c>
      <c r="K54" s="70" t="n">
        <v>0.320023829367696</v>
      </c>
      <c r="L54" s="70" t="n">
        <v>0.456758811364714</v>
      </c>
      <c r="M54" s="70" t="n">
        <v>0.553361531307425</v>
      </c>
      <c r="N54" s="70" t="n">
        <v>0.446638468692575</v>
      </c>
      <c r="O54" s="70" t="n">
        <v>0.400440851013774</v>
      </c>
      <c r="P54" s="70" t="n">
        <v>0.623658210281365</v>
      </c>
      <c r="Q54" s="70" t="n">
        <v>0.782905714894701</v>
      </c>
      <c r="R54" s="70" t="n">
        <v>0.456566083172803</v>
      </c>
      <c r="S54" s="70" t="n">
        <v>0.615813587786139</v>
      </c>
      <c r="T54" s="70" t="n">
        <v>0.539426630658416</v>
      </c>
      <c r="U54" s="70" t="n">
        <v>0.420941629442126</v>
      </c>
      <c r="V54" s="70" t="n">
        <v>0.31359003979824</v>
      </c>
      <c r="W54" s="70" t="n">
        <v>0.632090352785555</v>
      </c>
      <c r="X54" s="70" t="n">
        <v>0.44913624088884</v>
      </c>
      <c r="Y54" s="70" t="n">
        <v>0.288780405335715</v>
      </c>
    </row>
    <row r="55" customFormat="false" ht="15" hidden="false" customHeight="false" outlineLevel="0" collapsed="false">
      <c r="A55" s="0" t="s">
        <v>214</v>
      </c>
      <c r="B55" s="70" t="n">
        <v>0.560829226403294</v>
      </c>
      <c r="C55" s="70" t="n">
        <v>0.23249850589652</v>
      </c>
      <c r="D55" s="70" t="n">
        <v>0.206672267700187</v>
      </c>
      <c r="E55" s="70" t="n">
        <v>0.793327732299813</v>
      </c>
      <c r="F55" s="70" t="n">
        <v>0.767501494103481</v>
      </c>
      <c r="G55" s="70" t="n">
        <v>0.439170773596707</v>
      </c>
      <c r="H55" s="70" t="n">
        <v>0.934649929245704</v>
      </c>
      <c r="I55" s="70" t="n">
        <v>0.751491264967966</v>
      </c>
      <c r="J55" s="70" t="n">
        <v>0.508356106741066</v>
      </c>
      <c r="K55" s="70" t="n">
        <v>0.287692391732261</v>
      </c>
      <c r="L55" s="70" t="n">
        <v>0.491643893258934</v>
      </c>
      <c r="M55" s="70" t="n">
        <v>0.508199065873314</v>
      </c>
      <c r="N55" s="70" t="n">
        <v>0.491800934126686</v>
      </c>
      <c r="O55" s="70" t="n">
        <v>0.426293822504638</v>
      </c>
      <c r="P55" s="70" t="n">
        <v>0.646957537513443</v>
      </c>
      <c r="Q55" s="70" t="n">
        <v>0.796352310445417</v>
      </c>
      <c r="R55" s="70" t="n">
        <v>0.463798873235705</v>
      </c>
      <c r="S55" s="70" t="n">
        <v>0.613193646167679</v>
      </c>
      <c r="T55" s="70" t="n">
        <v>0.585125263460985</v>
      </c>
      <c r="U55" s="70" t="n">
        <v>0.467752357531258</v>
      </c>
      <c r="V55" s="70" t="n">
        <v>0.357661468846067</v>
      </c>
      <c r="W55" s="70" t="n">
        <v>0.635378254424652</v>
      </c>
      <c r="X55" s="70" t="n">
        <v>0.452745788874585</v>
      </c>
      <c r="Y55" s="70" t="n">
        <v>0.292020890469346</v>
      </c>
    </row>
    <row r="56" customFormat="false" ht="15" hidden="false" customHeight="false" outlineLevel="0" collapsed="false">
      <c r="A56" s="0" t="s">
        <v>215</v>
      </c>
      <c r="B56" s="70" t="n">
        <v>0.488625056631443</v>
      </c>
      <c r="C56" s="70" t="n">
        <v>0.25596404955589</v>
      </c>
      <c r="D56" s="70" t="n">
        <v>0.255410893812668</v>
      </c>
      <c r="E56" s="70" t="n">
        <v>0.744589106187332</v>
      </c>
      <c r="F56" s="70" t="n">
        <v>0.744035950444111</v>
      </c>
      <c r="G56" s="70" t="n">
        <v>0.511374943368557</v>
      </c>
      <c r="H56" s="70" t="n">
        <v>0.920965358034294</v>
      </c>
      <c r="I56" s="70" t="n">
        <v>0.715296531690508</v>
      </c>
      <c r="J56" s="70" t="n">
        <v>0.461251976009507</v>
      </c>
      <c r="K56" s="70" t="n">
        <v>0.24666128981293</v>
      </c>
      <c r="L56" s="70" t="n">
        <v>0.538748023990493</v>
      </c>
      <c r="M56" s="70" t="n">
        <v>0.494111806149052</v>
      </c>
      <c r="N56" s="70" t="n">
        <v>0.505888193850948</v>
      </c>
      <c r="O56" s="70" t="n">
        <v>0.459713382024787</v>
      </c>
      <c r="P56" s="70" t="n">
        <v>0.674304068221364</v>
      </c>
      <c r="Q56" s="70" t="n">
        <v>0.809484746602207</v>
      </c>
      <c r="R56" s="70" t="n">
        <v>0.468635241877579</v>
      </c>
      <c r="S56" s="70" t="n">
        <v>0.603815920258421</v>
      </c>
      <c r="T56" s="70" t="n">
        <v>0.562358021886192</v>
      </c>
      <c r="U56" s="70" t="n">
        <v>0.444228509827983</v>
      </c>
      <c r="V56" s="70" t="n">
        <v>0.33532352201215</v>
      </c>
      <c r="W56" s="70" t="n">
        <v>0.766895659622322</v>
      </c>
      <c r="X56" s="70" t="n">
        <v>0.610251038375272</v>
      </c>
      <c r="Y56" s="70" t="n">
        <v>0.446647738233331</v>
      </c>
    </row>
    <row r="57" customFormat="false" ht="15" hidden="false" customHeight="false" outlineLevel="0" collapsed="false">
      <c r="A57" s="0" t="s">
        <v>216</v>
      </c>
      <c r="B57" s="70" t="n">
        <v>0.485510779136609</v>
      </c>
      <c r="C57" s="70" t="n">
        <v>0.251637820008903</v>
      </c>
      <c r="D57" s="70" t="n">
        <v>0.262851400854488</v>
      </c>
      <c r="E57" s="70" t="n">
        <v>0.737148599145512</v>
      </c>
      <c r="F57" s="70" t="n">
        <v>0.748362179991096</v>
      </c>
      <c r="G57" s="70" t="n">
        <v>0.514489220863391</v>
      </c>
      <c r="H57" s="70" t="n">
        <v>0.92775491437929</v>
      </c>
      <c r="I57" s="70" t="n">
        <v>0.732774068404867</v>
      </c>
      <c r="J57" s="70" t="n">
        <v>0.483628179778975</v>
      </c>
      <c r="K57" s="70" t="n">
        <v>0.265784343141167</v>
      </c>
      <c r="L57" s="70" t="n">
        <v>0.516371820221025</v>
      </c>
      <c r="M57" s="70" t="n">
        <v>0.513669327911794</v>
      </c>
      <c r="N57" s="70" t="n">
        <v>0.486330672088206</v>
      </c>
      <c r="O57" s="70" t="n">
        <v>0.444126734600315</v>
      </c>
      <c r="P57" s="70" t="n">
        <v>0.661970571238123</v>
      </c>
      <c r="Q57" s="70" t="n">
        <v>0.804015977316446</v>
      </c>
      <c r="R57" s="70" t="n">
        <v>0.4669897252637</v>
      </c>
      <c r="S57" s="70" t="n">
        <v>0.609035131342023</v>
      </c>
      <c r="T57" s="70" t="n">
        <v>0.729626103116744</v>
      </c>
      <c r="U57" s="70" t="n">
        <v>0.627107035300428</v>
      </c>
      <c r="V57" s="70" t="n">
        <v>0.519340216140544</v>
      </c>
      <c r="W57" s="70" t="n">
        <v>0.793073376922257</v>
      </c>
      <c r="X57" s="70" t="n">
        <v>0.645076544449288</v>
      </c>
      <c r="Y57" s="70" t="n">
        <v>0.484538872691874</v>
      </c>
    </row>
    <row r="58" customFormat="false" ht="15" hidden="false" customHeight="false" outlineLevel="0" collapsed="false">
      <c r="A58" s="0" t="s">
        <v>217</v>
      </c>
      <c r="B58" s="70" t="n">
        <v>0.268212555734817</v>
      </c>
      <c r="C58" s="70" t="n">
        <v>0.240733916109163</v>
      </c>
      <c r="D58" s="70" t="n">
        <v>0.49105352815602</v>
      </c>
      <c r="E58" s="70" t="n">
        <v>0.50894647184398</v>
      </c>
      <c r="F58" s="70" t="n">
        <v>0.759266083890837</v>
      </c>
      <c r="G58" s="70" t="n">
        <v>0.731787444265184</v>
      </c>
      <c r="H58" s="70" t="n">
        <v>0.941311896190625</v>
      </c>
      <c r="I58" s="70" t="n">
        <v>0.769733589577623</v>
      </c>
      <c r="J58" s="70" t="n">
        <v>0.533581201490536</v>
      </c>
      <c r="K58" s="70" t="n">
        <v>0.31090120724107</v>
      </c>
      <c r="L58" s="70" t="n">
        <v>0.466418798509464</v>
      </c>
      <c r="M58" s="70" t="n">
        <v>0.553403221302399</v>
      </c>
      <c r="N58" s="70" t="n">
        <v>0.446596778697601</v>
      </c>
      <c r="O58" s="70" t="n">
        <v>0.407730694700089</v>
      </c>
      <c r="P58" s="70" t="n">
        <v>0.630410688949556</v>
      </c>
      <c r="Q58" s="70" t="n">
        <v>0.78699690589814</v>
      </c>
      <c r="R58" s="70" t="n">
        <v>0.458832382336553</v>
      </c>
      <c r="S58" s="70" t="n">
        <v>0.615418599285138</v>
      </c>
      <c r="T58" s="70" t="n">
        <v>0.7019195104404</v>
      </c>
      <c r="U58" s="70" t="n">
        <v>0.595116616348469</v>
      </c>
      <c r="V58" s="70" t="n">
        <v>0.485393172682805</v>
      </c>
      <c r="W58" s="70" t="n">
        <v>0.486049236893</v>
      </c>
      <c r="X58" s="70" t="n">
        <v>0.302633398894846</v>
      </c>
      <c r="Y58" s="70" t="n">
        <v>0.168277689790284</v>
      </c>
    </row>
    <row r="59" customFormat="false" ht="15" hidden="false" customHeight="false" outlineLevel="0" collapsed="false">
      <c r="A59" s="0" t="s">
        <v>218</v>
      </c>
      <c r="B59" s="70" t="n">
        <v>0.514548977154803</v>
      </c>
      <c r="C59" s="70" t="n">
        <v>0.253881503931163</v>
      </c>
      <c r="D59" s="70" t="n">
        <v>0.231569518914034</v>
      </c>
      <c r="E59" s="70" t="n">
        <v>0.768430481085966</v>
      </c>
      <c r="F59" s="70" t="n">
        <v>0.746118496068837</v>
      </c>
      <c r="G59" s="70" t="n">
        <v>0.485451022845197</v>
      </c>
      <c r="H59" s="70" t="n">
        <v>0.917404273330489</v>
      </c>
      <c r="I59" s="70" t="n">
        <v>0.706463183502398</v>
      </c>
      <c r="J59" s="70" t="n">
        <v>0.45019609475357</v>
      </c>
      <c r="K59" s="70" t="n">
        <v>0.237454605922234</v>
      </c>
      <c r="L59" s="70" t="n">
        <v>0.54980390524643</v>
      </c>
      <c r="M59" s="70" t="n">
        <v>0.476525716331916</v>
      </c>
      <c r="N59" s="70" t="n">
        <v>0.523474283668085</v>
      </c>
      <c r="O59" s="70" t="n">
        <v>0.467208178576919</v>
      </c>
      <c r="P59" s="70" t="n">
        <v>0.679949667408256</v>
      </c>
      <c r="Q59" s="70" t="n">
        <v>0.81167391761352</v>
      </c>
      <c r="R59" s="70" t="n">
        <v>0.469008577580164</v>
      </c>
      <c r="S59" s="70" t="n">
        <v>0.600732827785429</v>
      </c>
      <c r="T59" s="70" t="n">
        <v>0.672170876942274</v>
      </c>
      <c r="U59" s="70" t="n">
        <v>0.561562695444258</v>
      </c>
      <c r="V59" s="70" t="n">
        <v>0.450610229841026</v>
      </c>
      <c r="W59" s="70" t="n">
        <v>0.822930629721196</v>
      </c>
      <c r="X59" s="70" t="n">
        <v>0.686494216374094</v>
      </c>
      <c r="Y59" s="70" t="n">
        <v>0.531530518902863</v>
      </c>
    </row>
    <row r="60" customFormat="false" ht="15" hidden="false" customHeight="false" outlineLevel="0" collapsed="false">
      <c r="A60" s="0" t="s">
        <v>219</v>
      </c>
      <c r="B60" s="70" t="n">
        <v>0.684039405587102</v>
      </c>
      <c r="C60" s="70" t="n">
        <v>0.186901425211006</v>
      </c>
      <c r="D60" s="70" t="n">
        <v>0.129059169201892</v>
      </c>
      <c r="E60" s="70" t="n">
        <v>0.870940830798108</v>
      </c>
      <c r="F60" s="70" t="n">
        <v>0.813098574788994</v>
      </c>
      <c r="G60" s="70" t="n">
        <v>0.315960594412898</v>
      </c>
      <c r="H60" s="70" t="n">
        <v>0.949760528371327</v>
      </c>
      <c r="I60" s="70" t="n">
        <v>0.795295805238504</v>
      </c>
      <c r="J60" s="70" t="n">
        <v>0.57009025941437</v>
      </c>
      <c r="K60" s="70" t="n">
        <v>0.346078118978823</v>
      </c>
      <c r="L60" s="70" t="n">
        <v>0.42990974058563</v>
      </c>
      <c r="M60" s="70" t="n">
        <v>0.490456907670505</v>
      </c>
      <c r="N60" s="70" t="n">
        <v>0.509543092329496</v>
      </c>
      <c r="O60" s="70" t="n">
        <v>0.379670268956957</v>
      </c>
      <c r="P60" s="70" t="n">
        <v>0.603682409392504</v>
      </c>
      <c r="Q60" s="70" t="n">
        <v>0.770021884955852</v>
      </c>
      <c r="R60" s="70" t="n">
        <v>0.449217686259681</v>
      </c>
      <c r="S60" s="70" t="n">
        <v>0.615557161823028</v>
      </c>
      <c r="T60" s="70" t="n">
        <v>0.60799954739046</v>
      </c>
      <c r="U60" s="70" t="n">
        <v>0.491799858896612</v>
      </c>
      <c r="V60" s="70" t="n">
        <v>0.380895766385996</v>
      </c>
      <c r="W60" s="70" t="n">
        <v>0.779613847890234</v>
      </c>
      <c r="X60" s="70" t="n">
        <v>0.627006050963289</v>
      </c>
      <c r="Y60" s="70" t="n">
        <v>0.464698636189141</v>
      </c>
    </row>
    <row r="61" customFormat="false" ht="15" hidden="false" customHeight="false" outlineLevel="0" collapsed="false">
      <c r="A61" s="0" t="s">
        <v>220</v>
      </c>
      <c r="B61" s="70" t="n">
        <v>0.598493345102832</v>
      </c>
      <c r="C61" s="70" t="n">
        <v>0.220000443716259</v>
      </c>
      <c r="D61" s="70" t="n">
        <v>0.181506211180909</v>
      </c>
      <c r="E61" s="70" t="n">
        <v>0.818493788819091</v>
      </c>
      <c r="F61" s="70" t="n">
        <v>0.779999556283741</v>
      </c>
      <c r="G61" s="70" t="n">
        <v>0.401506654897168</v>
      </c>
      <c r="H61" s="70" t="n">
        <v>0.939303439333494</v>
      </c>
      <c r="I61" s="70" t="n">
        <v>0.764527412229029</v>
      </c>
      <c r="J61" s="70" t="n">
        <v>0.526147900307121</v>
      </c>
      <c r="K61" s="70" t="n">
        <v>0.303969756244684</v>
      </c>
      <c r="L61" s="70" t="n">
        <v>0.473852099692879</v>
      </c>
      <c r="M61" s="70" t="n">
        <v>0.505599498703513</v>
      </c>
      <c r="N61" s="70" t="n">
        <v>0.494400501296487</v>
      </c>
      <c r="O61" s="70" t="n">
        <v>0.413155539026374</v>
      </c>
      <c r="P61" s="70" t="n">
        <v>0.63533368308881</v>
      </c>
      <c r="Q61" s="70" t="n">
        <v>0.789836655481569</v>
      </c>
      <c r="R61" s="70" t="n">
        <v>0.460557655984345</v>
      </c>
      <c r="S61" s="70" t="n">
        <v>0.615060628377104</v>
      </c>
      <c r="T61" s="70" t="n">
        <v>0.689863636389382</v>
      </c>
      <c r="U61" s="70" t="n">
        <v>0.58142195364414</v>
      </c>
      <c r="V61" s="70" t="n">
        <v>0.471096545298466</v>
      </c>
      <c r="W61" s="70" t="n">
        <v>0.704334573677252</v>
      </c>
      <c r="X61" s="70" t="n">
        <v>0.531969947447774</v>
      </c>
      <c r="Y61" s="70" t="n">
        <v>0.366500447002014</v>
      </c>
    </row>
    <row r="62" customFormat="false" ht="15" hidden="false" customHeight="false" outlineLevel="0" collapsed="false">
      <c r="A62" s="0" t="s">
        <v>221</v>
      </c>
      <c r="B62" s="70" t="n">
        <v>0.770290783786222</v>
      </c>
      <c r="C62" s="70" t="n">
        <v>0.14852375044515</v>
      </c>
      <c r="D62" s="70" t="n">
        <v>0.081185465768628</v>
      </c>
      <c r="E62" s="70" t="n">
        <v>0.918814534231372</v>
      </c>
      <c r="F62" s="70" t="n">
        <v>0.851476249554851</v>
      </c>
      <c r="G62" s="70" t="n">
        <v>0.229709216213778</v>
      </c>
      <c r="H62" s="70" t="n">
        <v>0.957664003917621</v>
      </c>
      <c r="I62" s="70" t="n">
        <v>0.820306063965283</v>
      </c>
      <c r="J62" s="70" t="n">
        <v>0.607955069493217</v>
      </c>
      <c r="K62" s="70" t="n">
        <v>0.384635055903891</v>
      </c>
      <c r="L62" s="70" t="n">
        <v>0.392044930506783</v>
      </c>
      <c r="M62" s="70" t="n">
        <v>0.445792544492652</v>
      </c>
      <c r="N62" s="70" t="n">
        <v>0.554207455507348</v>
      </c>
      <c r="O62" s="70" t="n">
        <v>0.349708934424404</v>
      </c>
      <c r="P62" s="70" t="n">
        <v>0.57302894801373</v>
      </c>
      <c r="Q62" s="70" t="n">
        <v>0.748477407462069</v>
      </c>
      <c r="R62" s="70" t="n">
        <v>0.435671008061392</v>
      </c>
      <c r="S62" s="70" t="n">
        <v>0.611119467509732</v>
      </c>
      <c r="T62" s="70" t="n">
        <v>0.850356518058861</v>
      </c>
      <c r="U62" s="70" t="n">
        <v>0.776152303784006</v>
      </c>
      <c r="V62" s="70" t="n">
        <v>0.688626647960611</v>
      </c>
      <c r="W62" s="70" t="n">
        <v>0.572175401890135</v>
      </c>
      <c r="X62" s="70" t="n">
        <v>0.385847563693403</v>
      </c>
      <c r="Y62" s="70" t="n">
        <v>0.234087117651941</v>
      </c>
    </row>
    <row r="63" customFormat="false" ht="15" hidden="false" customHeight="false" outlineLevel="0" collapsed="false">
      <c r="A63" s="0" t="s">
        <v>222</v>
      </c>
      <c r="B63" s="70" t="n">
        <v>0.462671613359736</v>
      </c>
      <c r="C63" s="70" t="n">
        <v>0.283663484857175</v>
      </c>
      <c r="D63" s="70" t="n">
        <v>0.253664901783089</v>
      </c>
      <c r="E63" s="70" t="n">
        <v>0.746335098216911</v>
      </c>
      <c r="F63" s="70" t="n">
        <v>0.716336515142825</v>
      </c>
      <c r="G63" s="70" t="n">
        <v>0.537328386640264</v>
      </c>
      <c r="H63" s="70" t="n">
        <v>0.885350444191249</v>
      </c>
      <c r="I63" s="70" t="n">
        <v>0.632225165434741</v>
      </c>
      <c r="J63" s="70" t="n">
        <v>0.364574078032196</v>
      </c>
      <c r="K63" s="70" t="n">
        <v>0.171425579880949</v>
      </c>
      <c r="L63" s="70" t="n">
        <v>0.635425921967804</v>
      </c>
      <c r="M63" s="70" t="n">
        <v>0.418258926774453</v>
      </c>
      <c r="N63" s="70" t="n">
        <v>0.581741073225548</v>
      </c>
      <c r="O63" s="70" t="n">
        <v>0.520776366159052</v>
      </c>
      <c r="P63" s="70" t="n">
        <v>0.713924864310299</v>
      </c>
      <c r="Q63" s="70" t="n">
        <v>0.817871916372911</v>
      </c>
      <c r="R63" s="70" t="n">
        <v>0.460799585553792</v>
      </c>
      <c r="S63" s="70" t="n">
        <v>0.564746637616404</v>
      </c>
      <c r="T63" s="70" t="n">
        <v>0.650772105930107</v>
      </c>
      <c r="U63" s="70" t="n">
        <v>0.537912033428055</v>
      </c>
      <c r="V63" s="70" t="n">
        <v>0.426586847010653</v>
      </c>
      <c r="W63" s="70" t="n">
        <v>0.845225516869964</v>
      </c>
      <c r="X63" s="70" t="n">
        <v>0.718732207887012</v>
      </c>
      <c r="Y63" s="70" t="n">
        <v>0.569654887984501</v>
      </c>
    </row>
    <row r="64" customFormat="false" ht="15" hidden="false" customHeight="false" outlineLevel="0" collapsed="false">
      <c r="A64" s="0" t="s">
        <v>223</v>
      </c>
      <c r="B64" s="70" t="n">
        <v>0.335892621237886</v>
      </c>
      <c r="C64" s="70" t="n">
        <v>0.280141945003855</v>
      </c>
      <c r="D64" s="70" t="n">
        <v>0.383965433758259</v>
      </c>
      <c r="E64" s="70" t="n">
        <v>0.616034566241741</v>
      </c>
      <c r="F64" s="70" t="n">
        <v>0.719858054996146</v>
      </c>
      <c r="G64" s="70" t="n">
        <v>0.664107378762114</v>
      </c>
      <c r="H64" s="70" t="n">
        <v>0.901307846789917</v>
      </c>
      <c r="I64" s="70" t="n">
        <v>0.667619277250293</v>
      </c>
      <c r="J64" s="70" t="n">
        <v>0.403993335583998</v>
      </c>
      <c r="K64" s="70" t="n">
        <v>0.200677576457495</v>
      </c>
      <c r="L64" s="70" t="n">
        <v>0.596006664416002</v>
      </c>
      <c r="M64" s="70" t="n">
        <v>0.464706683838156</v>
      </c>
      <c r="N64" s="70" t="n">
        <v>0.535293316161844</v>
      </c>
      <c r="O64" s="70" t="n">
        <v>0.497314511205919</v>
      </c>
      <c r="P64" s="70" t="n">
        <v>0.700630270332421</v>
      </c>
      <c r="Q64" s="70" t="n">
        <v>0.817543006461994</v>
      </c>
      <c r="R64" s="70" t="n">
        <v>0.466941700792798</v>
      </c>
      <c r="S64" s="70" t="n">
        <v>0.58385443692237</v>
      </c>
      <c r="T64" s="70" t="n">
        <v>0.508879006081551</v>
      </c>
      <c r="U64" s="70" t="n">
        <v>0.39054315717398</v>
      </c>
      <c r="V64" s="70" t="n">
        <v>0.285788313303676</v>
      </c>
      <c r="W64" s="70" t="n">
        <v>0.820112589330563</v>
      </c>
      <c r="X64" s="70" t="n">
        <v>0.682502314039867</v>
      </c>
      <c r="Y64" s="70" t="n">
        <v>0.526906325957509</v>
      </c>
    </row>
    <row r="65" customFormat="false" ht="15" hidden="false" customHeight="false" outlineLevel="0" collapsed="false">
      <c r="A65" s="0" t="s">
        <v>224</v>
      </c>
      <c r="B65" s="70" t="n">
        <v>0.411581103777085</v>
      </c>
      <c r="C65" s="70" t="n">
        <v>0.276400828648805</v>
      </c>
      <c r="D65" s="70" t="n">
        <v>0.312018067574111</v>
      </c>
      <c r="E65" s="70" t="n">
        <v>0.68798193242589</v>
      </c>
      <c r="F65" s="70" t="n">
        <v>0.723599171351195</v>
      </c>
      <c r="G65" s="70" t="n">
        <v>0.588418896222915</v>
      </c>
      <c r="H65" s="70" t="n">
        <v>0.904496925482748</v>
      </c>
      <c r="I65" s="70" t="n">
        <v>0.675058677319068</v>
      </c>
      <c r="J65" s="70" t="n">
        <v>0.412590963764319</v>
      </c>
      <c r="K65" s="70" t="n">
        <v>0.207315952406272</v>
      </c>
      <c r="L65" s="70" t="n">
        <v>0.587409036235681</v>
      </c>
      <c r="M65" s="70" t="n">
        <v>0.46925641905771</v>
      </c>
      <c r="N65" s="70" t="n">
        <v>0.53074358094229</v>
      </c>
      <c r="O65" s="70" t="n">
        <v>0.49190596171843</v>
      </c>
      <c r="P65" s="70" t="n">
        <v>0.697180973076476</v>
      </c>
      <c r="Q65" s="70" t="n">
        <v>0.816887829063282</v>
      </c>
      <c r="R65" s="70" t="n">
        <v>0.467742724912796</v>
      </c>
      <c r="S65" s="70" t="n">
        <v>0.587449580899602</v>
      </c>
      <c r="T65" s="70" t="n">
        <v>0.546792778730582</v>
      </c>
      <c r="U65" s="70" t="n">
        <v>0.428377914192914</v>
      </c>
      <c r="V65" s="70" t="n">
        <v>0.320489242128501</v>
      </c>
      <c r="W65" s="70" t="n">
        <v>0.875128944335927</v>
      </c>
      <c r="X65" s="70" t="n">
        <v>0.763981602764794</v>
      </c>
      <c r="Y65" s="70" t="n">
        <v>0.625660863452983</v>
      </c>
    </row>
    <row r="66" customFormat="false" ht="15" hidden="false" customHeight="false" outlineLevel="0" collapsed="false">
      <c r="A66" s="0" t="s">
        <v>225</v>
      </c>
      <c r="B66" s="70" t="n">
        <v>0.396012732313812</v>
      </c>
      <c r="C66" s="70" t="n">
        <v>0.250068041588119</v>
      </c>
      <c r="D66" s="70" t="n">
        <v>0.35391922609807</v>
      </c>
      <c r="E66" s="70" t="n">
        <v>0.646080773901931</v>
      </c>
      <c r="F66" s="70" t="n">
        <v>0.749931958411881</v>
      </c>
      <c r="G66" s="70" t="n">
        <v>0.603987267686189</v>
      </c>
      <c r="H66" s="70" t="n">
        <v>0.940153793033443</v>
      </c>
      <c r="I66" s="70" t="n">
        <v>0.766297500130433</v>
      </c>
      <c r="J66" s="70" t="n">
        <v>0.528836149655343</v>
      </c>
      <c r="K66" s="70" t="n">
        <v>0.306468307956884</v>
      </c>
      <c r="L66" s="70" t="n">
        <v>0.471163850344657</v>
      </c>
      <c r="M66" s="70" t="n">
        <v>0.56434970264234</v>
      </c>
      <c r="N66" s="70" t="n">
        <v>0.43565029735766</v>
      </c>
      <c r="O66" s="70" t="n">
        <v>0.4113176433781</v>
      </c>
      <c r="P66" s="70" t="n">
        <v>0.63368548507656</v>
      </c>
      <c r="Q66" s="70" t="n">
        <v>0.788944613855901</v>
      </c>
      <c r="R66" s="70" t="n">
        <v>0.459829192173549</v>
      </c>
      <c r="S66" s="70" t="n">
        <v>0.61508832095289</v>
      </c>
      <c r="T66" s="70" t="n">
        <v>0.627737537277186</v>
      </c>
      <c r="U66" s="70" t="n">
        <v>0.512890344109722</v>
      </c>
      <c r="V66" s="70" t="n">
        <v>0.40160693818664</v>
      </c>
      <c r="W66" s="70" t="n">
        <v>0.741593599074271</v>
      </c>
      <c r="X66" s="70" t="n">
        <v>0.577793133824248</v>
      </c>
      <c r="Y66" s="70" t="n">
        <v>0.412595009040728</v>
      </c>
    </row>
    <row r="67" customFormat="false" ht="15" hidden="false" customHeight="false" outlineLevel="0" collapsed="false">
      <c r="A67" s="0" t="s">
        <v>226</v>
      </c>
      <c r="B67" s="70" t="n">
        <v>0.327687390070479</v>
      </c>
      <c r="C67" s="70" t="n">
        <v>0.288417548798244</v>
      </c>
      <c r="D67" s="70" t="n">
        <v>0.383895061131278</v>
      </c>
      <c r="E67" s="70" t="n">
        <v>0.616104938868722</v>
      </c>
      <c r="F67" s="70" t="n">
        <v>0.711582451201756</v>
      </c>
      <c r="G67" s="70" t="n">
        <v>0.672312609929521</v>
      </c>
      <c r="H67" s="70" t="n">
        <v>0.88958356824251</v>
      </c>
      <c r="I67" s="70" t="n">
        <v>0.641256245437152</v>
      </c>
      <c r="J67" s="70" t="n">
        <v>0.374431475150112</v>
      </c>
      <c r="K67" s="70" t="n">
        <v>0.178559120331179</v>
      </c>
      <c r="L67" s="70" t="n">
        <v>0.625568524849888</v>
      </c>
      <c r="M67" s="70" t="n">
        <v>0.440082416626655</v>
      </c>
      <c r="N67" s="70" t="n">
        <v>0.559917583373345</v>
      </c>
      <c r="O67" s="70" t="n">
        <v>0.515152093092397</v>
      </c>
      <c r="P67" s="70" t="n">
        <v>0.71102444791133</v>
      </c>
      <c r="Q67" s="70" t="n">
        <v>0.81823316171905</v>
      </c>
      <c r="R67" s="70" t="n">
        <v>0.462697125105973</v>
      </c>
      <c r="S67" s="70" t="n">
        <v>0.569905838913693</v>
      </c>
      <c r="T67" s="70" t="n">
        <v>0.705554737173085</v>
      </c>
      <c r="U67" s="70" t="n">
        <v>0.599272365508166</v>
      </c>
      <c r="V67" s="70" t="n">
        <v>0.489759272315286</v>
      </c>
      <c r="W67" s="70" t="n">
        <v>0.785257007070106</v>
      </c>
      <c r="X67" s="70" t="n">
        <v>0.634539126693169</v>
      </c>
      <c r="Y67" s="70" t="n">
        <v>0.472921960413752</v>
      </c>
    </row>
    <row r="68" customFormat="false" ht="15" hidden="false" customHeight="false" outlineLevel="0" collapsed="false">
      <c r="A68" s="0" t="s">
        <v>227</v>
      </c>
      <c r="B68" s="70" t="n">
        <v>0.633817361932326</v>
      </c>
      <c r="C68" s="70" t="n">
        <v>0.211700939793445</v>
      </c>
      <c r="D68" s="70" t="n">
        <v>0.154481698274229</v>
      </c>
      <c r="E68" s="70" t="n">
        <v>0.845518301725771</v>
      </c>
      <c r="F68" s="70" t="n">
        <v>0.788299060206555</v>
      </c>
      <c r="G68" s="70" t="n">
        <v>0.366182638067674</v>
      </c>
      <c r="H68" s="70" t="n">
        <v>0.936477213568855</v>
      </c>
      <c r="I68" s="70" t="n">
        <v>0.756909337624747</v>
      </c>
      <c r="J68" s="70" t="n">
        <v>0.515569988483493</v>
      </c>
      <c r="K68" s="70" t="n">
        <v>0.294239069373061</v>
      </c>
      <c r="L68" s="70" t="n">
        <v>0.484430011516507</v>
      </c>
      <c r="M68" s="70" t="n">
        <v>0.475883683960431</v>
      </c>
      <c r="N68" s="70" t="n">
        <v>0.524116316039569</v>
      </c>
      <c r="O68" s="70" t="n">
        <v>0.420907225085362</v>
      </c>
      <c r="P68" s="70" t="n">
        <v>0.642238144195795</v>
      </c>
      <c r="Q68" s="70" t="n">
        <v>0.793724304856651</v>
      </c>
      <c r="R68" s="70" t="n">
        <v>0.462670268251686</v>
      </c>
      <c r="S68" s="70" t="n">
        <v>0.614156428912542</v>
      </c>
      <c r="T68" s="70" t="n">
        <v>0.658406500671313</v>
      </c>
      <c r="U68" s="70" t="n">
        <v>0.546304311247149</v>
      </c>
      <c r="V68" s="70" t="n">
        <v>0.435065220726495</v>
      </c>
      <c r="W68" s="70" t="n">
        <v>0.711192835077302</v>
      </c>
      <c r="X68" s="70" t="n">
        <v>0.540236601459787</v>
      </c>
      <c r="Y68" s="70" t="n">
        <v>0.374648821520333</v>
      </c>
    </row>
    <row r="69" customFormat="false" ht="15" hidden="false" customHeight="false" outlineLevel="0" collapsed="false">
      <c r="A69" s="0" t="s">
        <v>228</v>
      </c>
      <c r="B69" s="70" t="n">
        <v>0.461009677352878</v>
      </c>
      <c r="C69" s="70" t="n">
        <v>0.250869873803684</v>
      </c>
      <c r="D69" s="70" t="n">
        <v>0.288120448843439</v>
      </c>
      <c r="E69" s="70" t="n">
        <v>0.711879551156562</v>
      </c>
      <c r="F69" s="70" t="n">
        <v>0.749130126196316</v>
      </c>
      <c r="G69" s="70" t="n">
        <v>0.538990322647122</v>
      </c>
      <c r="H69" s="70" t="n">
        <v>0.933189686879786</v>
      </c>
      <c r="I69" s="70" t="n">
        <v>0.747175887144364</v>
      </c>
      <c r="J69" s="70" t="n">
        <v>0.502676063596337</v>
      </c>
      <c r="K69" s="70" t="n">
        <v>0.282587428900334</v>
      </c>
      <c r="L69" s="70" t="n">
        <v>0.497323936403664</v>
      </c>
      <c r="M69" s="70" t="n">
        <v>0.535127577286278</v>
      </c>
      <c r="N69" s="70" t="n">
        <v>0.464872422713722</v>
      </c>
      <c r="O69" s="70" t="n">
        <v>0.430513623283449</v>
      </c>
      <c r="P69" s="70" t="n">
        <v>0.650602257979452</v>
      </c>
      <c r="Q69" s="70" t="n">
        <v>0.798332835461199</v>
      </c>
      <c r="R69" s="70" t="n">
        <v>0.464588458244031</v>
      </c>
      <c r="S69" s="70" t="n">
        <v>0.612319035725777</v>
      </c>
      <c r="T69" s="70" t="n">
        <v>0.581642223633706</v>
      </c>
      <c r="U69" s="70" t="n">
        <v>0.464127210309668</v>
      </c>
      <c r="V69" s="70" t="n">
        <v>0.35419394637162</v>
      </c>
      <c r="W69" s="70" t="n">
        <v>0.813468113624199</v>
      </c>
      <c r="X69" s="70" t="n">
        <v>0.673160274122585</v>
      </c>
      <c r="Y69" s="70" t="n">
        <v>0.516165212727976</v>
      </c>
    </row>
    <row r="70" customFormat="false" ht="15" hidden="false" customHeight="false" outlineLevel="0" collapsed="false">
      <c r="A70" s="0" t="s">
        <v>229</v>
      </c>
      <c r="B70" s="70" t="n">
        <v>0.47633065914055</v>
      </c>
      <c r="C70" s="70" t="n">
        <v>0.252837825049394</v>
      </c>
      <c r="D70" s="70" t="n">
        <v>0.270831515810055</v>
      </c>
      <c r="E70" s="70" t="n">
        <v>0.729168484189945</v>
      </c>
      <c r="F70" s="70" t="n">
        <v>0.747162174950606</v>
      </c>
      <c r="G70" s="70" t="n">
        <v>0.52366934085945</v>
      </c>
      <c r="H70" s="70" t="n">
        <v>0.927916593662331</v>
      </c>
      <c r="I70" s="70" t="n">
        <v>0.733171162620756</v>
      </c>
      <c r="J70" s="70" t="n">
        <v>0.484155207711208</v>
      </c>
      <c r="K70" s="70" t="n">
        <v>0.266242747828279</v>
      </c>
      <c r="L70" s="70" t="n">
        <v>0.515844792288792</v>
      </c>
      <c r="M70" s="70" t="n">
        <v>0.516465291965736</v>
      </c>
      <c r="N70" s="70" t="n">
        <v>0.483534708034264</v>
      </c>
      <c r="O70" s="70" t="n">
        <v>0.443761385951123</v>
      </c>
      <c r="P70" s="70" t="n">
        <v>0.661673845834052</v>
      </c>
      <c r="Q70" s="70" t="n">
        <v>0.803878603641571</v>
      </c>
      <c r="R70" s="70" t="n">
        <v>0.466928414792477</v>
      </c>
      <c r="S70" s="70" t="n">
        <v>0.609133172599996</v>
      </c>
      <c r="T70" s="70" t="n">
        <v>0.721897565649711</v>
      </c>
      <c r="U70" s="70" t="n">
        <v>0.618109444831015</v>
      </c>
      <c r="V70" s="70" t="n">
        <v>0.509713396774221</v>
      </c>
      <c r="W70" s="70" t="n">
        <v>0.653699719884862</v>
      </c>
      <c r="X70" s="70" t="n">
        <v>0.473130869102301</v>
      </c>
      <c r="Y70" s="70" t="n">
        <v>0.310569268853213</v>
      </c>
    </row>
    <row r="71" customFormat="false" ht="15" hidden="false" customHeight="false" outlineLevel="0" collapsed="false">
      <c r="A71" s="0" t="s">
        <v>230</v>
      </c>
      <c r="B71" s="70" t="n">
        <v>0.564030517973121</v>
      </c>
      <c r="C71" s="70" t="n">
        <v>0.221160150309844</v>
      </c>
      <c r="D71" s="70" t="n">
        <v>0.214809331717035</v>
      </c>
      <c r="E71" s="70" t="n">
        <v>0.785190668282965</v>
      </c>
      <c r="F71" s="70" t="n">
        <v>0.778839849690156</v>
      </c>
      <c r="G71" s="70" t="n">
        <v>0.435969482026879</v>
      </c>
      <c r="H71" s="70" t="n">
        <v>0.949446650438996</v>
      </c>
      <c r="I71" s="70" t="n">
        <v>0.793659691646755</v>
      </c>
      <c r="J71" s="70" t="n">
        <v>0.567929871254082</v>
      </c>
      <c r="K71" s="70" t="n">
        <v>0.343945360008054</v>
      </c>
      <c r="L71" s="70" t="n">
        <v>0.432070128745918</v>
      </c>
      <c r="M71" s="70" t="n">
        <v>0.557594923433604</v>
      </c>
      <c r="N71" s="70" t="n">
        <v>0.442405076566396</v>
      </c>
      <c r="O71" s="70" t="n">
        <v>0.381516779184915</v>
      </c>
      <c r="P71" s="70" t="n">
        <v>0.605501290430943</v>
      </c>
      <c r="Q71" s="70" t="n">
        <v>0.77128515142024</v>
      </c>
      <c r="R71" s="70" t="n">
        <v>0.449714331638701</v>
      </c>
      <c r="S71" s="70" t="n">
        <v>0.615498192627999</v>
      </c>
      <c r="T71" s="70" t="n">
        <v>0.705715569290759</v>
      </c>
      <c r="U71" s="70" t="n">
        <v>0.59945651208117</v>
      </c>
      <c r="V71" s="70" t="n">
        <v>0.489953039700225</v>
      </c>
      <c r="W71" s="70" t="n">
        <v>0.412501584051915</v>
      </c>
      <c r="X71" s="70" t="n">
        <v>0.238347169070871</v>
      </c>
      <c r="Y71" s="70" t="n">
        <v>0.122293030889655</v>
      </c>
    </row>
    <row r="72" customFormat="false" ht="15" hidden="false" customHeight="false" outlineLevel="0" collapsed="false">
      <c r="A72" s="0" t="s">
        <v>231</v>
      </c>
      <c r="B72" s="70" t="n">
        <v>0.43460291668005</v>
      </c>
      <c r="C72" s="70" t="n">
        <v>0.281465074144889</v>
      </c>
      <c r="D72" s="70" t="n">
        <v>0.283932009175062</v>
      </c>
      <c r="E72" s="70" t="n">
        <v>0.716067990824938</v>
      </c>
      <c r="F72" s="70" t="n">
        <v>0.718534925855111</v>
      </c>
      <c r="G72" s="70" t="n">
        <v>0.56539708331995</v>
      </c>
      <c r="H72" s="70" t="n">
        <v>0.89416206288488</v>
      </c>
      <c r="I72" s="70" t="n">
        <v>0.651475373367409</v>
      </c>
      <c r="J72" s="70" t="n">
        <v>0.38569080586405</v>
      </c>
      <c r="K72" s="70" t="n">
        <v>0.18685482681029</v>
      </c>
      <c r="L72" s="70" t="n">
        <v>0.61430919413595</v>
      </c>
      <c r="M72" s="70" t="n">
        <v>0.442958602803409</v>
      </c>
      <c r="N72" s="70" t="n">
        <v>0.557041397196591</v>
      </c>
      <c r="O72" s="70" t="n">
        <v>0.508471257020831</v>
      </c>
      <c r="P72" s="70" t="n">
        <v>0.70730723607459</v>
      </c>
      <c r="Q72" s="70" t="n">
        <v>0.818227419757298</v>
      </c>
      <c r="R72" s="70" t="n">
        <v>0.464620546557119</v>
      </c>
      <c r="S72" s="70" t="n">
        <v>0.575540730239827</v>
      </c>
      <c r="T72" s="70" t="n">
        <v>0.619228299644801</v>
      </c>
      <c r="U72" s="70" t="n">
        <v>0.503758904878997</v>
      </c>
      <c r="V72" s="70" t="n">
        <v>0.392601278430564</v>
      </c>
      <c r="W72" s="70" t="n">
        <v>0.778721974060138</v>
      </c>
      <c r="X72" s="70" t="n">
        <v>0.625821113468463</v>
      </c>
      <c r="Y72" s="70" t="n">
        <v>0.463411246170272</v>
      </c>
    </row>
    <row r="73" customFormat="false" ht="15" hidden="false" customHeight="false" outlineLevel="0" collapsed="false">
      <c r="A73" s="0" t="s">
        <v>232</v>
      </c>
      <c r="B73" s="70" t="n">
        <v>0.409262197705236</v>
      </c>
      <c r="C73" s="70" t="n">
        <v>0.260347362496456</v>
      </c>
      <c r="D73" s="70" t="n">
        <v>0.330390439798309</v>
      </c>
      <c r="E73" s="70" t="n">
        <v>0.669609560201692</v>
      </c>
      <c r="F73" s="70" t="n">
        <v>0.739652637503544</v>
      </c>
      <c r="G73" s="70" t="n">
        <v>0.590737802294765</v>
      </c>
      <c r="H73" s="70" t="n">
        <v>0.926579071877748</v>
      </c>
      <c r="I73" s="70" t="n">
        <v>0.729539397144922</v>
      </c>
      <c r="J73" s="70" t="n">
        <v>0.479487399801998</v>
      </c>
      <c r="K73" s="70" t="n">
        <v>0.262195856125749</v>
      </c>
      <c r="L73" s="70" t="n">
        <v>0.520512600198002</v>
      </c>
      <c r="M73" s="70" t="n">
        <v>0.524154698500133</v>
      </c>
      <c r="N73" s="70" t="n">
        <v>0.475845301499867</v>
      </c>
      <c r="O73" s="70" t="n">
        <v>0.44709167207575</v>
      </c>
      <c r="P73" s="70" t="n">
        <v>0.664383215752</v>
      </c>
      <c r="Q73" s="70" t="n">
        <v>0.805172443928332</v>
      </c>
      <c r="R73" s="70" t="n">
        <v>0.467343541019174</v>
      </c>
      <c r="S73" s="70" t="n">
        <v>0.608132769195506</v>
      </c>
      <c r="T73" s="70" t="n">
        <v>0.529708904329474</v>
      </c>
      <c r="U73" s="70" t="n">
        <v>0.411194704412555</v>
      </c>
      <c r="V73" s="70" t="n">
        <v>0.304605440154078</v>
      </c>
      <c r="W73" s="70" t="n">
        <v>0.641635763220269</v>
      </c>
      <c r="X73" s="70" t="n">
        <v>0.459656100345025</v>
      </c>
      <c r="Y73" s="70" t="n">
        <v>0.29826137857044</v>
      </c>
    </row>
    <row r="74" customFormat="false" ht="15" hidden="false" customHeight="false" outlineLevel="0" collapsed="false">
      <c r="A74" s="0" t="s">
        <v>233</v>
      </c>
      <c r="B74" s="70" t="n">
        <v>0.384725446429843</v>
      </c>
      <c r="C74" s="70" t="n">
        <v>0.274351942929105</v>
      </c>
      <c r="D74" s="70" t="n">
        <v>0.340922610641052</v>
      </c>
      <c r="E74" s="70" t="n">
        <v>0.659077389358947</v>
      </c>
      <c r="F74" s="70" t="n">
        <v>0.725648057070895</v>
      </c>
      <c r="G74" s="70" t="n">
        <v>0.615274553570157</v>
      </c>
      <c r="H74" s="70" t="n">
        <v>0.909273874013639</v>
      </c>
      <c r="I74" s="70" t="n">
        <v>0.686328707758169</v>
      </c>
      <c r="J74" s="70" t="n">
        <v>0.425874202020864</v>
      </c>
      <c r="K74" s="70" t="n">
        <v>0.217755842051092</v>
      </c>
      <c r="L74" s="70" t="n">
        <v>0.574125797979136</v>
      </c>
      <c r="M74" s="70" t="n">
        <v>0.482615294393247</v>
      </c>
      <c r="N74" s="70" t="n">
        <v>0.517384705606753</v>
      </c>
      <c r="O74" s="70" t="n">
        <v>0.483399671992775</v>
      </c>
      <c r="P74" s="70" t="n">
        <v>0.691518031962547</v>
      </c>
      <c r="Q74" s="70" t="n">
        <v>0.815510660319285</v>
      </c>
      <c r="R74" s="70" t="n">
        <v>0.468572865707078</v>
      </c>
      <c r="S74" s="70" t="n">
        <v>0.592565494063815</v>
      </c>
      <c r="T74" s="70" t="n">
        <v>0.636916951514003</v>
      </c>
      <c r="U74" s="70" t="n">
        <v>0.522808231276054</v>
      </c>
      <c r="V74" s="70" t="n">
        <v>0.411455013155716</v>
      </c>
      <c r="W74" s="70" t="n">
        <v>0.816168708077357</v>
      </c>
      <c r="X74" s="70" t="n">
        <v>0.676945493869342</v>
      </c>
      <c r="Y74" s="70" t="n">
        <v>0.520503777491119</v>
      </c>
    </row>
    <row r="75" customFormat="false" ht="15" hidden="false" customHeight="false" outlineLevel="0" collapsed="false">
      <c r="A75" s="0" t="s">
        <v>234</v>
      </c>
      <c r="B75" s="70" t="n">
        <v>0.621033556243381</v>
      </c>
      <c r="C75" s="70" t="n">
        <v>0.212247706539126</v>
      </c>
      <c r="D75" s="70" t="n">
        <v>0.166718737217494</v>
      </c>
      <c r="E75" s="70" t="n">
        <v>0.833281262782507</v>
      </c>
      <c r="F75" s="70" t="n">
        <v>0.787752293460875</v>
      </c>
      <c r="G75" s="70" t="n">
        <v>0.378966443756619</v>
      </c>
      <c r="H75" s="70" t="n">
        <v>0.94155412823252</v>
      </c>
      <c r="I75" s="70" t="n">
        <v>0.770996612456904</v>
      </c>
      <c r="J75" s="70" t="n">
        <v>0.535144464495277</v>
      </c>
      <c r="K75" s="70" t="n">
        <v>0.312367446176781</v>
      </c>
      <c r="L75" s="70" t="n">
        <v>0.464855535504723</v>
      </c>
      <c r="M75" s="70" t="n">
        <v>0.501073756540422</v>
      </c>
      <c r="N75" s="70" t="n">
        <v>0.498926243459578</v>
      </c>
      <c r="O75" s="70" t="n">
        <v>0.406409663737244</v>
      </c>
      <c r="P75" s="70" t="n">
        <v>0.629186682055739</v>
      </c>
      <c r="Q75" s="70" t="n">
        <v>0.786208567761444</v>
      </c>
      <c r="R75" s="70" t="n">
        <v>0.458629166280123</v>
      </c>
      <c r="S75" s="70" t="n">
        <v>0.615651051985828</v>
      </c>
      <c r="T75" s="70" t="n">
        <v>0.791475569446758</v>
      </c>
      <c r="U75" s="70" t="n">
        <v>0.701328992590888</v>
      </c>
      <c r="V75" s="70" t="n">
        <v>0.601217613306299</v>
      </c>
      <c r="W75" s="70" t="n">
        <v>0.565811086676582</v>
      </c>
      <c r="X75" s="70" t="n">
        <v>0.379393149339736</v>
      </c>
      <c r="Y75" s="70" t="n">
        <v>0.228734246350684</v>
      </c>
    </row>
    <row r="76" customFormat="false" ht="15" hidden="false" customHeight="false" outlineLevel="0" collapsed="false">
      <c r="A76" s="0" t="s">
        <v>235</v>
      </c>
      <c r="B76" s="70" t="n">
        <v>0.4868461579774</v>
      </c>
      <c r="C76" s="70" t="n">
        <v>0.269734450064841</v>
      </c>
      <c r="D76" s="70" t="n">
        <v>0.243419391957759</v>
      </c>
      <c r="E76" s="70" t="n">
        <v>0.756580608042241</v>
      </c>
      <c r="F76" s="70" t="n">
        <v>0.730265549935159</v>
      </c>
      <c r="G76" s="70" t="n">
        <v>0.5131538420226</v>
      </c>
      <c r="H76" s="70" t="n">
        <v>0.900917288754832</v>
      </c>
      <c r="I76" s="70" t="n">
        <v>0.666951856023304</v>
      </c>
      <c r="J76" s="70" t="n">
        <v>0.403146009840653</v>
      </c>
      <c r="K76" s="70" t="n">
        <v>0.200028310616942</v>
      </c>
      <c r="L76" s="70" t="n">
        <v>0.596853990159348</v>
      </c>
      <c r="M76" s="70" t="n">
        <v>0.445065720633014</v>
      </c>
      <c r="N76" s="70" t="n">
        <v>0.554934279366987</v>
      </c>
      <c r="O76" s="70" t="n">
        <v>0.497771278914179</v>
      </c>
      <c r="P76" s="70" t="n">
        <v>0.70088897813789</v>
      </c>
      <c r="Q76" s="70" t="n">
        <v>0.817525625138665</v>
      </c>
      <c r="R76" s="70" t="n">
        <v>0.466923545406363</v>
      </c>
      <c r="S76" s="70" t="n">
        <v>0.583560192407137</v>
      </c>
      <c r="T76" s="70" t="n">
        <v>0.627106938228935</v>
      </c>
      <c r="U76" s="70" t="n">
        <v>0.512211585278339</v>
      </c>
      <c r="V76" s="70" t="n">
        <v>0.400935503366812</v>
      </c>
      <c r="W76" s="70" t="n">
        <v>0.835174148250953</v>
      </c>
      <c r="X76" s="70" t="n">
        <v>0.70405047789664</v>
      </c>
      <c r="Y76" s="70" t="n">
        <v>0.55211760496593</v>
      </c>
    </row>
    <row r="77" customFormat="false" ht="15" hidden="false" customHeight="false" outlineLevel="0" collapsed="false">
      <c r="A77" s="0" t="s">
        <v>236</v>
      </c>
      <c r="B77" s="70" t="n">
        <v>0.607499625661995</v>
      </c>
      <c r="C77" s="70" t="n">
        <v>0.209152407511355</v>
      </c>
      <c r="D77" s="70" t="n">
        <v>0.18334796682665</v>
      </c>
      <c r="E77" s="70" t="n">
        <v>0.81665203317335</v>
      </c>
      <c r="F77" s="70" t="n">
        <v>0.790847592488645</v>
      </c>
      <c r="G77" s="70" t="n">
        <v>0.392500374338005</v>
      </c>
      <c r="H77" s="70" t="n">
        <v>0.951459440364575</v>
      </c>
      <c r="I77" s="70" t="n">
        <v>0.79991799297507</v>
      </c>
      <c r="J77" s="70" t="n">
        <v>0.577160704707041</v>
      </c>
      <c r="K77" s="70" t="n">
        <v>0.353117107565124</v>
      </c>
      <c r="L77" s="70" t="n">
        <v>0.422839295292959</v>
      </c>
      <c r="M77" s="70" t="n">
        <v>0.545385015443542</v>
      </c>
      <c r="N77" s="70" t="n">
        <v>0.454614984556458</v>
      </c>
      <c r="O77" s="70" t="n">
        <v>0.374298735657533</v>
      </c>
      <c r="P77" s="70" t="n">
        <v>0.59834233279945</v>
      </c>
      <c r="Q77" s="70" t="n">
        <v>0.766463639594856</v>
      </c>
      <c r="R77" s="70" t="n">
        <v>0.446800885409946</v>
      </c>
      <c r="S77" s="70" t="n">
        <v>0.614922192205351</v>
      </c>
      <c r="T77" s="70" t="n">
        <v>0.695643695212541</v>
      </c>
      <c r="U77" s="70" t="n">
        <v>0.587971042161231</v>
      </c>
      <c r="V77" s="70" t="n">
        <v>0.477916106394748</v>
      </c>
      <c r="W77" s="70" t="n">
        <v>0.738470410062098</v>
      </c>
      <c r="X77" s="70" t="n">
        <v>0.573864146011185</v>
      </c>
      <c r="Y77" s="70" t="n">
        <v>0.408553101678445</v>
      </c>
    </row>
    <row r="78" customFormat="false" ht="15" hidden="false" customHeight="false" outlineLevel="0" collapsed="false">
      <c r="A78" s="0" t="s">
        <v>237</v>
      </c>
      <c r="B78" s="70" t="n">
        <v>0.495364724417786</v>
      </c>
      <c r="C78" s="70" t="n">
        <v>0.262635362042403</v>
      </c>
      <c r="D78" s="70" t="n">
        <v>0.241999913539811</v>
      </c>
      <c r="E78" s="70" t="n">
        <v>0.758000086460189</v>
      </c>
      <c r="F78" s="70" t="n">
        <v>0.737364637957597</v>
      </c>
      <c r="G78" s="70" t="n">
        <v>0.504635275582214</v>
      </c>
      <c r="H78" s="70" t="n">
        <v>0.909496353694222</v>
      </c>
      <c r="I78" s="70" t="n">
        <v>0.687108852065722</v>
      </c>
      <c r="J78" s="70" t="n">
        <v>0.426716421581789</v>
      </c>
      <c r="K78" s="70" t="n">
        <v>0.218425232469351</v>
      </c>
      <c r="L78" s="70" t="n">
        <v>0.573283578418211</v>
      </c>
      <c r="M78" s="70" t="n">
        <v>0.462764286656838</v>
      </c>
      <c r="N78" s="70" t="n">
        <v>0.537235713343162</v>
      </c>
      <c r="O78" s="70" t="n">
        <v>0.482779932112433</v>
      </c>
      <c r="P78" s="70" t="n">
        <v>0.691071121224871</v>
      </c>
      <c r="Q78" s="70" t="n">
        <v>0.815334192867596</v>
      </c>
      <c r="R78" s="70" t="n">
        <v>0.468683619596372</v>
      </c>
      <c r="S78" s="70" t="n">
        <v>0.592946691239096</v>
      </c>
      <c r="T78" s="70" t="n">
        <v>0.578064287231772</v>
      </c>
      <c r="U78" s="70" t="n">
        <v>0.460413254279011</v>
      </c>
      <c r="V78" s="70" t="n">
        <v>0.350650977466178</v>
      </c>
      <c r="W78" s="70" t="n">
        <v>0.778888642858082</v>
      </c>
      <c r="X78" s="70" t="n">
        <v>0.626042432624342</v>
      </c>
      <c r="Y78" s="70" t="n">
        <v>0.463651575250096</v>
      </c>
    </row>
    <row r="79" customFormat="false" ht="15" hidden="false" customHeight="false" outlineLevel="0" collapsed="false">
      <c r="A79" s="0" t="s">
        <v>238</v>
      </c>
      <c r="B79" s="70" t="n">
        <v>0.526040686642669</v>
      </c>
      <c r="C79" s="70" t="n">
        <v>0.237840850811097</v>
      </c>
      <c r="D79" s="70" t="n">
        <v>0.236118462546234</v>
      </c>
      <c r="E79" s="70" t="n">
        <v>0.763881537453765</v>
      </c>
      <c r="F79" s="70" t="n">
        <v>0.762159149188903</v>
      </c>
      <c r="G79" s="70" t="n">
        <v>0.473959313357331</v>
      </c>
      <c r="H79" s="70" t="n">
        <v>0.937378737146411</v>
      </c>
      <c r="I79" s="70" t="n">
        <v>0.758832386795132</v>
      </c>
      <c r="J79" s="70" t="n">
        <v>0.518410362731073</v>
      </c>
      <c r="K79" s="70" t="n">
        <v>0.296837688306722</v>
      </c>
      <c r="L79" s="70" t="n">
        <v>0.481589637268927</v>
      </c>
      <c r="M79" s="70" t="n">
        <v>0.530267302887112</v>
      </c>
      <c r="N79" s="70" t="n">
        <v>0.469732697112888</v>
      </c>
      <c r="O79" s="70" t="n">
        <v>0.418968374415337</v>
      </c>
      <c r="P79" s="70" t="n">
        <v>0.640541048839689</v>
      </c>
      <c r="Q79" s="70" t="n">
        <v>0.792842002562072</v>
      </c>
      <c r="R79" s="70" t="n">
        <v>0.46199469848841</v>
      </c>
      <c r="S79" s="70" t="n">
        <v>0.614295652210794</v>
      </c>
      <c r="T79" s="70" t="n">
        <v>0.639342585513536</v>
      </c>
      <c r="U79" s="70" t="n">
        <v>0.525440765579837</v>
      </c>
      <c r="V79" s="70" t="n">
        <v>0.414080737371302</v>
      </c>
      <c r="W79" s="70" t="n">
        <v>0.681789300775775</v>
      </c>
      <c r="X79" s="70" t="n">
        <v>0.50530435593995</v>
      </c>
      <c r="Y79" s="70" t="n">
        <v>0.340707568750832</v>
      </c>
    </row>
    <row r="80" customFormat="false" ht="15" hidden="false" customHeight="false" outlineLevel="0" collapsed="false">
      <c r="A80" s="0" t="s">
        <v>239</v>
      </c>
      <c r="B80" s="70" t="n">
        <v>0.251137103882167</v>
      </c>
      <c r="C80" s="70" t="n">
        <v>0.258344646651702</v>
      </c>
      <c r="D80" s="70" t="n">
        <v>0.490518249466131</v>
      </c>
      <c r="E80" s="70" t="n">
        <v>0.50948175053387</v>
      </c>
      <c r="F80" s="70" t="n">
        <v>0.741655353348298</v>
      </c>
      <c r="G80" s="70" t="n">
        <v>0.748862896117833</v>
      </c>
      <c r="H80" s="70" t="n">
        <v>0.917076652969214</v>
      </c>
      <c r="I80" s="70" t="n">
        <v>0.705558834157316</v>
      </c>
      <c r="J80" s="70" t="n">
        <v>0.449110525660203</v>
      </c>
      <c r="K80" s="70" t="n">
        <v>0.236559216131961</v>
      </c>
      <c r="L80" s="70" t="n">
        <v>0.550889474339797</v>
      </c>
      <c r="M80" s="70" t="n">
        <v>0.483325354102893</v>
      </c>
      <c r="N80" s="70" t="n">
        <v>0.516674645897107</v>
      </c>
      <c r="O80" s="70" t="n">
        <v>0.467966127309011</v>
      </c>
      <c r="P80" s="70" t="n">
        <v>0.680517436837253</v>
      </c>
      <c r="Q80" s="70" t="n">
        <v>0.811900149705938</v>
      </c>
      <c r="R80" s="70" t="n">
        <v>0.468999618025355</v>
      </c>
      <c r="S80" s="70" t="n">
        <v>0.60038233089404</v>
      </c>
      <c r="T80" s="70" t="n">
        <v>0.640118766941447</v>
      </c>
      <c r="U80" s="70" t="n">
        <v>0.526284197187452</v>
      </c>
      <c r="V80" s="70" t="n">
        <v>0.414923029390592</v>
      </c>
      <c r="W80" s="70" t="n">
        <v>0.643336878477862</v>
      </c>
      <c r="X80" s="70" t="n">
        <v>0.461543952367955</v>
      </c>
      <c r="Y80" s="70" t="n">
        <v>0.29997464511616</v>
      </c>
    </row>
    <row r="81" customFormat="false" ht="15" hidden="false" customHeight="false" outlineLevel="0" collapsed="false">
      <c r="A81" s="0" t="s">
        <v>240</v>
      </c>
      <c r="B81" s="70" t="n">
        <v>0.476039001962594</v>
      </c>
      <c r="C81" s="70" t="n">
        <v>0.254996214901869</v>
      </c>
      <c r="D81" s="70" t="n">
        <v>0.268964783135538</v>
      </c>
      <c r="E81" s="70" t="n">
        <v>0.731035216864463</v>
      </c>
      <c r="F81" s="70" t="n">
        <v>0.745003785098131</v>
      </c>
      <c r="G81" s="70" t="n">
        <v>0.523960998037407</v>
      </c>
      <c r="H81" s="70" t="n">
        <v>0.924982389339206</v>
      </c>
      <c r="I81" s="70" t="n">
        <v>0.725528936761751</v>
      </c>
      <c r="J81" s="70" t="n">
        <v>0.474271112347176</v>
      </c>
      <c r="K81" s="70" t="n">
        <v>0.257707405408859</v>
      </c>
      <c r="L81" s="70" t="n">
        <v>0.525728887652824</v>
      </c>
      <c r="M81" s="70" t="n">
        <v>0.508346551426494</v>
      </c>
      <c r="N81" s="70" t="n">
        <v>0.491653448573506</v>
      </c>
      <c r="O81" s="70" t="n">
        <v>0.45071127699203</v>
      </c>
      <c r="P81" s="70" t="n">
        <v>0.667274983930347</v>
      </c>
      <c r="Q81" s="70" t="n">
        <v>0.806472465331955</v>
      </c>
      <c r="R81" s="70" t="n">
        <v>0.467821531352892</v>
      </c>
      <c r="S81" s="70" t="n">
        <v>0.607019012754501</v>
      </c>
      <c r="T81" s="70" t="n">
        <v>0.692114904769456</v>
      </c>
      <c r="U81" s="70" t="n">
        <v>0.583969121649149</v>
      </c>
      <c r="V81" s="70" t="n">
        <v>0.47374513206352</v>
      </c>
      <c r="W81" s="70" t="n">
        <v>0.714849517851255</v>
      </c>
      <c r="X81" s="70" t="n">
        <v>0.54467451461961</v>
      </c>
      <c r="Y81" s="70" t="n">
        <v>0.379053292530469</v>
      </c>
    </row>
    <row r="82" customFormat="false" ht="15" hidden="false" customHeight="false" outlineLevel="0" collapsed="false">
      <c r="A82" s="0" t="s">
        <v>241</v>
      </c>
      <c r="B82" s="70" t="n">
        <v>0.561107830937974</v>
      </c>
      <c r="C82" s="70" t="n">
        <v>0.246092514258452</v>
      </c>
      <c r="D82" s="70" t="n">
        <v>0.192799654803574</v>
      </c>
      <c r="E82" s="70" t="n">
        <v>0.807200345196426</v>
      </c>
      <c r="F82" s="70" t="n">
        <v>0.753907485741548</v>
      </c>
      <c r="G82" s="70" t="n">
        <v>0.438892169062026</v>
      </c>
      <c r="H82" s="70" t="n">
        <v>0.913714273984516</v>
      </c>
      <c r="I82" s="70" t="n">
        <v>0.697601852320267</v>
      </c>
      <c r="J82" s="70" t="n">
        <v>0.439246005560194</v>
      </c>
      <c r="K82" s="70" t="n">
        <v>0.228491799081158</v>
      </c>
      <c r="L82" s="70" t="n">
        <v>0.560753994439806</v>
      </c>
      <c r="M82" s="70" t="n">
        <v>0.447973894068609</v>
      </c>
      <c r="N82" s="70" t="n">
        <v>0.552026105931391</v>
      </c>
      <c r="O82" s="70" t="n">
        <v>0.474468268424322</v>
      </c>
      <c r="P82" s="70" t="n">
        <v>0.685222474903359</v>
      </c>
      <c r="Q82" s="70" t="n">
        <v>0.813486283268034</v>
      </c>
      <c r="R82" s="70" t="n">
        <v>0.46911005323911</v>
      </c>
      <c r="S82" s="70" t="n">
        <v>0.597373861603785</v>
      </c>
      <c r="T82" s="70" t="n">
        <v>0.575344488313979</v>
      </c>
      <c r="U82" s="70" t="n">
        <v>0.457596791641671</v>
      </c>
      <c r="V82" s="70" t="n">
        <v>0.347970590353074</v>
      </c>
      <c r="W82" s="70" t="n">
        <v>0.787402543998777</v>
      </c>
      <c r="X82" s="70" t="n">
        <v>0.637419513082182</v>
      </c>
      <c r="Y82" s="70" t="n">
        <v>0.476084154178383</v>
      </c>
    </row>
    <row r="83" customFormat="false" ht="15" hidden="false" customHeight="false" outlineLevel="0" collapsed="false">
      <c r="A83" s="0" t="s">
        <v>242</v>
      </c>
      <c r="B83" s="70" t="n">
        <v>0.472840254933894</v>
      </c>
      <c r="C83" s="70" t="n">
        <v>0.259237381684227</v>
      </c>
      <c r="D83" s="70" t="n">
        <v>0.267922363381879</v>
      </c>
      <c r="E83" s="70" t="n">
        <v>0.732077636618121</v>
      </c>
      <c r="F83" s="70" t="n">
        <v>0.740762618315773</v>
      </c>
      <c r="G83" s="70" t="n">
        <v>0.527159745066106</v>
      </c>
      <c r="H83" s="70" t="n">
        <v>0.919637648601053</v>
      </c>
      <c r="I83" s="70" t="n">
        <v>0.711898568986548</v>
      </c>
      <c r="J83" s="70" t="n">
        <v>0.457007738244829</v>
      </c>
      <c r="K83" s="70" t="n">
        <v>0.243108209018052</v>
      </c>
      <c r="L83" s="70" t="n">
        <v>0.542992261755171</v>
      </c>
      <c r="M83" s="70" t="n">
        <v>0.49476544140954</v>
      </c>
      <c r="N83" s="70" t="n">
        <v>0.50523455859046</v>
      </c>
      <c r="O83" s="70" t="n">
        <v>0.462629910356224</v>
      </c>
      <c r="P83" s="70" t="n">
        <v>0.676529439583001</v>
      </c>
      <c r="Q83" s="70" t="n">
        <v>0.810387873219712</v>
      </c>
      <c r="R83" s="70" t="n">
        <v>0.468790359968496</v>
      </c>
      <c r="S83" s="70" t="n">
        <v>0.602648793605207</v>
      </c>
      <c r="T83" s="70" t="n">
        <v>0.690149655416064</v>
      </c>
      <c r="U83" s="70" t="n">
        <v>0.581745310198941</v>
      </c>
      <c r="V83" s="70" t="n">
        <v>0.471432510727989</v>
      </c>
      <c r="W83" s="70" t="n">
        <v>0.713574375125023</v>
      </c>
      <c r="X83" s="70" t="n">
        <v>0.543124533525109</v>
      </c>
      <c r="Y83" s="70" t="n">
        <v>0.37751259736611</v>
      </c>
    </row>
    <row r="84" customFormat="false" ht="15" hidden="false" customHeight="false" outlineLevel="0" collapsed="false">
      <c r="A84" s="0" t="s">
        <v>243</v>
      </c>
      <c r="B84" s="70" t="n">
        <v>0.467958923516958</v>
      </c>
      <c r="C84" s="70" t="n">
        <v>0.251622884044523</v>
      </c>
      <c r="D84" s="70" t="n">
        <v>0.28041819243852</v>
      </c>
      <c r="E84" s="70" t="n">
        <v>0.71958180756148</v>
      </c>
      <c r="F84" s="70" t="n">
        <v>0.748377115955477</v>
      </c>
      <c r="G84" s="70" t="n">
        <v>0.532041076483043</v>
      </c>
      <c r="H84" s="70" t="n">
        <v>0.931069393912036</v>
      </c>
      <c r="I84" s="70" t="n">
        <v>0.741496020420697</v>
      </c>
      <c r="J84" s="70" t="n">
        <v>0.495101926078863</v>
      </c>
      <c r="K84" s="70" t="n">
        <v>0.2758475382803</v>
      </c>
      <c r="L84" s="70" t="n">
        <v>0.504898073921137</v>
      </c>
      <c r="M84" s="70" t="n">
        <v>0.527447006264652</v>
      </c>
      <c r="N84" s="70" t="n">
        <v>0.472552993735348</v>
      </c>
      <c r="O84" s="70" t="n">
        <v>0.435967467833173</v>
      </c>
      <c r="P84" s="70" t="n">
        <v>0.655221855631736</v>
      </c>
      <c r="Q84" s="70" t="n">
        <v>0.800710738168361</v>
      </c>
      <c r="R84" s="70" t="n">
        <v>0.465648482140398</v>
      </c>
      <c r="S84" s="70" t="n">
        <v>0.611137364677023</v>
      </c>
      <c r="T84" s="70" t="n">
        <v>0.595784595040888</v>
      </c>
      <c r="U84" s="70" t="n">
        <v>0.478906344123581</v>
      </c>
      <c r="V84" s="70" t="n">
        <v>0.368387988014554</v>
      </c>
      <c r="W84" s="70" t="n">
        <v>0.811731823027111</v>
      </c>
      <c r="X84" s="70" t="n">
        <v>0.670735065424946</v>
      </c>
      <c r="Y84" s="70" t="n">
        <v>0.513395091981729</v>
      </c>
    </row>
    <row r="85" customFormat="false" ht="15" hidden="false" customHeight="false" outlineLevel="0" collapsed="false">
      <c r="A85" s="0" t="s">
        <v>244</v>
      </c>
      <c r="B85" s="70" t="n">
        <v>0.570232177381576</v>
      </c>
      <c r="C85" s="70" t="n">
        <v>0.228519664863641</v>
      </c>
      <c r="D85" s="70" t="n">
        <v>0.201248157754783</v>
      </c>
      <c r="E85" s="70" t="n">
        <v>0.798751842245217</v>
      </c>
      <c r="F85" s="70" t="n">
        <v>0.771480335136359</v>
      </c>
      <c r="G85" s="70" t="n">
        <v>0.429767822618424</v>
      </c>
      <c r="H85" s="70" t="n">
        <v>0.93724714599429</v>
      </c>
      <c r="I85" s="70" t="n">
        <v>0.758661450328019</v>
      </c>
      <c r="J85" s="70" t="n">
        <v>0.518105278463434</v>
      </c>
      <c r="K85" s="70" t="n">
        <v>0.296557847521516</v>
      </c>
      <c r="L85" s="70" t="n">
        <v>0.481894721536566</v>
      </c>
      <c r="M85" s="70" t="n">
        <v>0.512403756353808</v>
      </c>
      <c r="N85" s="70" t="n">
        <v>0.487596243646192</v>
      </c>
      <c r="O85" s="70" t="n">
        <v>0.419141867530856</v>
      </c>
      <c r="P85" s="70" t="n">
        <v>0.640689298472775</v>
      </c>
      <c r="Q85" s="70" t="n">
        <v>0.792903145804836</v>
      </c>
      <c r="R85" s="70" t="n">
        <v>0.462103602806503</v>
      </c>
      <c r="S85" s="70" t="n">
        <v>0.614317450138565</v>
      </c>
      <c r="T85" s="70" t="n">
        <v>0.565321682273555</v>
      </c>
      <c r="U85" s="70" t="n">
        <v>0.447267734153972</v>
      </c>
      <c r="V85" s="70" t="n">
        <v>0.338187854544417</v>
      </c>
      <c r="W85" s="70" t="n">
        <v>0.640929851044003</v>
      </c>
      <c r="X85" s="70" t="n">
        <v>0.458873865184827</v>
      </c>
      <c r="Y85" s="70" t="n">
        <v>0.297552541152692</v>
      </c>
    </row>
    <row r="86" customFormat="false" ht="15" hidden="false" customHeight="false" outlineLevel="0" collapsed="false">
      <c r="A86" s="0" t="s">
        <v>245</v>
      </c>
      <c r="B86" s="70" t="n">
        <v>0.529264446484816</v>
      </c>
      <c r="C86" s="70" t="n">
        <v>0.238583431831998</v>
      </c>
      <c r="D86" s="70" t="n">
        <v>0.232152121683186</v>
      </c>
      <c r="E86" s="70" t="n">
        <v>0.767847878316815</v>
      </c>
      <c r="F86" s="70" t="n">
        <v>0.761416568168002</v>
      </c>
      <c r="G86" s="70" t="n">
        <v>0.470735553515184</v>
      </c>
      <c r="H86" s="70" t="n">
        <v>0.935493694631558</v>
      </c>
      <c r="I86" s="70" t="n">
        <v>0.753656764330793</v>
      </c>
      <c r="J86" s="70" t="n">
        <v>0.511340573361787</v>
      </c>
      <c r="K86" s="70" t="n">
        <v>0.290392722673895</v>
      </c>
      <c r="L86" s="70" t="n">
        <v>0.488659426638213</v>
      </c>
      <c r="M86" s="70" t="n">
        <v>0.523197700898735</v>
      </c>
      <c r="N86" s="70" t="n">
        <v>0.476802299101265</v>
      </c>
      <c r="O86" s="70" t="n">
        <v>0.424153121269771</v>
      </c>
      <c r="P86" s="70" t="n">
        <v>0.645100971957663</v>
      </c>
      <c r="Q86" s="70" t="n">
        <v>0.795363508730971</v>
      </c>
      <c r="R86" s="70" t="n">
        <v>0.463264041656898</v>
      </c>
      <c r="S86" s="70" t="n">
        <v>0.613526578430206</v>
      </c>
      <c r="T86" s="70" t="n">
        <v>0.576216726331783</v>
      </c>
      <c r="U86" s="70" t="n">
        <v>0.458499397229968</v>
      </c>
      <c r="V86" s="70" t="n">
        <v>0.348828985423878</v>
      </c>
      <c r="W86" s="70" t="n">
        <v>0.80012419518429</v>
      </c>
      <c r="X86" s="70" t="n">
        <v>0.654687423309011</v>
      </c>
      <c r="Y86" s="70" t="n">
        <v>0.495251927730329</v>
      </c>
    </row>
    <row r="87" customFormat="false" ht="15" hidden="false" customHeight="false" outlineLevel="0" collapsed="false">
      <c r="A87" s="0" t="s">
        <v>246</v>
      </c>
      <c r="B87" s="70" t="n">
        <v>0.153956677898085</v>
      </c>
      <c r="C87" s="70" t="n">
        <v>0.212181613505321</v>
      </c>
      <c r="D87" s="70" t="n">
        <v>0.633861708596595</v>
      </c>
      <c r="E87" s="70" t="n">
        <v>0.366138291403406</v>
      </c>
      <c r="F87" s="70" t="n">
        <v>0.787818386494679</v>
      </c>
      <c r="G87" s="70" t="n">
        <v>0.846043322101916</v>
      </c>
      <c r="H87" s="70" t="n">
        <v>0.935686790634043</v>
      </c>
      <c r="I87" s="70" t="n">
        <v>0.754742111857006</v>
      </c>
      <c r="J87" s="70" t="n">
        <v>0.512612939713594</v>
      </c>
      <c r="K87" s="70" t="n">
        <v>0.291546582899524</v>
      </c>
      <c r="L87" s="70" t="n">
        <v>0.487387060286406</v>
      </c>
      <c r="M87" s="70" t="n">
        <v>0.473202399823418</v>
      </c>
      <c r="N87" s="70" t="n">
        <v>0.526797600176583</v>
      </c>
      <c r="O87" s="70" t="n">
        <v>0.423073850920449</v>
      </c>
      <c r="P87" s="70" t="n">
        <v>0.644140207734519</v>
      </c>
      <c r="Q87" s="70" t="n">
        <v>0.794772546549076</v>
      </c>
      <c r="R87" s="70" t="n">
        <v>0.463195528957483</v>
      </c>
      <c r="S87" s="70" t="n">
        <v>0.61382786777204</v>
      </c>
      <c r="T87" s="70" t="n">
        <v>0.695098933174328</v>
      </c>
      <c r="U87" s="70" t="n">
        <v>0.587352495083448</v>
      </c>
      <c r="V87" s="70" t="n">
        <v>0.477270653035658</v>
      </c>
      <c r="W87" s="70" t="n">
        <v>0.563368461813717</v>
      </c>
      <c r="X87" s="70" t="n">
        <v>0.376929230010243</v>
      </c>
      <c r="Y87" s="70" t="n">
        <v>0.22670179980529</v>
      </c>
    </row>
    <row r="88" customFormat="false" ht="15" hidden="false" customHeight="false" outlineLevel="0" collapsed="false">
      <c r="A88" s="0" t="s">
        <v>247</v>
      </c>
      <c r="B88" s="70" t="n">
        <v>0.476731662111688</v>
      </c>
      <c r="C88" s="70" t="n">
        <v>0.26577471489324</v>
      </c>
      <c r="D88" s="70" t="n">
        <v>0.257493622995072</v>
      </c>
      <c r="E88" s="70" t="n">
        <v>0.742506377004928</v>
      </c>
      <c r="F88" s="70" t="n">
        <v>0.73422528510676</v>
      </c>
      <c r="G88" s="70" t="n">
        <v>0.523268337888312</v>
      </c>
      <c r="H88" s="70" t="n">
        <v>0.909324810557463</v>
      </c>
      <c r="I88" s="70" t="n">
        <v>0.686633060933326</v>
      </c>
      <c r="J88" s="70" t="n">
        <v>0.426172458642485</v>
      </c>
      <c r="K88" s="70" t="n">
        <v>0.217992757928671</v>
      </c>
      <c r="L88" s="70" t="n">
        <v>0.573827541357515</v>
      </c>
      <c r="M88" s="70" t="n">
        <v>0.467756718010159</v>
      </c>
      <c r="N88" s="70" t="n">
        <v>0.532243281989842</v>
      </c>
      <c r="O88" s="70" t="n">
        <v>0.483152351914978</v>
      </c>
      <c r="P88" s="70" t="n">
        <v>0.691332052628792</v>
      </c>
      <c r="Q88" s="70" t="n">
        <v>0.815420504773993</v>
      </c>
      <c r="R88" s="70" t="n">
        <v>0.468640303004655</v>
      </c>
      <c r="S88" s="70" t="n">
        <v>0.592728755149856</v>
      </c>
      <c r="T88" s="70" t="n">
        <v>0.567512033831305</v>
      </c>
      <c r="U88" s="70" t="n">
        <v>0.44951832083288</v>
      </c>
      <c r="V88" s="70" t="n">
        <v>0.340313074753156</v>
      </c>
      <c r="W88" s="70" t="n">
        <v>0.882608491930848</v>
      </c>
      <c r="X88" s="70" t="n">
        <v>0.775702587904814</v>
      </c>
      <c r="Y88" s="70" t="n">
        <v>0.640681329364429</v>
      </c>
    </row>
    <row r="89" customFormat="false" ht="15" hidden="false" customHeight="false" outlineLevel="0" collapsed="false">
      <c r="A89" s="0" t="s">
        <v>248</v>
      </c>
      <c r="B89" s="70" t="n">
        <v>0.204689724287008</v>
      </c>
      <c r="C89" s="70" t="n">
        <v>0.218944244685762</v>
      </c>
      <c r="D89" s="70" t="n">
        <v>0.57636603102723</v>
      </c>
      <c r="E89" s="70" t="n">
        <v>0.42363396897277</v>
      </c>
      <c r="F89" s="70" t="n">
        <v>0.781055755314238</v>
      </c>
      <c r="G89" s="70" t="n">
        <v>0.795310275712992</v>
      </c>
      <c r="H89" s="70" t="n">
        <v>0.94867081579789</v>
      </c>
      <c r="I89" s="70" t="n">
        <v>0.791403521355261</v>
      </c>
      <c r="J89" s="70" t="n">
        <v>0.564585162467323</v>
      </c>
      <c r="K89" s="70" t="n">
        <v>0.340652636989482</v>
      </c>
      <c r="L89" s="70" t="n">
        <v>0.435414837532678</v>
      </c>
      <c r="M89" s="70" t="n">
        <v>0.549480123685872</v>
      </c>
      <c r="N89" s="70" t="n">
        <v>0.450519876314128</v>
      </c>
      <c r="O89" s="70" t="n">
        <v>0.384085653330567</v>
      </c>
      <c r="P89" s="70" t="n">
        <v>0.608018178808407</v>
      </c>
      <c r="Q89" s="70" t="n">
        <v>0.772940559387439</v>
      </c>
      <c r="R89" s="70" t="n">
        <v>0.450750884365778</v>
      </c>
      <c r="S89" s="70" t="n">
        <v>0.61567326494481</v>
      </c>
      <c r="T89" s="70" t="n">
        <v>0.628932332842034</v>
      </c>
      <c r="U89" s="70" t="n">
        <v>0.514177291425006</v>
      </c>
      <c r="V89" s="70" t="n">
        <v>0.402880893342012</v>
      </c>
      <c r="W89" s="70" t="n">
        <v>0.696253332684173</v>
      </c>
      <c r="X89" s="70" t="n">
        <v>0.522322958279957</v>
      </c>
      <c r="Y89" s="70" t="n">
        <v>0.357083024045411</v>
      </c>
    </row>
    <row r="90" customFormat="false" ht="15" hidden="false" customHeight="false" outlineLevel="0" collapsed="false">
      <c r="A90" s="0" t="s">
        <v>249</v>
      </c>
      <c r="B90" s="70" t="n">
        <v>0.440231034863097</v>
      </c>
      <c r="C90" s="70" t="n">
        <v>0.280404026988705</v>
      </c>
      <c r="D90" s="70" t="n">
        <v>0.279364938148197</v>
      </c>
      <c r="E90" s="70" t="n">
        <v>0.720635061851803</v>
      </c>
      <c r="F90" s="70" t="n">
        <v>0.719595973011295</v>
      </c>
      <c r="G90" s="70" t="n">
        <v>0.559768965136903</v>
      </c>
      <c r="H90" s="70" t="n">
        <v>0.894808687981662</v>
      </c>
      <c r="I90" s="70" t="n">
        <v>0.652936224767377</v>
      </c>
      <c r="J90" s="70" t="n">
        <v>0.387317358672917</v>
      </c>
      <c r="K90" s="70" t="n">
        <v>0.188066297529952</v>
      </c>
      <c r="L90" s="70" t="n">
        <v>0.612682641327083</v>
      </c>
      <c r="M90" s="70" t="n">
        <v>0.443247118714511</v>
      </c>
      <c r="N90" s="70" t="n">
        <v>0.556752881285489</v>
      </c>
      <c r="O90" s="70" t="n">
        <v>0.507491329308745</v>
      </c>
      <c r="P90" s="70" t="n">
        <v>0.706742390451711</v>
      </c>
      <c r="Q90" s="70" t="n">
        <v>0.818197312008934</v>
      </c>
      <c r="R90" s="70" t="n">
        <v>0.464869927237426</v>
      </c>
      <c r="S90" s="70" t="n">
        <v>0.576324848794648</v>
      </c>
      <c r="T90" s="70" t="n">
        <v>0.605224504825866</v>
      </c>
      <c r="U90" s="70" t="n">
        <v>0.488860111600654</v>
      </c>
      <c r="V90" s="70" t="n">
        <v>0.378033719870618</v>
      </c>
      <c r="W90" s="70" t="n">
        <v>0.835917944206466</v>
      </c>
      <c r="X90" s="70" t="n">
        <v>0.705128438939777</v>
      </c>
      <c r="Y90" s="70" t="n">
        <v>0.553395146385292</v>
      </c>
    </row>
    <row r="91" customFormat="false" ht="15" hidden="false" customHeight="false" outlineLevel="0" collapsed="false">
      <c r="A91" s="0" t="s">
        <v>250</v>
      </c>
      <c r="B91" s="70" t="n">
        <v>0.48664916245173</v>
      </c>
      <c r="C91" s="70" t="n">
        <v>0.260249364276429</v>
      </c>
      <c r="D91" s="70" t="n">
        <v>0.253101473271841</v>
      </c>
      <c r="E91" s="70" t="n">
        <v>0.746898526728159</v>
      </c>
      <c r="F91" s="70" t="n">
        <v>0.739750635723571</v>
      </c>
      <c r="G91" s="70" t="n">
        <v>0.51335083754827</v>
      </c>
      <c r="H91" s="70" t="n">
        <v>0.91519931007707</v>
      </c>
      <c r="I91" s="70" t="n">
        <v>0.700908406654697</v>
      </c>
      <c r="J91" s="70" t="n">
        <v>0.443397732230266</v>
      </c>
      <c r="K91" s="70" t="n">
        <v>0.231872022205417</v>
      </c>
      <c r="L91" s="70" t="n">
        <v>0.556602267769734</v>
      </c>
      <c r="M91" s="70" t="n">
        <v>0.479611479914901</v>
      </c>
      <c r="N91" s="70" t="n">
        <v>0.520388520085099</v>
      </c>
      <c r="O91" s="70" t="n">
        <v>0.471801577846804</v>
      </c>
      <c r="P91" s="70" t="n">
        <v>0.683327287871654</v>
      </c>
      <c r="Q91" s="70" t="n">
        <v>0.812907100379441</v>
      </c>
      <c r="R91" s="70" t="n">
        <v>0.469036384449281</v>
      </c>
      <c r="S91" s="70" t="n">
        <v>0.598616196957068</v>
      </c>
      <c r="T91" s="70" t="n">
        <v>0.717670351429543</v>
      </c>
      <c r="U91" s="70" t="n">
        <v>0.613212633164723</v>
      </c>
      <c r="V91" s="70" t="n">
        <v>0.50450025941186</v>
      </c>
      <c r="W91" s="70" t="n">
        <v>0.776567963381724</v>
      </c>
      <c r="X91" s="70" t="n">
        <v>0.622965582819911</v>
      </c>
      <c r="Y91" s="70" t="n">
        <v>0.460315618199983</v>
      </c>
    </row>
    <row r="92" customFormat="false" ht="15" hidden="false" customHeight="false" outlineLevel="0" collapsed="false">
      <c r="A92" s="0" t="s">
        <v>251</v>
      </c>
      <c r="B92" s="70" t="n">
        <v>0.48214574649626</v>
      </c>
      <c r="C92" s="70" t="n">
        <v>0.253305372164891</v>
      </c>
      <c r="D92" s="70" t="n">
        <v>0.264548881338849</v>
      </c>
      <c r="E92" s="70" t="n">
        <v>0.735451118661151</v>
      </c>
      <c r="F92" s="70" t="n">
        <v>0.746694627835109</v>
      </c>
      <c r="G92" s="70" t="n">
        <v>0.51785425350374</v>
      </c>
      <c r="H92" s="70" t="n">
        <v>0.926123914535262</v>
      </c>
      <c r="I92" s="70" t="n">
        <v>0.728505530958109</v>
      </c>
      <c r="J92" s="70" t="n">
        <v>0.478096892671608</v>
      </c>
      <c r="K92" s="70" t="n">
        <v>0.260995768923087</v>
      </c>
      <c r="L92" s="70" t="n">
        <v>0.521903107328392</v>
      </c>
      <c r="M92" s="70" t="n">
        <v>0.509962510421435</v>
      </c>
      <c r="N92" s="70" t="n">
        <v>0.490037489578566</v>
      </c>
      <c r="O92" s="70" t="n">
        <v>0.448027021863654</v>
      </c>
      <c r="P92" s="70" t="n">
        <v>0.665128145612175</v>
      </c>
      <c r="Q92" s="70" t="n">
        <v>0.805494171589327</v>
      </c>
      <c r="R92" s="70" t="n">
        <v>0.467509762035022</v>
      </c>
      <c r="S92" s="70" t="n">
        <v>0.607875788012174</v>
      </c>
      <c r="T92" s="70" t="n">
        <v>0.740432662508302</v>
      </c>
      <c r="U92" s="70" t="n">
        <v>0.639786920401748</v>
      </c>
      <c r="V92" s="70" t="n">
        <v>0.533013487024403</v>
      </c>
      <c r="W92" s="70" t="n">
        <v>0.646699476341267</v>
      </c>
      <c r="X92" s="70" t="n">
        <v>0.465287408442934</v>
      </c>
      <c r="Y92" s="70" t="n">
        <v>0.303382599670216</v>
      </c>
    </row>
    <row r="93" customFormat="false" ht="15" hidden="false" customHeight="false" outlineLevel="0" collapsed="false">
      <c r="A93" s="0" t="s">
        <v>252</v>
      </c>
      <c r="B93" s="70" t="n">
        <v>0.602922415323591</v>
      </c>
      <c r="C93" s="70" t="n">
        <v>0.223455538268462</v>
      </c>
      <c r="D93" s="70" t="n">
        <v>0.173622046407947</v>
      </c>
      <c r="E93" s="70" t="n">
        <v>0.826377953592053</v>
      </c>
      <c r="F93" s="70" t="n">
        <v>0.776544461731538</v>
      </c>
      <c r="G93" s="70" t="n">
        <v>0.39707758467641</v>
      </c>
      <c r="H93" s="70" t="n">
        <v>0.932190542909496</v>
      </c>
      <c r="I93" s="70" t="n">
        <v>0.745071409787627</v>
      </c>
      <c r="J93" s="70" t="n">
        <v>0.499648586698491</v>
      </c>
      <c r="K93" s="70" t="n">
        <v>0.279883367270595</v>
      </c>
      <c r="L93" s="70" t="n">
        <v>0.50035141330151</v>
      </c>
      <c r="M93" s="70" t="n">
        <v>0.47995223338206</v>
      </c>
      <c r="N93" s="70" t="n">
        <v>0.52004776661794</v>
      </c>
      <c r="O93" s="70" t="n">
        <v>0.432541956211005</v>
      </c>
      <c r="P93" s="70" t="n">
        <v>0.652307175638901</v>
      </c>
      <c r="Q93" s="70" t="n">
        <v>0.799145640408442</v>
      </c>
      <c r="R93" s="70" t="n">
        <v>0.465188042517032</v>
      </c>
      <c r="S93" s="70" t="n">
        <v>0.612026507286573</v>
      </c>
      <c r="T93" s="70" t="n">
        <v>0.800267651578996</v>
      </c>
      <c r="U93" s="70" t="n">
        <v>0.712223258718811</v>
      </c>
      <c r="V93" s="70" t="n">
        <v>0.613623646545311</v>
      </c>
      <c r="W93" s="70" t="n">
        <v>0.586723141763392</v>
      </c>
      <c r="X93" s="70" t="n">
        <v>0.400790898523396</v>
      </c>
      <c r="Y93" s="70" t="n">
        <v>0.246639713675523</v>
      </c>
    </row>
    <row r="94" customFormat="false" ht="15" hidden="false" customHeight="false" outlineLevel="0" collapsed="false">
      <c r="A94" s="0" t="s">
        <v>253</v>
      </c>
      <c r="B94" s="70" t="n">
        <v>0.39824234144277</v>
      </c>
      <c r="C94" s="70" t="n">
        <v>0.268534544742998</v>
      </c>
      <c r="D94" s="70" t="n">
        <v>0.333223113814233</v>
      </c>
      <c r="E94" s="70" t="n">
        <v>0.666776886185767</v>
      </c>
      <c r="F94" s="70" t="n">
        <v>0.731465455257003</v>
      </c>
      <c r="G94" s="70" t="n">
        <v>0.601757658557231</v>
      </c>
      <c r="H94" s="70" t="n">
        <v>0.916454573255339</v>
      </c>
      <c r="I94" s="70" t="n">
        <v>0.703811650737992</v>
      </c>
      <c r="J94" s="70" t="n">
        <v>0.447029478795471</v>
      </c>
      <c r="K94" s="70" t="n">
        <v>0.23484699677563</v>
      </c>
      <c r="L94" s="70" t="n">
        <v>0.552970521204529</v>
      </c>
      <c r="M94" s="70" t="n">
        <v>0.498909604020243</v>
      </c>
      <c r="N94" s="70" t="n">
        <v>0.501090395979757</v>
      </c>
      <c r="O94" s="70" t="n">
        <v>0.469425094459868</v>
      </c>
      <c r="P94" s="70" t="n">
        <v>0.68160757647971</v>
      </c>
      <c r="Q94" s="70" t="n">
        <v>0.812334561999908</v>
      </c>
      <c r="R94" s="70" t="n">
        <v>0.468964653962362</v>
      </c>
      <c r="S94" s="70" t="n">
        <v>0.599691639482561</v>
      </c>
      <c r="T94" s="70" t="n">
        <v>0.568043303587201</v>
      </c>
      <c r="U94" s="70" t="n">
        <v>0.450064763503532</v>
      </c>
      <c r="V94" s="70" t="n">
        <v>0.340829610400485</v>
      </c>
      <c r="W94" s="70" t="n">
        <v>0.80685435187786</v>
      </c>
      <c r="X94" s="70" t="n">
        <v>0.663957134989446</v>
      </c>
      <c r="Y94" s="70" t="n">
        <v>0.505692725618588</v>
      </c>
    </row>
    <row r="95" customFormat="false" ht="15" hidden="false" customHeight="false" outlineLevel="0" collapsed="false">
      <c r="A95" s="0" t="s">
        <v>254</v>
      </c>
      <c r="B95" s="70" t="n">
        <v>0.462807258596752</v>
      </c>
      <c r="C95" s="70" t="n">
        <v>0.276096933886394</v>
      </c>
      <c r="D95" s="70" t="n">
        <v>0.261095807516854</v>
      </c>
      <c r="E95" s="70" t="n">
        <v>0.738904192483146</v>
      </c>
      <c r="F95" s="70" t="n">
        <v>0.723903066113606</v>
      </c>
      <c r="G95" s="70" t="n">
        <v>0.537192741403248</v>
      </c>
      <c r="H95" s="70" t="n">
        <v>0.896922025676009</v>
      </c>
      <c r="I95" s="70" t="n">
        <v>0.657757137442787</v>
      </c>
      <c r="J95" s="70" t="n">
        <v>0.392710397955451</v>
      </c>
      <c r="K95" s="70" t="n">
        <v>0.192106703491128</v>
      </c>
      <c r="L95" s="70" t="n">
        <v>0.607289602044549</v>
      </c>
      <c r="M95" s="70" t="n">
        <v>0.442743147432094</v>
      </c>
      <c r="N95" s="70" t="n">
        <v>0.557256852567906</v>
      </c>
      <c r="O95" s="70" t="n">
        <v>0.504211627720559</v>
      </c>
      <c r="P95" s="70" t="n">
        <v>0.704815322184881</v>
      </c>
      <c r="Q95" s="70" t="n">
        <v>0.818040378332609</v>
      </c>
      <c r="R95" s="70" t="n">
        <v>0.465650433951659</v>
      </c>
      <c r="S95" s="70" t="n">
        <v>0.578875490099387</v>
      </c>
      <c r="T95" s="70" t="n">
        <v>0.668227603962158</v>
      </c>
      <c r="U95" s="70" t="n">
        <v>0.557174488027437</v>
      </c>
      <c r="V95" s="70" t="n">
        <v>0.446122321503749</v>
      </c>
      <c r="W95" s="70" t="n">
        <v>0.728739245553759</v>
      </c>
      <c r="X95" s="70" t="n">
        <v>0.561727625082491</v>
      </c>
      <c r="Y95" s="70" t="n">
        <v>0.39617504751584</v>
      </c>
    </row>
    <row r="96" customFormat="false" ht="15" hidden="false" customHeight="false" outlineLevel="0" collapsed="false">
      <c r="A96" s="0" t="s">
        <v>255</v>
      </c>
      <c r="B96" s="70" t="n">
        <v>0.443281359843362</v>
      </c>
      <c r="C96" s="70" t="n">
        <v>0.25919933801004</v>
      </c>
      <c r="D96" s="70" t="n">
        <v>0.297519302146598</v>
      </c>
      <c r="E96" s="70" t="n">
        <v>0.702480697853402</v>
      </c>
      <c r="F96" s="70" t="n">
        <v>0.74080066198996</v>
      </c>
      <c r="G96" s="70" t="n">
        <v>0.556718640156638</v>
      </c>
      <c r="H96" s="70" t="n">
        <v>0.924601966662524</v>
      </c>
      <c r="I96" s="70" t="n">
        <v>0.724465804370703</v>
      </c>
      <c r="J96" s="70" t="n">
        <v>0.472936859512761</v>
      </c>
      <c r="K96" s="70" t="n">
        <v>0.256565172253054</v>
      </c>
      <c r="L96" s="70" t="n">
        <v>0.527063140487239</v>
      </c>
      <c r="M96" s="70" t="n">
        <v>0.514219507996275</v>
      </c>
      <c r="N96" s="70" t="n">
        <v>0.485780492003725</v>
      </c>
      <c r="O96" s="70" t="n">
        <v>0.451665107149763</v>
      </c>
      <c r="P96" s="70" t="n">
        <v>0.66803679440947</v>
      </c>
      <c r="Q96" s="70" t="n">
        <v>0.806825386406361</v>
      </c>
      <c r="R96" s="70" t="n">
        <v>0.46790063211765</v>
      </c>
      <c r="S96" s="70" t="n">
        <v>0.606689224114541</v>
      </c>
      <c r="T96" s="70" t="n">
        <v>0.645718247696727</v>
      </c>
      <c r="U96" s="70" t="n">
        <v>0.532383885238289</v>
      </c>
      <c r="V96" s="70" t="n">
        <v>0.421029557370338</v>
      </c>
      <c r="W96" s="70" t="n">
        <v>0.760971494101137</v>
      </c>
      <c r="X96" s="70" t="n">
        <v>0.602548992373692</v>
      </c>
      <c r="Y96" s="70" t="n">
        <v>0.43845912894705</v>
      </c>
    </row>
    <row r="97" customFormat="false" ht="15" hidden="false" customHeight="false" outlineLevel="0" collapsed="false">
      <c r="A97" s="0" t="s">
        <v>256</v>
      </c>
      <c r="B97" s="70" t="n">
        <v>0.415872385759962</v>
      </c>
      <c r="C97" s="70" t="n">
        <v>0.271369974120152</v>
      </c>
      <c r="D97" s="70" t="n">
        <v>0.312757640119886</v>
      </c>
      <c r="E97" s="70" t="n">
        <v>0.687242359880114</v>
      </c>
      <c r="F97" s="70" t="n">
        <v>0.728630025879848</v>
      </c>
      <c r="G97" s="70" t="n">
        <v>0.584127614240038</v>
      </c>
      <c r="H97" s="70" t="n">
        <v>0.911129298871239</v>
      </c>
      <c r="I97" s="70" t="n">
        <v>0.690820335859151</v>
      </c>
      <c r="J97" s="70" t="n">
        <v>0.431231198832672</v>
      </c>
      <c r="K97" s="70" t="n">
        <v>0.222029553942528</v>
      </c>
      <c r="L97" s="70" t="n">
        <v>0.568768801167328</v>
      </c>
      <c r="M97" s="70" t="n">
        <v>0.484147799004946</v>
      </c>
      <c r="N97" s="70" t="n">
        <v>0.515852200995055</v>
      </c>
      <c r="O97" s="70" t="n">
        <v>0.479898100038566</v>
      </c>
      <c r="P97" s="70" t="n">
        <v>0.68909974492871</v>
      </c>
      <c r="Q97" s="70" t="n">
        <v>0.814808965642173</v>
      </c>
      <c r="R97" s="70" t="n">
        <v>0.468790781916623</v>
      </c>
      <c r="S97" s="70" t="n">
        <v>0.594500002630086</v>
      </c>
      <c r="T97" s="70" t="n">
        <v>0.67260548467322</v>
      </c>
      <c r="U97" s="70" t="n">
        <v>0.562047179353094</v>
      </c>
      <c r="V97" s="70" t="n">
        <v>0.451106579178908</v>
      </c>
      <c r="W97" s="70" t="n">
        <v>0.809273943100273</v>
      </c>
      <c r="X97" s="70" t="n">
        <v>0.667313116933636</v>
      </c>
      <c r="Y97" s="70" t="n">
        <v>0.509499177527213</v>
      </c>
    </row>
    <row r="98" customFormat="false" ht="15" hidden="false" customHeight="false" outlineLevel="0" collapsed="false">
      <c r="A98" s="0" t="s">
        <v>257</v>
      </c>
      <c r="B98" s="70" t="n">
        <v>0.496336965857958</v>
      </c>
      <c r="C98" s="70" t="n">
        <v>0.268953599442637</v>
      </c>
      <c r="D98" s="70" t="n">
        <v>0.234709434699406</v>
      </c>
      <c r="E98" s="70" t="n">
        <v>0.765290565300595</v>
      </c>
      <c r="F98" s="70" t="n">
        <v>0.731046400557363</v>
      </c>
      <c r="G98" s="70" t="n">
        <v>0.503663034142043</v>
      </c>
      <c r="H98" s="70" t="n">
        <v>0.899557716922503</v>
      </c>
      <c r="I98" s="70" t="n">
        <v>0.663870163662085</v>
      </c>
      <c r="J98" s="70" t="n">
        <v>0.399605918556906</v>
      </c>
      <c r="K98" s="70" t="n">
        <v>0.197325727452993</v>
      </c>
      <c r="L98" s="70" t="n">
        <v>0.600394081443094</v>
      </c>
      <c r="M98" s="70" t="n">
        <v>0.438977417634848</v>
      </c>
      <c r="N98" s="70" t="n">
        <v>0.561022582365152</v>
      </c>
      <c r="O98" s="70" t="n">
        <v>0.499951798365597</v>
      </c>
      <c r="P98" s="70" t="n">
        <v>0.70223198946951</v>
      </c>
      <c r="Q98" s="70" t="n">
        <v>0.817713471977819</v>
      </c>
      <c r="R98" s="70" t="n">
        <v>0.466544436209093</v>
      </c>
      <c r="S98" s="70" t="n">
        <v>0.582025918717402</v>
      </c>
      <c r="T98" s="70" t="n">
        <v>0.633210237824357</v>
      </c>
      <c r="U98" s="70" t="n">
        <v>0.518794863819286</v>
      </c>
      <c r="V98" s="70" t="n">
        <v>0.407461498529204</v>
      </c>
      <c r="W98" s="70" t="n">
        <v>0.797296312075115</v>
      </c>
      <c r="X98" s="70" t="n">
        <v>0.650820572157486</v>
      </c>
      <c r="Y98" s="70" t="n">
        <v>0.490928016932936</v>
      </c>
    </row>
    <row r="99" customFormat="false" ht="15" hidden="false" customHeight="false" outlineLevel="0" collapsed="false">
      <c r="A99" s="0" t="s">
        <v>258</v>
      </c>
      <c r="B99" s="70" t="n">
        <v>0.834156029199319</v>
      </c>
      <c r="C99" s="70" t="n">
        <v>0.111137751182224</v>
      </c>
      <c r="D99" s="70" t="n">
        <v>0.0547062196184578</v>
      </c>
      <c r="E99" s="70" t="n">
        <v>0.945293780381542</v>
      </c>
      <c r="F99" s="70" t="n">
        <v>0.888862248817777</v>
      </c>
      <c r="G99" s="70" t="n">
        <v>0.165843970800682</v>
      </c>
      <c r="H99" s="70" t="n">
        <v>0.972027675358373</v>
      </c>
      <c r="I99" s="70" t="n">
        <v>0.869122020089349</v>
      </c>
      <c r="J99" s="70" t="n">
        <v>0.689072829744096</v>
      </c>
      <c r="K99" s="70" t="n">
        <v>0.474993919307705</v>
      </c>
      <c r="L99" s="70" t="n">
        <v>0.310927170255904</v>
      </c>
      <c r="M99" s="70" t="n">
        <v>0.445685813158527</v>
      </c>
      <c r="N99" s="70" t="n">
        <v>0.554314186841473</v>
      </c>
      <c r="O99" s="70" t="n">
        <v>0.282954845614277</v>
      </c>
      <c r="P99" s="70" t="n">
        <v>0.497033756050668</v>
      </c>
      <c r="Q99" s="70" t="n">
        <v>0.687278258510865</v>
      </c>
      <c r="R99" s="70" t="n">
        <v>0.394128100781644</v>
      </c>
      <c r="S99" s="70" t="n">
        <v>0.584372603241841</v>
      </c>
      <c r="T99" s="70" t="n">
        <v>0.699450723533735</v>
      </c>
      <c r="U99" s="70" t="n">
        <v>0.592301337887351</v>
      </c>
      <c r="V99" s="70" t="n">
        <v>0.482442741895319</v>
      </c>
      <c r="W99" s="70" t="n">
        <v>0.576828020412995</v>
      </c>
      <c r="X99" s="70" t="n">
        <v>0.390597873073697</v>
      </c>
      <c r="Y99" s="70" t="n">
        <v>0.238053276708487</v>
      </c>
    </row>
    <row r="100" customFormat="false" ht="15" hidden="false" customHeight="false" outlineLevel="0" collapsed="false">
      <c r="A100" s="0" t="s">
        <v>260</v>
      </c>
      <c r="B100" s="70" t="n">
        <v>0.429891761159277</v>
      </c>
      <c r="C100" s="70" t="n">
        <v>0.253264509069587</v>
      </c>
      <c r="D100" s="70" t="n">
        <v>0.316843729771136</v>
      </c>
      <c r="E100" s="70" t="n">
        <v>0.683156270228864</v>
      </c>
      <c r="F100" s="70" t="n">
        <v>0.746735490930413</v>
      </c>
      <c r="G100" s="70" t="n">
        <v>0.570108238840722</v>
      </c>
      <c r="H100" s="70" t="n">
        <v>0.933974562423962</v>
      </c>
      <c r="I100" s="70" t="n">
        <v>0.749242639827518</v>
      </c>
      <c r="J100" s="70" t="n">
        <v>0.505472935553429</v>
      </c>
      <c r="K100" s="70" t="n">
        <v>0.285095918123128</v>
      </c>
      <c r="L100" s="70" t="n">
        <v>0.494527064446571</v>
      </c>
      <c r="M100" s="70" t="n">
        <v>0.542662969232268</v>
      </c>
      <c r="N100" s="70" t="n">
        <v>0.457337030767732</v>
      </c>
      <c r="O100" s="70" t="n">
        <v>0.428501626870533</v>
      </c>
      <c r="P100" s="70" t="n">
        <v>0.648878644300834</v>
      </c>
      <c r="Q100" s="70" t="n">
        <v>0.797430291633234</v>
      </c>
      <c r="R100" s="70" t="n">
        <v>0.46414672170439</v>
      </c>
      <c r="S100" s="70" t="n">
        <v>0.61269836903679</v>
      </c>
      <c r="T100" s="70" t="n">
        <v>0.665237021347745</v>
      </c>
      <c r="U100" s="70" t="n">
        <v>0.553855561225361</v>
      </c>
      <c r="V100" s="70" t="n">
        <v>0.442737265012541</v>
      </c>
      <c r="W100" s="70" t="n">
        <v>0.727325598402204</v>
      </c>
      <c r="X100" s="70" t="n">
        <v>0.559977650913171</v>
      </c>
      <c r="Y100" s="70" t="n">
        <v>0.394403531851997</v>
      </c>
    </row>
    <row r="101" customFormat="false" ht="15" hidden="false" customHeight="false" outlineLevel="0" collapsed="false">
      <c r="A101" s="0" t="s">
        <v>261</v>
      </c>
      <c r="B101" s="70" t="n">
        <v>0.766284499267028</v>
      </c>
      <c r="C101" s="70" t="n">
        <v>0.150542257692616</v>
      </c>
      <c r="D101" s="70" t="n">
        <v>0.0831732430403562</v>
      </c>
      <c r="E101" s="70" t="n">
        <v>0.916826756959643</v>
      </c>
      <c r="F101" s="70" t="n">
        <v>0.849457742307384</v>
      </c>
      <c r="G101" s="70" t="n">
        <v>0.233715500732972</v>
      </c>
      <c r="H101" s="70" t="n">
        <v>0.957149641678918</v>
      </c>
      <c r="I101" s="70" t="n">
        <v>0.81864572848337</v>
      </c>
      <c r="J101" s="70" t="n">
        <v>0.605369542372554</v>
      </c>
      <c r="K101" s="70" t="n">
        <v>0.38193261084985</v>
      </c>
      <c r="L101" s="70" t="n">
        <v>0.394630457627447</v>
      </c>
      <c r="M101" s="70" t="n">
        <v>0.447760686849764</v>
      </c>
      <c r="N101" s="70" t="n">
        <v>0.552239313150236</v>
      </c>
      <c r="O101" s="70" t="n">
        <v>0.351780099306364</v>
      </c>
      <c r="P101" s="70" t="n">
        <v>0.575217030829068</v>
      </c>
      <c r="Q101" s="70" t="n">
        <v>0.750081023408082</v>
      </c>
      <c r="R101" s="70" t="n">
        <v>0.43671311763352</v>
      </c>
      <c r="S101" s="70" t="n">
        <v>0.611577110212535</v>
      </c>
      <c r="T101" s="70" t="n">
        <v>0.780016571192823</v>
      </c>
      <c r="U101" s="70" t="n">
        <v>0.687264845121059</v>
      </c>
      <c r="V101" s="70" t="n">
        <v>0.585353694943307</v>
      </c>
      <c r="W101" s="70" t="n">
        <v>0.695090531448269</v>
      </c>
      <c r="X101" s="70" t="n">
        <v>0.520943112454382</v>
      </c>
      <c r="Y101" s="70" t="n">
        <v>0.35574403094648</v>
      </c>
    </row>
    <row r="102" customFormat="false" ht="15" hidden="false" customHeight="false" outlineLevel="0" collapsed="false">
      <c r="A102" s="0" t="s">
        <v>262</v>
      </c>
      <c r="B102" s="70" t="n">
        <v>0.358165842035266</v>
      </c>
      <c r="C102" s="70" t="n">
        <v>0.26766886775378</v>
      </c>
      <c r="D102" s="70" t="n">
        <v>0.374165290210954</v>
      </c>
      <c r="E102" s="70" t="n">
        <v>0.625834709789046</v>
      </c>
      <c r="F102" s="70" t="n">
        <v>0.73233113224622</v>
      </c>
      <c r="G102" s="70" t="n">
        <v>0.641834157964734</v>
      </c>
      <c r="H102" s="70" t="n">
        <v>0.918533318630654</v>
      </c>
      <c r="I102" s="70" t="n">
        <v>0.70897027197283</v>
      </c>
      <c r="J102" s="70" t="n">
        <v>0.45341429103273</v>
      </c>
      <c r="K102" s="70" t="n">
        <v>0.240118308590107</v>
      </c>
      <c r="L102" s="70" t="n">
        <v>0.54658570896727</v>
      </c>
      <c r="M102" s="70" t="n">
        <v>0.505274516714766</v>
      </c>
      <c r="N102" s="70" t="n">
        <v>0.494725483285234</v>
      </c>
      <c r="O102" s="70" t="n">
        <v>0.465119027597924</v>
      </c>
      <c r="P102" s="70" t="n">
        <v>0.678415010040547</v>
      </c>
      <c r="Q102" s="70" t="n">
        <v>0.811149276407833</v>
      </c>
      <c r="R102" s="70" t="n">
        <v>0.468851963382723</v>
      </c>
      <c r="S102" s="70" t="n">
        <v>0.601586229750009</v>
      </c>
      <c r="T102" s="70" t="n">
        <v>0.705412093948449</v>
      </c>
      <c r="U102" s="70" t="n">
        <v>0.599109064780676</v>
      </c>
      <c r="V102" s="70" t="n">
        <v>0.489587461196173</v>
      </c>
      <c r="W102" s="70" t="n">
        <v>0.704881545623063</v>
      </c>
      <c r="X102" s="70" t="n">
        <v>0.532626544359915</v>
      </c>
      <c r="Y102" s="70" t="n">
        <v>0.367144994983536</v>
      </c>
    </row>
    <row r="103" customFormat="false" ht="15" hidden="false" customHeight="false" outlineLevel="0" collapsed="false">
      <c r="A103" s="0" t="s">
        <v>263</v>
      </c>
      <c r="B103" s="70" t="n">
        <v>0.399649821232921</v>
      </c>
      <c r="C103" s="70" t="n">
        <v>0.259920418305521</v>
      </c>
      <c r="D103" s="70" t="n">
        <v>0.340429760461558</v>
      </c>
      <c r="E103" s="70" t="n">
        <v>0.659570239538442</v>
      </c>
      <c r="F103" s="70" t="n">
        <v>0.740079581694479</v>
      </c>
      <c r="G103" s="70" t="n">
        <v>0.600350178767079</v>
      </c>
      <c r="H103" s="70" t="n">
        <v>0.927731291759824</v>
      </c>
      <c r="I103" s="70" t="n">
        <v>0.732543643130822</v>
      </c>
      <c r="J103" s="70" t="n">
        <v>0.483388837144528</v>
      </c>
      <c r="K103" s="70" t="n">
        <v>0.265576421491937</v>
      </c>
      <c r="L103" s="70" t="n">
        <v>0.516611162855472</v>
      </c>
      <c r="M103" s="70" t="n">
        <v>0.528088482207427</v>
      </c>
      <c r="N103" s="70" t="n">
        <v>0.471911517792573</v>
      </c>
      <c r="O103" s="70" t="n">
        <v>0.444342454615296</v>
      </c>
      <c r="P103" s="70" t="n">
        <v>0.662154870267888</v>
      </c>
      <c r="Q103" s="70" t="n">
        <v>0.804127731053426</v>
      </c>
      <c r="R103" s="70" t="n">
        <v>0.466967221638885</v>
      </c>
      <c r="S103" s="70" t="n">
        <v>0.608940082424423</v>
      </c>
      <c r="T103" s="70" t="n">
        <v>0.577084824733829</v>
      </c>
      <c r="U103" s="70" t="n">
        <v>0.45939831181003</v>
      </c>
      <c r="V103" s="70" t="n">
        <v>0.349684434345983</v>
      </c>
      <c r="W103" s="70" t="n">
        <v>0.797276939635167</v>
      </c>
      <c r="X103" s="70" t="n">
        <v>0.650794138907163</v>
      </c>
      <c r="Y103" s="70" t="n">
        <v>0.49089852254225</v>
      </c>
    </row>
    <row r="104" customFormat="false" ht="15" hidden="false" customHeight="false" outlineLevel="0" collapsed="false">
      <c r="A104" s="0" t="s">
        <v>264</v>
      </c>
      <c r="B104" s="70" t="n">
        <v>0.513990690881838</v>
      </c>
      <c r="C104" s="70" t="n">
        <v>0.245637246967177</v>
      </c>
      <c r="D104" s="70" t="n">
        <v>0.240372062150985</v>
      </c>
      <c r="E104" s="70" t="n">
        <v>0.759627937849015</v>
      </c>
      <c r="F104" s="70" t="n">
        <v>0.754362753032823</v>
      </c>
      <c r="G104" s="70" t="n">
        <v>0.486009309118162</v>
      </c>
      <c r="H104" s="70" t="n">
        <v>0.92958360995634</v>
      </c>
      <c r="I104" s="70" t="n">
        <v>0.737689637474587</v>
      </c>
      <c r="J104" s="70" t="n">
        <v>0.490025516971061</v>
      </c>
      <c r="K104" s="70" t="n">
        <v>0.271373370250557</v>
      </c>
      <c r="L104" s="70" t="n">
        <v>0.509974483028939</v>
      </c>
      <c r="M104" s="70" t="n">
        <v>0.51050822722417</v>
      </c>
      <c r="N104" s="70" t="n">
        <v>0.48949177277583</v>
      </c>
      <c r="O104" s="70" t="n">
        <v>0.439558092985278</v>
      </c>
      <c r="P104" s="70" t="n">
        <v>0.658210239705783</v>
      </c>
      <c r="Q104" s="70" t="n">
        <v>0.802182588236568</v>
      </c>
      <c r="R104" s="70" t="n">
        <v>0.46631626722403</v>
      </c>
      <c r="S104" s="70" t="n">
        <v>0.610288615754816</v>
      </c>
      <c r="T104" s="70" t="n">
        <v>0.487270175753859</v>
      </c>
      <c r="U104" s="70" t="n">
        <v>0.369463622295147</v>
      </c>
      <c r="V104" s="70" t="n">
        <v>0.266889832914629</v>
      </c>
      <c r="W104" s="70" t="n">
        <v>0.700782784987849</v>
      </c>
      <c r="X104" s="70" t="n">
        <v>0.527717597266886</v>
      </c>
      <c r="Y104" s="70" t="n">
        <v>0.36233717964322</v>
      </c>
    </row>
  </sheetData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1F6B"/>
    <pageSetUpPr fitToPage="true"/>
  </sheetPr>
  <dimension ref="A2:I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26"/>
    <col collapsed="false" customWidth="true" hidden="false" outlineLevel="0" max="4" min="4" style="0" width="3"/>
    <col collapsed="false" customWidth="true" hidden="false" outlineLevel="0" max="7" min="5" style="0" width="13"/>
    <col collapsed="false" customWidth="true" hidden="false" outlineLevel="0" max="8" min="8" style="0" width="15"/>
    <col collapsed="false" customWidth="true" hidden="false" outlineLevel="0" max="9" min="9" style="0" width="10"/>
  </cols>
  <sheetData>
    <row r="2" customFormat="false" ht="27.75" hidden="false" customHeight="true" outlineLevel="0" collapsed="false">
      <c r="B2" s="71" t="s">
        <v>357</v>
      </c>
    </row>
    <row r="3" customFormat="false" ht="15" hidden="false" customHeight="false" outlineLevel="0" collapsed="false">
      <c r="B3" s="55" t="s">
        <v>358</v>
      </c>
      <c r="C3" s="55"/>
      <c r="D3" s="55"/>
      <c r="E3" s="55"/>
      <c r="F3" s="55"/>
      <c r="G3" s="55"/>
      <c r="H3" s="55"/>
      <c r="I3" s="55"/>
    </row>
    <row r="5" customFormat="false" ht="15" hidden="false" customHeight="false" outlineLevel="0" collapsed="false">
      <c r="B5" s="6" t="s">
        <v>359</v>
      </c>
      <c r="E5" s="72" t="s">
        <v>360</v>
      </c>
      <c r="F5" s="72"/>
      <c r="G5" s="72"/>
      <c r="H5" s="72"/>
      <c r="I5" s="72"/>
    </row>
    <row r="6" customFormat="false" ht="19.5" hidden="false" customHeight="true" outlineLevel="0" collapsed="false">
      <c r="B6" s="53" t="s">
        <v>135</v>
      </c>
      <c r="C6" s="73" t="s">
        <v>139</v>
      </c>
      <c r="E6" s="55" t="s">
        <v>361</v>
      </c>
      <c r="F6" s="55"/>
      <c r="G6" s="55"/>
      <c r="H6" s="55"/>
      <c r="I6" s="55"/>
    </row>
    <row r="7" customFormat="false" ht="19.5" hidden="false" customHeight="true" outlineLevel="0" collapsed="false">
      <c r="B7" s="53" t="s">
        <v>136</v>
      </c>
      <c r="C7" s="73" t="s">
        <v>156</v>
      </c>
    </row>
    <row r="8" customFormat="false" ht="19.5" hidden="false" customHeight="true" outlineLevel="0" collapsed="false">
      <c r="B8" s="53" t="s">
        <v>362</v>
      </c>
      <c r="C8" s="74" t="n">
        <f aca="false">IFERROR(INDEX(Dados!$B$2:$Y$104,MATCH($C$6,Dados!$A$2:$A$104,0),MATCH($C$7,Dados!$B$1:$Y$1,0)),"")</f>
        <v>0.397161465924619</v>
      </c>
      <c r="E8" s="30" t="s">
        <v>363</v>
      </c>
      <c r="F8" s="30"/>
      <c r="G8" s="30"/>
      <c r="H8" s="30"/>
      <c r="I8" s="30"/>
    </row>
    <row r="9" customFormat="false" ht="15" hidden="false" customHeight="false" outlineLevel="0" collapsed="false">
      <c r="B9" s="6" t="s">
        <v>364</v>
      </c>
      <c r="E9" s="75" t="s">
        <v>365</v>
      </c>
      <c r="F9" s="75" t="s">
        <v>82</v>
      </c>
      <c r="G9" s="75" t="s">
        <v>366</v>
      </c>
      <c r="H9" s="75" t="s">
        <v>367</v>
      </c>
      <c r="I9" s="75" t="s">
        <v>368</v>
      </c>
    </row>
    <row r="10" customFormat="false" ht="18.75" hidden="false" customHeight="true" outlineLevel="0" collapsed="false">
      <c r="B10" s="53" t="s">
        <v>369</v>
      </c>
      <c r="C10" s="76" t="n">
        <f aca="false">IFERROR(1/$C$8,"")</f>
        <v>2.51786763268167</v>
      </c>
      <c r="E10" s="38" t="n">
        <v>1.2</v>
      </c>
      <c r="F10" s="36" t="n">
        <f aca="false">$C$8</f>
        <v>0.397161465924619</v>
      </c>
      <c r="G10" s="36" t="n">
        <f aca="false">IFERROR($C$8*E10-1,"")</f>
        <v>-0.523406240890458</v>
      </c>
      <c r="H10" s="38" t="n">
        <f aca="false">E10-1</f>
        <v>0.2</v>
      </c>
      <c r="I10" s="32" t="str">
        <f aca="false">IF(G10="","",IF(G10&gt;0,"sim","não"))</f>
        <v>não</v>
      </c>
    </row>
    <row r="11" customFormat="false" ht="18.75" hidden="false" customHeight="true" outlineLevel="0" collapsed="false">
      <c r="A11" s="77"/>
      <c r="B11" s="54" t="s">
        <v>370</v>
      </c>
      <c r="C11" s="78" t="n">
        <v>3</v>
      </c>
      <c r="D11" s="77"/>
      <c r="E11" s="45" t="n">
        <v>1.5</v>
      </c>
      <c r="F11" s="43" t="n">
        <f aca="false">$C$8</f>
        <v>0.397161465924619</v>
      </c>
      <c r="G11" s="43" t="n">
        <f aca="false">IFERROR($C$8*E11-1,"")</f>
        <v>-0.404257801113072</v>
      </c>
      <c r="H11" s="45" t="n">
        <f aca="false">E11-1</f>
        <v>0.5</v>
      </c>
      <c r="I11" s="39" t="str">
        <f aca="false">IF(G11="","",IF(G11&gt;0,"sim","não"))</f>
        <v>não</v>
      </c>
    </row>
    <row r="12" customFormat="false" ht="18.75" hidden="false" customHeight="true" outlineLevel="0" collapsed="false">
      <c r="B12" s="6" t="s">
        <v>371</v>
      </c>
      <c r="E12" s="38" t="n">
        <v>1.8</v>
      </c>
      <c r="F12" s="36" t="n">
        <f aca="false">$C$8</f>
        <v>0.397161465924619</v>
      </c>
      <c r="G12" s="36" t="n">
        <f aca="false">IFERROR($C$8*E12-1,"")</f>
        <v>-0.285109361335687</v>
      </c>
      <c r="H12" s="38" t="n">
        <f aca="false">E12-1</f>
        <v>0.8</v>
      </c>
      <c r="I12" s="32" t="str">
        <f aca="false">IF(G12="","",IF(G12&gt;0,"sim","não"))</f>
        <v>não</v>
      </c>
    </row>
    <row r="13" customFormat="false" ht="18.75" hidden="false" customHeight="true" outlineLevel="0" collapsed="false">
      <c r="A13" s="77"/>
      <c r="B13" s="54" t="s">
        <v>372</v>
      </c>
      <c r="C13" s="43" t="n">
        <f aca="false">IFERROR($C$8*$C$11-1,"")</f>
        <v>0.191484397773855</v>
      </c>
      <c r="D13" s="77"/>
      <c r="E13" s="45" t="n">
        <v>2</v>
      </c>
      <c r="F13" s="43" t="n">
        <f aca="false">$C$8</f>
        <v>0.397161465924619</v>
      </c>
      <c r="G13" s="43" t="n">
        <f aca="false">IFERROR($C$8*E13-1,"")</f>
        <v>-0.205677068150763</v>
      </c>
      <c r="H13" s="45" t="n">
        <f aca="false">E13-1</f>
        <v>1</v>
      </c>
      <c r="I13" s="39" t="str">
        <f aca="false">IF(G13="","",IF(G13&gt;0,"sim","não"))</f>
        <v>não</v>
      </c>
    </row>
    <row r="14" customFormat="false" ht="18.75" hidden="false" customHeight="true" outlineLevel="0" collapsed="false">
      <c r="B14" s="53" t="s">
        <v>373</v>
      </c>
      <c r="C14" s="74" t="n">
        <f aca="false">IFERROR($C$8-1/$C$11,"")</f>
        <v>0.0638281325912852</v>
      </c>
      <c r="E14" s="38" t="n">
        <v>2.5</v>
      </c>
      <c r="F14" s="36" t="n">
        <f aca="false">$C$8</f>
        <v>0.397161465924619</v>
      </c>
      <c r="G14" s="36" t="n">
        <f aca="false">IFERROR($C$8*E14-1,"")</f>
        <v>-0.00709633518845376</v>
      </c>
      <c r="H14" s="38" t="n">
        <f aca="false">E14-1</f>
        <v>1.5</v>
      </c>
      <c r="I14" s="32" t="str">
        <f aca="false">IF(G14="","",IF(G14&gt;0,"sim","não"))</f>
        <v>não</v>
      </c>
    </row>
    <row r="15" customFormat="false" ht="18.75" hidden="false" customHeight="true" outlineLevel="0" collapsed="false">
      <c r="A15" s="77"/>
      <c r="B15" s="54" t="s">
        <v>374</v>
      </c>
      <c r="C15" s="45" t="n">
        <f aca="false">IFERROR($C$11-1,"")</f>
        <v>2</v>
      </c>
      <c r="D15" s="77"/>
      <c r="E15" s="45" t="n">
        <v>3</v>
      </c>
      <c r="F15" s="43" t="n">
        <f aca="false">$C$8</f>
        <v>0.397161465924619</v>
      </c>
      <c r="G15" s="43" t="n">
        <f aca="false">IFERROR($C$8*E15-1,"")</f>
        <v>0.191484397773855</v>
      </c>
      <c r="H15" s="45" t="n">
        <f aca="false">E15-1</f>
        <v>2</v>
      </c>
      <c r="I15" s="39" t="str">
        <f aca="false">IF(G15="","",IF(G15&gt;0,"sim","não"))</f>
        <v>sim</v>
      </c>
    </row>
    <row r="16" customFormat="false" ht="18.75" hidden="false" customHeight="true" outlineLevel="0" collapsed="false">
      <c r="B16" s="53" t="s">
        <v>375</v>
      </c>
      <c r="C16" s="79" t="n">
        <f aca="false">IFERROR($C$13*1000,"")</f>
        <v>191.484397773855</v>
      </c>
      <c r="E16" s="38" t="n">
        <v>4</v>
      </c>
      <c r="F16" s="36" t="n">
        <f aca="false">$C$8</f>
        <v>0.397161465924619</v>
      </c>
      <c r="G16" s="36" t="n">
        <f aca="false">IFERROR($C$8*E16-1,"")</f>
        <v>0.588645863698474</v>
      </c>
      <c r="H16" s="38" t="n">
        <f aca="false">E16-1</f>
        <v>3</v>
      </c>
      <c r="I16" s="32" t="str">
        <f aca="false">IF(G16="","",IF(G16&gt;0,"sim","não"))</f>
        <v>sim</v>
      </c>
    </row>
    <row r="17" customFormat="false" ht="18.75" hidden="false" customHeight="true" outlineLevel="0" collapsed="false">
      <c r="A17" s="77"/>
      <c r="B17" s="80" t="s">
        <v>376</v>
      </c>
      <c r="C17" s="81" t="str">
        <f aca="false">IF($C$8="","preencha os campos",IF($C$11="","digite a cotação",IF($C$13&gt;0,"PAGA ACIMA DA ODD JUSTA","paga abaixo da odd justa")))</f>
        <v>PAGA ACIMA DA ODD JUSTA</v>
      </c>
      <c r="D17" s="77"/>
      <c r="E17" s="45" t="n">
        <v>5</v>
      </c>
      <c r="F17" s="43" t="n">
        <f aca="false">$C$8</f>
        <v>0.397161465924619</v>
      </c>
      <c r="G17" s="43" t="n">
        <f aca="false">IFERROR($C$8*E17-1,"")</f>
        <v>0.985807329623093</v>
      </c>
      <c r="H17" s="45" t="n">
        <f aca="false">E17-1</f>
        <v>4</v>
      </c>
      <c r="I17" s="39" t="str">
        <f aca="false">IF(G17="","",IF(G17&gt;0,"sim","não"))</f>
        <v>sim</v>
      </c>
    </row>
    <row r="18" customFormat="false" ht="18.75" hidden="false" customHeight="true" outlineLevel="0" collapsed="false">
      <c r="E18" s="38" t="n">
        <v>7</v>
      </c>
      <c r="F18" s="36" t="n">
        <f aca="false">$C$8</f>
        <v>0.397161465924619</v>
      </c>
      <c r="G18" s="36" t="n">
        <f aca="false">IFERROR($C$8*E18-1,"")</f>
        <v>1.78013026147233</v>
      </c>
      <c r="H18" s="38" t="n">
        <f aca="false">E18-1</f>
        <v>6</v>
      </c>
      <c r="I18" s="32" t="str">
        <f aca="false">IF(G18="","",IF(G18&gt;0,"sim","não"))</f>
        <v>sim</v>
      </c>
    </row>
    <row r="19" customFormat="false" ht="18.75" hidden="false" customHeight="true" outlineLevel="0" collapsed="false">
      <c r="A19" s="77"/>
      <c r="B19" s="77"/>
      <c r="C19" s="77"/>
      <c r="D19" s="77"/>
      <c r="E19" s="45" t="n">
        <v>10</v>
      </c>
      <c r="F19" s="43" t="n">
        <f aca="false">$C$8</f>
        <v>0.397161465924619</v>
      </c>
      <c r="G19" s="43" t="n">
        <f aca="false">IFERROR($C$8*E19-1,"")</f>
        <v>2.97161465924619</v>
      </c>
      <c r="H19" s="45" t="n">
        <f aca="false">E19-1</f>
        <v>9</v>
      </c>
      <c r="I19" s="39" t="str">
        <f aca="false">IF(G19="","",IF(G19&gt;0,"sim","não"))</f>
        <v>sim</v>
      </c>
    </row>
    <row r="21" customFormat="false" ht="15" hidden="false" customHeight="false" outlineLevel="0" collapsed="false">
      <c r="A21" s="22" t="s">
        <v>377</v>
      </c>
      <c r="B21" s="22"/>
      <c r="C21" s="22"/>
      <c r="D21" s="22"/>
      <c r="E21" s="22"/>
      <c r="F21" s="22"/>
      <c r="G21" s="22"/>
      <c r="H21" s="22"/>
      <c r="I21" s="22"/>
    </row>
  </sheetData>
  <mergeCells count="5">
    <mergeCell ref="B3:I3"/>
    <mergeCell ref="E5:I5"/>
    <mergeCell ref="E6:I6"/>
    <mergeCell ref="E8:I8"/>
    <mergeCell ref="A21:I21"/>
  </mergeCells>
  <conditionalFormatting sqref="C17">
    <cfRule type="cellIs" priority="2" operator="equal" aboveAverage="0" equalAverage="0" bottom="0" percent="0" rank="0" text="" dxfId="162">
      <formula>"PAGA ACIMA DA ODD JUSTA"</formula>
    </cfRule>
    <cfRule type="cellIs" priority="3" operator="equal" aboveAverage="0" equalAverage="0" bottom="0" percent="0" rank="0" text="" dxfId="163">
      <formula>"paga abaixo da odd justa"</formula>
    </cfRule>
  </conditionalFormatting>
  <conditionalFormatting sqref="C13">
    <cfRule type="cellIs" priority="4" operator="greaterThan" aboveAverage="0" equalAverage="0" bottom="0" percent="0" rank="0" text="" dxfId="164">
      <formula>0</formula>
    </cfRule>
    <cfRule type="cellIs" priority="5" operator="lessThanOrEqual" aboveAverage="0" equalAverage="0" bottom="0" percent="0" rank="0" text="" dxfId="165">
      <formula>0</formula>
    </cfRule>
  </conditionalFormatting>
  <conditionalFormatting sqref="C14">
    <cfRule type="cellIs" priority="6" operator="greaterThan" aboveAverage="0" equalAverage="0" bottom="0" percent="0" rank="0" text="" dxfId="164">
      <formula>0</formula>
    </cfRule>
    <cfRule type="cellIs" priority="7" operator="lessThanOrEqual" aboveAverage="0" equalAverage="0" bottom="0" percent="0" rank="0" text="" dxfId="165">
      <formula>0</formula>
    </cfRule>
  </conditionalFormatting>
  <conditionalFormatting sqref="G10:G19">
    <cfRule type="cellIs" priority="8" operator="greaterThan" aboveAverage="0" equalAverage="0" bottom="0" percent="0" rank="0" text="" dxfId="166">
      <formula>0</formula>
    </cfRule>
    <cfRule type="cellIs" priority="9" operator="lessThanOrEqual" aboveAverage="0" equalAverage="0" bottom="0" percent="0" rank="0" text="" dxfId="167">
      <formula>0</formula>
    </cfRule>
  </conditionalFormatting>
  <dataValidations count="2">
    <dataValidation allowBlank="false" errorStyle="stop" operator="between" showDropDown="false" showErrorMessage="false" showInputMessage="false" sqref="C6" type="list">
      <formula1>Lista_Partidas</formula1>
      <formula2>0</formula2>
    </dataValidation>
    <dataValidation allowBlank="false" errorStyle="stop" operator="between" showDropDown="false" showErrorMessage="false" showInputMessage="false" sqref="C7" type="list">
      <formula1>Lista_Mercados</formula1>
      <formula2>0</formula2>
    </dataValidation>
  </dataValidation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2566E"/>
    <pageSetUpPr fitToPage="true"/>
  </sheetPr>
  <dimension ref="A1:G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5" min="2" style="0" width="11"/>
    <col collapsed="false" customWidth="true" hidden="false" outlineLevel="0" max="6" min="6" style="0" width="12"/>
    <col collapsed="false" customWidth="true" hidden="false" outlineLevel="0" max="7" min="7" style="0" width="62"/>
  </cols>
  <sheetData>
    <row r="1" customFormat="false" ht="30" hidden="false" customHeight="true" outlineLevel="0" collapsed="false">
      <c r="A1" s="23" t="s">
        <v>378</v>
      </c>
    </row>
    <row r="2" customFormat="false" ht="15.75" hidden="false" customHeight="true" outlineLevel="0" collapsed="false">
      <c r="A2" s="24" t="s">
        <v>379</v>
      </c>
      <c r="B2" s="24"/>
      <c r="C2" s="24"/>
      <c r="D2" s="24"/>
      <c r="E2" s="24"/>
      <c r="F2" s="24"/>
      <c r="G2" s="24"/>
    </row>
    <row r="4" customFormat="false" ht="19.5" hidden="false" customHeight="true" outlineLevel="0" collapsed="false">
      <c r="A4" s="56" t="s">
        <v>380</v>
      </c>
      <c r="B4" s="26" t="s">
        <v>381</v>
      </c>
      <c r="C4" s="26"/>
      <c r="D4" s="26"/>
      <c r="E4" s="26"/>
      <c r="F4" s="30" t="s">
        <v>382</v>
      </c>
      <c r="G4" s="30"/>
    </row>
    <row r="5" customFormat="false" ht="27.75" hidden="false" customHeight="true" outlineLevel="0" collapsed="false">
      <c r="A5" s="31" t="s">
        <v>136</v>
      </c>
      <c r="B5" s="31" t="s">
        <v>383</v>
      </c>
      <c r="C5" s="31" t="s">
        <v>384</v>
      </c>
      <c r="D5" s="31" t="s">
        <v>385</v>
      </c>
      <c r="E5" s="31" t="s">
        <v>386</v>
      </c>
      <c r="F5" s="31" t="s">
        <v>283</v>
      </c>
      <c r="G5" s="31" t="s">
        <v>387</v>
      </c>
    </row>
    <row r="6" customFormat="false" ht="25.5" hidden="false" customHeight="true" outlineLevel="0" collapsed="false">
      <c r="A6" s="53" t="s">
        <v>388</v>
      </c>
      <c r="B6" s="36" t="n">
        <v>0.48846908734053</v>
      </c>
      <c r="C6" s="36" t="n">
        <v>0.48846908734053</v>
      </c>
      <c r="D6" s="82" t="n">
        <v>0</v>
      </c>
      <c r="E6" s="32" t="n">
        <v>4076</v>
      </c>
      <c r="F6" s="35" t="s">
        <v>285</v>
      </c>
      <c r="G6" s="83" t="s">
        <v>389</v>
      </c>
    </row>
    <row r="7" customFormat="false" ht="25.5" hidden="false" customHeight="true" outlineLevel="0" collapsed="false">
      <c r="A7" s="54" t="s">
        <v>143</v>
      </c>
      <c r="B7" s="43" t="n">
        <v>0.476901388052403</v>
      </c>
      <c r="C7" s="43" t="n">
        <v>0.477674190382728</v>
      </c>
      <c r="D7" s="84" t="n">
        <v>-0.0772802330325562</v>
      </c>
      <c r="E7" s="39" t="n">
        <v>4076</v>
      </c>
      <c r="F7" s="42" t="s">
        <v>285</v>
      </c>
      <c r="G7" s="85"/>
    </row>
    <row r="8" customFormat="false" ht="25.5" hidden="false" customHeight="true" outlineLevel="0" collapsed="false">
      <c r="A8" s="53" t="s">
        <v>76</v>
      </c>
      <c r="B8" s="36" t="n">
        <v>0.259845065727668</v>
      </c>
      <c r="C8" s="36" t="n">
        <v>0.272080471050049</v>
      </c>
      <c r="D8" s="82" t="n">
        <v>-1.22354053223814</v>
      </c>
      <c r="E8" s="32" t="n">
        <v>4076</v>
      </c>
      <c r="F8" s="35" t="s">
        <v>285</v>
      </c>
      <c r="G8" s="83"/>
    </row>
    <row r="9" customFormat="false" ht="25.5" hidden="false" customHeight="true" outlineLevel="0" collapsed="false">
      <c r="A9" s="54" t="s">
        <v>156</v>
      </c>
      <c r="B9" s="43" t="n">
        <v>0.26325354621993</v>
      </c>
      <c r="C9" s="43" t="n">
        <v>0.250245338567223</v>
      </c>
      <c r="D9" s="84" t="n">
        <v>1.30082076527068</v>
      </c>
      <c r="E9" s="39" t="n">
        <v>4076</v>
      </c>
      <c r="F9" s="42" t="s">
        <v>285</v>
      </c>
      <c r="G9" s="85"/>
    </row>
    <row r="10" customFormat="false" ht="25.5" hidden="false" customHeight="true" outlineLevel="0" collapsed="false">
      <c r="A10" s="53" t="s">
        <v>390</v>
      </c>
      <c r="B10" s="36" t="n">
        <v>0.904624396601161</v>
      </c>
      <c r="C10" s="36" t="n">
        <v>0.918547595682041</v>
      </c>
      <c r="D10" s="82" t="n">
        <v>-1.39231990808807</v>
      </c>
      <c r="E10" s="32" t="n">
        <v>4076</v>
      </c>
      <c r="F10" s="35" t="s">
        <v>285</v>
      </c>
      <c r="G10" s="83"/>
    </row>
    <row r="11" customFormat="false" ht="25.5" hidden="false" customHeight="true" outlineLevel="0" collapsed="false">
      <c r="A11" s="54" t="s">
        <v>107</v>
      </c>
      <c r="B11" s="43" t="n">
        <v>0.676290487757895</v>
      </c>
      <c r="C11" s="43" t="n">
        <v>0.694308145240432</v>
      </c>
      <c r="D11" s="84" t="n">
        <v>-1.80176574825371</v>
      </c>
      <c r="E11" s="39" t="n">
        <v>4076</v>
      </c>
      <c r="F11" s="42" t="s">
        <v>285</v>
      </c>
      <c r="G11" s="85"/>
    </row>
    <row r="12" customFormat="false" ht="25.5" hidden="false" customHeight="true" outlineLevel="0" collapsed="false">
      <c r="A12" s="53" t="s">
        <v>168</v>
      </c>
      <c r="B12" s="36" t="n">
        <v>0.419656646713428</v>
      </c>
      <c r="C12" s="36" t="n">
        <v>0.435721295387635</v>
      </c>
      <c r="D12" s="82" t="n">
        <v>-1.60646486742065</v>
      </c>
      <c r="E12" s="32" t="n">
        <v>4076</v>
      </c>
      <c r="F12" s="35" t="s">
        <v>285</v>
      </c>
      <c r="G12" s="83"/>
    </row>
    <row r="13" customFormat="false" ht="25.5" hidden="false" customHeight="true" outlineLevel="0" collapsed="false">
      <c r="A13" s="54" t="s">
        <v>152</v>
      </c>
      <c r="B13" s="43" t="n">
        <v>0.216453967525338</v>
      </c>
      <c r="C13" s="43" t="n">
        <v>0.210745829244357</v>
      </c>
      <c r="D13" s="84" t="n">
        <v>0.570813828098049</v>
      </c>
      <c r="E13" s="39" t="n">
        <v>4076</v>
      </c>
      <c r="F13" s="42" t="s">
        <v>285</v>
      </c>
      <c r="G13" s="85"/>
    </row>
    <row r="14" customFormat="false" ht="25.5" hidden="false" customHeight="true" outlineLevel="0" collapsed="false">
      <c r="A14" s="53" t="s">
        <v>391</v>
      </c>
      <c r="B14" s="36" t="n">
        <v>0.0951583506669489</v>
      </c>
      <c r="C14" s="36" t="n">
        <v>0.0902845927379784</v>
      </c>
      <c r="D14" s="82" t="n">
        <v>0.487375792897044</v>
      </c>
      <c r="E14" s="32" t="n">
        <v>4076</v>
      </c>
      <c r="F14" s="35" t="s">
        <v>285</v>
      </c>
      <c r="G14" s="83"/>
    </row>
    <row r="15" customFormat="false" ht="25.5" hidden="false" customHeight="true" outlineLevel="0" collapsed="false">
      <c r="A15" s="54" t="s">
        <v>164</v>
      </c>
      <c r="B15" s="43" t="n">
        <v>0.323709512242105</v>
      </c>
      <c r="C15" s="43" t="n">
        <v>0.305691854759568</v>
      </c>
      <c r="D15" s="84" t="n">
        <v>1.8017657482537</v>
      </c>
      <c r="E15" s="39" t="n">
        <v>4076</v>
      </c>
      <c r="F15" s="42" t="s">
        <v>285</v>
      </c>
      <c r="G15" s="85"/>
    </row>
    <row r="16" customFormat="false" ht="25.5" hidden="false" customHeight="true" outlineLevel="0" collapsed="false">
      <c r="A16" s="53" t="s">
        <v>259</v>
      </c>
      <c r="B16" s="36" t="n">
        <v>0.580343353286572</v>
      </c>
      <c r="C16" s="36" t="n">
        <v>0.564278704612365</v>
      </c>
      <c r="D16" s="82" t="n">
        <v>1.60646486742065</v>
      </c>
      <c r="E16" s="32" t="n">
        <v>4076</v>
      </c>
      <c r="F16" s="35" t="s">
        <v>285</v>
      </c>
      <c r="G16" s="83"/>
    </row>
    <row r="17" customFormat="false" ht="25.5" hidden="false" customHeight="true" outlineLevel="0" collapsed="false">
      <c r="A17" s="54" t="s">
        <v>141</v>
      </c>
      <c r="B17" s="43" t="n">
        <v>0.783546032474662</v>
      </c>
      <c r="C17" s="43" t="n">
        <v>0.789254170755643</v>
      </c>
      <c r="D17" s="84" t="n">
        <v>-0.570813828098038</v>
      </c>
      <c r="E17" s="39" t="n">
        <v>4076</v>
      </c>
      <c r="F17" s="42" t="s">
        <v>285</v>
      </c>
      <c r="G17" s="85"/>
    </row>
    <row r="18" customFormat="false" ht="25.5" hidden="false" customHeight="true" outlineLevel="0" collapsed="false">
      <c r="A18" s="53" t="s">
        <v>150</v>
      </c>
      <c r="B18" s="36" t="n">
        <v>0.484967749887732</v>
      </c>
      <c r="C18" s="36" t="n">
        <v>0.482826300294406</v>
      </c>
      <c r="D18" s="82" t="n">
        <v>0.214144959332596</v>
      </c>
      <c r="E18" s="32" t="n">
        <v>4076</v>
      </c>
      <c r="F18" s="35" t="s">
        <v>285</v>
      </c>
      <c r="G18" s="83"/>
    </row>
    <row r="19" customFormat="false" ht="25.5" hidden="false" customHeight="true" outlineLevel="0" collapsed="false">
      <c r="A19" s="54" t="s">
        <v>154</v>
      </c>
      <c r="B19" s="43" t="n">
        <v>0.688170429075823</v>
      </c>
      <c r="C19" s="43" t="n">
        <v>0.707801766437684</v>
      </c>
      <c r="D19" s="84" t="n">
        <v>-1.96313373618611</v>
      </c>
      <c r="E19" s="39" t="n">
        <v>4076</v>
      </c>
      <c r="F19" s="42" t="s">
        <v>285</v>
      </c>
      <c r="G19" s="85"/>
    </row>
    <row r="20" customFormat="false" ht="25.5" hidden="false" customHeight="true" outlineLevel="0" collapsed="false">
      <c r="A20" s="53" t="s">
        <v>86</v>
      </c>
      <c r="B20" s="36" t="n">
        <v>0.809466045934212</v>
      </c>
      <c r="C20" s="36" t="n">
        <v>0.828263002944063</v>
      </c>
      <c r="D20" s="82" t="n">
        <v>-1.87969570098511</v>
      </c>
      <c r="E20" s="32" t="n">
        <v>4076</v>
      </c>
      <c r="F20" s="35" t="s">
        <v>285</v>
      </c>
      <c r="G20" s="83"/>
    </row>
    <row r="21" customFormat="false" ht="25.5" hidden="false" customHeight="true" outlineLevel="0" collapsed="false">
      <c r="A21" s="54" t="s">
        <v>292</v>
      </c>
      <c r="B21" s="43" t="n">
        <v>0.459836520232557</v>
      </c>
      <c r="C21" s="43" t="n">
        <v>0.483562315996075</v>
      </c>
      <c r="D21" s="84" t="n">
        <v>-2.37257957635175</v>
      </c>
      <c r="E21" s="39" t="n">
        <v>4076</v>
      </c>
      <c r="F21" s="42" t="s">
        <v>285</v>
      </c>
      <c r="G21" s="85"/>
    </row>
    <row r="22" customFormat="false" ht="25.5" hidden="false" customHeight="true" outlineLevel="0" collapsed="false">
      <c r="A22" s="53" t="s">
        <v>291</v>
      </c>
      <c r="B22" s="36" t="n">
        <v>0.581132137090946</v>
      </c>
      <c r="C22" s="36" t="n">
        <v>0.604023552502453</v>
      </c>
      <c r="D22" s="82" t="n">
        <v>-2.28914154115075</v>
      </c>
      <c r="E22" s="32" t="n">
        <v>4076</v>
      </c>
      <c r="F22" s="35" t="s">
        <v>285</v>
      </c>
      <c r="G22" s="83"/>
    </row>
    <row r="23" customFormat="false" ht="25.5" hidden="false" customHeight="true" outlineLevel="0" collapsed="false">
      <c r="A23" s="54" t="s">
        <v>145</v>
      </c>
      <c r="B23" s="43" t="n">
        <v>0.639901051626115</v>
      </c>
      <c r="C23" s="43" t="n">
        <v>0.657507360157017</v>
      </c>
      <c r="D23" s="84" t="n">
        <v>-1.7606308530902</v>
      </c>
      <c r="E23" s="39" t="n">
        <v>4076</v>
      </c>
      <c r="F23" s="42" t="s">
        <v>285</v>
      </c>
      <c r="G23" s="85"/>
    </row>
    <row r="24" customFormat="false" ht="25.5" hidden="false" customHeight="true" outlineLevel="0" collapsed="false">
      <c r="A24" s="53" t="s">
        <v>146</v>
      </c>
      <c r="B24" s="36" t="n">
        <v>0.32449829604648</v>
      </c>
      <c r="C24" s="36" t="n">
        <v>0.345436702649657</v>
      </c>
      <c r="D24" s="82" t="n">
        <v>-2.0938406603177</v>
      </c>
      <c r="E24" s="32" t="n">
        <v>4076</v>
      </c>
      <c r="F24" s="35" t="s">
        <v>285</v>
      </c>
      <c r="G24" s="83"/>
    </row>
    <row r="25" customFormat="false" ht="25.5" hidden="false" customHeight="true" outlineLevel="0" collapsed="false">
      <c r="A25" s="54" t="s">
        <v>159</v>
      </c>
      <c r="B25" s="43" t="n">
        <v>0.383267210581648</v>
      </c>
      <c r="C25" s="43" t="n">
        <v>0.39892051030422</v>
      </c>
      <c r="D25" s="84" t="n">
        <v>-1.56532997225714</v>
      </c>
      <c r="E25" s="39" t="n">
        <v>4076</v>
      </c>
      <c r="F25" s="42" t="s">
        <v>285</v>
      </c>
      <c r="G25" s="85"/>
    </row>
    <row r="26" customFormat="false" ht="25.5" hidden="false" customHeight="true" outlineLevel="0" collapsed="false">
      <c r="A26" s="53" t="s">
        <v>142</v>
      </c>
      <c r="B26" s="36" t="n">
        <v>0.407339808888171</v>
      </c>
      <c r="C26" s="36" t="n">
        <v>0.422718351324828</v>
      </c>
      <c r="D26" s="82" t="n">
        <v>-1.53785424366569</v>
      </c>
      <c r="E26" s="32" t="n">
        <v>4076</v>
      </c>
      <c r="F26" s="35" t="s">
        <v>285</v>
      </c>
      <c r="G26" s="83"/>
    </row>
    <row r="27" customFormat="false" ht="25.5" hidden="false" customHeight="true" outlineLevel="0" collapsed="false">
      <c r="A27" s="54" t="s">
        <v>53</v>
      </c>
      <c r="B27" s="43" t="n">
        <v>0.445798178681216</v>
      </c>
      <c r="C27" s="43" t="n">
        <v>0.487487733071639</v>
      </c>
      <c r="D27" s="84" t="n">
        <v>-4.16895543904226</v>
      </c>
      <c r="E27" s="39" t="n">
        <v>4076</v>
      </c>
      <c r="F27" s="42" t="s">
        <v>288</v>
      </c>
      <c r="G27" s="85" t="s">
        <v>392</v>
      </c>
    </row>
    <row r="28" customFormat="false" ht="25.5" hidden="false" customHeight="true" outlineLevel="0" collapsed="false">
      <c r="A28" s="53" t="s">
        <v>393</v>
      </c>
      <c r="B28" s="36" t="n">
        <v>0.763323096266212</v>
      </c>
      <c r="C28" s="36" t="n">
        <v>0.754906897206916</v>
      </c>
      <c r="D28" s="82" t="n">
        <v>0.841619905929625</v>
      </c>
      <c r="E28" s="32" t="n">
        <v>2937</v>
      </c>
      <c r="F28" s="35" t="s">
        <v>288</v>
      </c>
      <c r="G28" s="83" t="s">
        <v>394</v>
      </c>
    </row>
    <row r="29" customFormat="false" ht="25.5" hidden="false" customHeight="true" outlineLevel="0" collapsed="false">
      <c r="A29" s="54" t="s">
        <v>149</v>
      </c>
      <c r="B29" s="43" t="n">
        <v>0.663531435024558</v>
      </c>
      <c r="C29" s="43" t="n">
        <v>0.657019523085693</v>
      </c>
      <c r="D29" s="84" t="n">
        <v>0.651191193886525</v>
      </c>
      <c r="E29" s="39" t="n">
        <v>2937</v>
      </c>
      <c r="F29" s="42" t="s">
        <v>288</v>
      </c>
      <c r="G29" s="85" t="s">
        <v>395</v>
      </c>
    </row>
    <row r="30" customFormat="false" ht="25.5" hidden="false" customHeight="true" outlineLevel="0" collapsed="false">
      <c r="A30" s="53" t="s">
        <v>163</v>
      </c>
      <c r="B30" s="36" t="n">
        <v>0.555944769342005</v>
      </c>
      <c r="C30" s="36" t="n">
        <v>0.536443093292799</v>
      </c>
      <c r="D30" s="82" t="n">
        <v>1.95016760492064</v>
      </c>
      <c r="E30" s="32" t="n">
        <v>2937</v>
      </c>
      <c r="F30" s="35" t="s">
        <v>288</v>
      </c>
      <c r="G30" s="83" t="s">
        <v>396</v>
      </c>
    </row>
    <row r="31" customFormat="false" ht="25.5" hidden="false" customHeight="true" outlineLevel="0" collapsed="false">
      <c r="A31" s="54" t="s">
        <v>170</v>
      </c>
      <c r="B31" s="43" t="n">
        <v>0.448699738915833</v>
      </c>
      <c r="C31" s="43" t="n">
        <v>0.421184448033441</v>
      </c>
      <c r="D31" s="84" t="n">
        <v>2.75152908823917</v>
      </c>
      <c r="E31" s="39" t="n">
        <v>2937</v>
      </c>
      <c r="F31" s="42" t="s">
        <v>288</v>
      </c>
      <c r="G31" s="85" t="s">
        <v>397</v>
      </c>
    </row>
    <row r="32" customFormat="false" ht="25.5" hidden="false" customHeight="true" outlineLevel="0" collapsed="false">
      <c r="A32" s="53" t="s">
        <v>398</v>
      </c>
      <c r="B32" s="36" t="n">
        <v>0.348953013008566</v>
      </c>
      <c r="C32" s="36" t="n">
        <v>0.315693283298499</v>
      </c>
      <c r="D32" s="82" t="n">
        <v>3.32597297100672</v>
      </c>
      <c r="E32" s="32" t="n">
        <v>2937</v>
      </c>
      <c r="F32" s="35" t="s">
        <v>288</v>
      </c>
      <c r="G32" s="83" t="s">
        <v>399</v>
      </c>
    </row>
    <row r="33" customFormat="false" ht="25.5" hidden="false" customHeight="true" outlineLevel="0" collapsed="false">
      <c r="A33" s="54" t="s">
        <v>400</v>
      </c>
      <c r="B33" s="43" t="n">
        <v>0.26174107379087</v>
      </c>
      <c r="C33" s="43" t="n">
        <v>0.236020330609918</v>
      </c>
      <c r="D33" s="84" t="n">
        <v>2.57207431809517</v>
      </c>
      <c r="E33" s="39" t="n">
        <v>2937</v>
      </c>
      <c r="F33" s="42" t="s">
        <v>288</v>
      </c>
      <c r="G33" s="85" t="s">
        <v>401</v>
      </c>
    </row>
    <row r="34" customFormat="false" ht="25.5" hidden="false" customHeight="true" outlineLevel="0" collapsed="false">
      <c r="A34" s="53" t="s">
        <v>402</v>
      </c>
      <c r="B34" s="36" t="n">
        <v>0.849787900882427</v>
      </c>
      <c r="C34" s="36" t="n">
        <v>0.814514060421813</v>
      </c>
      <c r="D34" s="82" t="n">
        <v>3.52738404606146</v>
      </c>
      <c r="E34" s="32" t="n">
        <v>2937</v>
      </c>
      <c r="F34" s="35" t="s">
        <v>288</v>
      </c>
      <c r="G34" s="83" t="s">
        <v>403</v>
      </c>
    </row>
    <row r="35" customFormat="false" ht="25.5" hidden="false" customHeight="true" outlineLevel="0" collapsed="false">
      <c r="A35" s="54" t="s">
        <v>196</v>
      </c>
      <c r="B35" s="43" t="n">
        <v>0.707775741674711</v>
      </c>
      <c r="C35" s="43" t="n">
        <v>0.684313841915258</v>
      </c>
      <c r="D35" s="84" t="n">
        <v>2.34618997594539</v>
      </c>
      <c r="E35" s="39" t="n">
        <v>2937</v>
      </c>
      <c r="F35" s="42" t="s">
        <v>288</v>
      </c>
      <c r="G35" s="85" t="s">
        <v>404</v>
      </c>
    </row>
    <row r="36" customFormat="false" ht="25.5" hidden="false" customHeight="true" outlineLevel="0" collapsed="false">
      <c r="A36" s="53" t="s">
        <v>188</v>
      </c>
      <c r="B36" s="36" t="n">
        <v>0.54241627624372</v>
      </c>
      <c r="C36" s="36" t="n">
        <v>0.534262777883336</v>
      </c>
      <c r="D36" s="82" t="n">
        <v>0.815349836038326</v>
      </c>
      <c r="E36" s="32" t="n">
        <v>2937</v>
      </c>
      <c r="F36" s="35" t="s">
        <v>288</v>
      </c>
      <c r="G36" s="83" t="s">
        <v>405</v>
      </c>
    </row>
    <row r="37" customFormat="false" ht="25.5" hidden="false" customHeight="true" outlineLevel="0" collapsed="false">
      <c r="A37" s="54" t="s">
        <v>158</v>
      </c>
      <c r="B37" s="43" t="n">
        <v>0.382620783545492</v>
      </c>
      <c r="C37" s="43" t="n">
        <v>0.384532348470454</v>
      </c>
      <c r="D37" s="84" t="n">
        <v>-0.191156492496253</v>
      </c>
      <c r="E37" s="39" t="n">
        <v>2937</v>
      </c>
      <c r="F37" s="42" t="s">
        <v>288</v>
      </c>
      <c r="G37" s="85" t="s">
        <v>406</v>
      </c>
    </row>
    <row r="38" customFormat="false" ht="25.5" hidden="false" customHeight="true" outlineLevel="0" collapsed="false">
      <c r="A38" s="53" t="s">
        <v>407</v>
      </c>
      <c r="B38" s="36" t="n">
        <v>0.249415338279746</v>
      </c>
      <c r="C38" s="36" t="n">
        <v>0.238521280638419</v>
      </c>
      <c r="D38" s="82" t="n">
        <v>1.08940576413271</v>
      </c>
      <c r="E38" s="32" t="n">
        <v>2937</v>
      </c>
      <c r="F38" s="35" t="s">
        <v>288</v>
      </c>
      <c r="G38" s="83" t="s">
        <v>408</v>
      </c>
    </row>
  </sheetData>
  <autoFilter ref="A5:G38"/>
  <mergeCells count="3">
    <mergeCell ref="A2:G2"/>
    <mergeCell ref="B4:E4"/>
    <mergeCell ref="F4:G4"/>
  </mergeCells>
  <conditionalFormatting sqref="B6:B38">
    <cfRule type="colorScale" priority="2">
      <colorScale>
        <cfvo type="num" val="0"/>
        <cfvo type="num" val="1"/>
        <color rgb="FFFFFFFF"/>
        <color rgb="FF9EC5F4"/>
      </colorScale>
    </cfRule>
  </conditionalFormatting>
  <conditionalFormatting sqref="C6:C38">
    <cfRule type="colorScale" priority="3">
      <colorScale>
        <cfvo type="num" val="0"/>
        <cfvo type="num" val="1"/>
        <color rgb="FFFFFFFF"/>
        <color rgb="FF9EC5F4"/>
      </colorScale>
    </cfRule>
  </conditionalFormatting>
  <conditionalFormatting sqref="D6:D38">
    <cfRule type="cellIs" priority="4" operator="lessThan" aboveAverage="0" equalAverage="0" bottom="0" percent="0" rank="0" text="" dxfId="170">
      <formula>-3</formula>
    </cfRule>
  </conditionalFormatting>
  <conditionalFormatting sqref="F6:F38">
    <cfRule type="cellIs" priority="5" operator="equal" aboveAverage="0" equalAverage="0" bottom="0" percent="0" rank="0" text="" dxfId="164">
      <formula>"Alta"</formula>
    </cfRule>
    <cfRule type="cellIs" priority="6" operator="equal" aboveAverage="0" equalAverage="0" bottom="0" percent="0" rank="0" text="" dxfId="171">
      <formula>"Média"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2566E"/>
    <pageSetUpPr fitToPage="true"/>
  </sheetPr>
  <dimension ref="A1:H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8"/>
    <col collapsed="false" customWidth="true" hidden="false" outlineLevel="0" max="3" min="3" style="0" width="10"/>
    <col collapsed="false" customWidth="true" hidden="false" outlineLevel="0" max="5" min="4" style="0" width="12"/>
    <col collapsed="false" customWidth="true" hidden="false" outlineLevel="0" max="7" min="6" style="0" width="14"/>
    <col collapsed="false" customWidth="true" hidden="false" outlineLevel="0" max="8" min="8" style="0" width="12"/>
  </cols>
  <sheetData>
    <row r="1" customFormat="false" ht="30" hidden="false" customHeight="true" outlineLevel="0" collapsed="false">
      <c r="A1" s="23" t="s">
        <v>409</v>
      </c>
    </row>
    <row r="2" customFormat="false" ht="15.75" hidden="false" customHeight="true" outlineLevel="0" collapsed="false">
      <c r="A2" s="24" t="s">
        <v>410</v>
      </c>
      <c r="B2" s="24"/>
      <c r="C2" s="24"/>
      <c r="D2" s="24"/>
      <c r="E2" s="24"/>
      <c r="F2" s="24"/>
      <c r="G2" s="24"/>
      <c r="H2" s="24"/>
    </row>
    <row r="4" customFormat="false" ht="19.5" hidden="false" customHeight="true" outlineLevel="0" collapsed="false">
      <c r="A4" s="25" t="s">
        <v>411</v>
      </c>
      <c r="B4" s="25"/>
      <c r="C4" s="25"/>
      <c r="D4" s="27" t="s">
        <v>62</v>
      </c>
      <c r="E4" s="27"/>
      <c r="F4" s="66" t="s">
        <v>332</v>
      </c>
      <c r="G4" s="66"/>
      <c r="H4" s="19" t="s">
        <v>344</v>
      </c>
    </row>
    <row r="5" customFormat="false" ht="27.75" hidden="false" customHeight="true" outlineLevel="0" collapsed="false">
      <c r="A5" s="31" t="s">
        <v>412</v>
      </c>
      <c r="B5" s="31" t="s">
        <v>413</v>
      </c>
      <c r="C5" s="31" t="s">
        <v>414</v>
      </c>
      <c r="D5" s="31" t="s">
        <v>415</v>
      </c>
      <c r="E5" s="31" t="s">
        <v>416</v>
      </c>
      <c r="F5" s="31" t="s">
        <v>417</v>
      </c>
      <c r="G5" s="31" t="s">
        <v>418</v>
      </c>
      <c r="H5" s="31" t="s">
        <v>35</v>
      </c>
    </row>
    <row r="6" customFormat="false" ht="19.5" hidden="false" customHeight="true" outlineLevel="0" collapsed="false">
      <c r="A6" s="53" t="s">
        <v>8</v>
      </c>
      <c r="B6" s="32" t="n">
        <v>1</v>
      </c>
      <c r="C6" s="32" t="n">
        <v>60</v>
      </c>
      <c r="D6" s="38" t="n">
        <v>1.67516206028153</v>
      </c>
      <c r="E6" s="38" t="n">
        <v>0.632671170955452</v>
      </c>
      <c r="F6" s="38" t="n">
        <v>1.15920403824625</v>
      </c>
      <c r="G6" s="38" t="n">
        <v>0.824750004493059</v>
      </c>
      <c r="H6" s="38" t="n">
        <v>0.936734196983079</v>
      </c>
    </row>
    <row r="7" customFormat="false" ht="19.5" hidden="false" customHeight="true" outlineLevel="0" collapsed="false">
      <c r="A7" s="54" t="s">
        <v>102</v>
      </c>
      <c r="B7" s="39" t="n">
        <v>2</v>
      </c>
      <c r="C7" s="39" t="n">
        <v>57</v>
      </c>
      <c r="D7" s="45" t="n">
        <v>1.54028320201727</v>
      </c>
      <c r="E7" s="45" t="n">
        <v>0.574836028703949</v>
      </c>
      <c r="F7" s="45" t="n">
        <v>1.27383435058891</v>
      </c>
      <c r="G7" s="45" t="n">
        <v>0.86042349771485</v>
      </c>
      <c r="H7" s="45" t="n">
        <v>0.872003988512576</v>
      </c>
    </row>
    <row r="8" customFormat="false" ht="19.5" hidden="false" customHeight="true" outlineLevel="0" collapsed="false">
      <c r="A8" s="53" t="s">
        <v>92</v>
      </c>
      <c r="B8" s="32" t="n">
        <v>3</v>
      </c>
      <c r="C8" s="32" t="n">
        <v>49</v>
      </c>
      <c r="D8" s="38" t="n">
        <v>1.20481342873028</v>
      </c>
      <c r="E8" s="38" t="n">
        <v>0.760073500963766</v>
      </c>
      <c r="F8" s="38" t="n">
        <v>1.10577799228466</v>
      </c>
      <c r="G8" s="38" t="n">
        <v>0.914561887745962</v>
      </c>
      <c r="H8" s="38" t="n">
        <v>0.933219241993129</v>
      </c>
    </row>
    <row r="9" customFormat="false" ht="19.5" hidden="false" customHeight="true" outlineLevel="0" collapsed="false">
      <c r="A9" s="54" t="s">
        <v>98</v>
      </c>
      <c r="B9" s="39" t="n">
        <v>4</v>
      </c>
      <c r="C9" s="39" t="n">
        <v>48</v>
      </c>
      <c r="D9" s="45" t="n">
        <v>1.22251908530252</v>
      </c>
      <c r="E9" s="45" t="n">
        <v>0.742558431696304</v>
      </c>
      <c r="F9" s="45" t="n">
        <v>1.03558754390522</v>
      </c>
      <c r="G9" s="45" t="n">
        <v>0.869229898819683</v>
      </c>
      <c r="H9" s="45" t="n">
        <v>0.976408308367564</v>
      </c>
    </row>
    <row r="10" customFormat="false" ht="19.5" hidden="false" customHeight="true" outlineLevel="0" collapsed="false">
      <c r="A10" s="53" t="s">
        <v>103</v>
      </c>
      <c r="B10" s="32" t="n">
        <v>5</v>
      </c>
      <c r="C10" s="32" t="n">
        <v>46</v>
      </c>
      <c r="D10" s="38" t="n">
        <v>1.25586945572413</v>
      </c>
      <c r="E10" s="38" t="n">
        <v>0.85135510495589</v>
      </c>
      <c r="F10" s="38" t="n">
        <v>1.08872703794008</v>
      </c>
      <c r="G10" s="38" t="n">
        <v>0.914575125854376</v>
      </c>
      <c r="H10" s="38" t="n">
        <v>0.952420801948021</v>
      </c>
    </row>
    <row r="11" customFormat="false" ht="19.5" hidden="false" customHeight="true" outlineLevel="0" collapsed="false">
      <c r="A11" s="54" t="s">
        <v>96</v>
      </c>
      <c r="B11" s="39" t="n">
        <v>6</v>
      </c>
      <c r="C11" s="39" t="n">
        <v>45</v>
      </c>
      <c r="D11" s="45" t="n">
        <v>1.19939634206947</v>
      </c>
      <c r="E11" s="45" t="n">
        <v>0.695061172752625</v>
      </c>
      <c r="F11" s="45" t="n">
        <v>1.16396032331923</v>
      </c>
      <c r="G11" s="45" t="n">
        <v>0.861234331638214</v>
      </c>
      <c r="H11" s="45" t="n">
        <v>1.09334603510073</v>
      </c>
    </row>
    <row r="12" customFormat="false" ht="19.5" hidden="false" customHeight="true" outlineLevel="0" collapsed="false">
      <c r="A12" s="53" t="s">
        <v>90</v>
      </c>
      <c r="B12" s="32" t="n">
        <v>7</v>
      </c>
      <c r="C12" s="32" t="n">
        <v>40</v>
      </c>
      <c r="D12" s="38" t="n">
        <v>1.23255040831818</v>
      </c>
      <c r="E12" s="38" t="n">
        <v>0.759942365155946</v>
      </c>
      <c r="F12" s="38" t="n">
        <v>1.09039883975371</v>
      </c>
      <c r="G12" s="38" t="n">
        <v>0.89166628656337</v>
      </c>
      <c r="H12" s="38" t="n">
        <v>0.962406850963009</v>
      </c>
    </row>
    <row r="13" customFormat="false" ht="19.5" hidden="false" customHeight="true" outlineLevel="0" collapsed="false">
      <c r="A13" s="54" t="s">
        <v>88</v>
      </c>
      <c r="B13" s="39" t="n">
        <v>8</v>
      </c>
      <c r="C13" s="39" t="n">
        <v>38</v>
      </c>
      <c r="D13" s="45" t="n">
        <v>1.18747189975123</v>
      </c>
      <c r="E13" s="45" t="n">
        <v>0.876502478360577</v>
      </c>
      <c r="F13" s="45" t="n">
        <v>1.01748576761031</v>
      </c>
      <c r="G13" s="45" t="n">
        <v>0.98285797436349</v>
      </c>
      <c r="H13" s="45" t="n">
        <v>1.0960246884601</v>
      </c>
    </row>
    <row r="14" customFormat="false" ht="19.5" hidden="false" customHeight="true" outlineLevel="0" collapsed="false">
      <c r="A14" s="53" t="s">
        <v>99</v>
      </c>
      <c r="B14" s="32" t="n">
        <v>9</v>
      </c>
      <c r="C14" s="32" t="n">
        <v>38</v>
      </c>
      <c r="D14" s="38" t="n">
        <v>1.09236520830918</v>
      </c>
      <c r="E14" s="38" t="n">
        <v>1.05801299902667</v>
      </c>
      <c r="F14" s="38" t="n">
        <v>0.808627485998961</v>
      </c>
      <c r="G14" s="38" t="n">
        <v>1.1613881240175</v>
      </c>
      <c r="H14" s="38" t="n">
        <v>0.908514553337919</v>
      </c>
    </row>
    <row r="15" customFormat="false" ht="19.5" hidden="false" customHeight="true" outlineLevel="0" collapsed="false">
      <c r="A15" s="54" t="s">
        <v>91</v>
      </c>
      <c r="B15" s="39" t="n">
        <v>10</v>
      </c>
      <c r="C15" s="39" t="n">
        <v>36</v>
      </c>
      <c r="D15" s="45" t="n">
        <v>1.16927646583108</v>
      </c>
      <c r="E15" s="45" t="n">
        <v>0.833712979058762</v>
      </c>
      <c r="F15" s="45" t="n">
        <v>1.10179510762527</v>
      </c>
      <c r="G15" s="45" t="n">
        <v>1.03713360922835</v>
      </c>
      <c r="H15" s="45" t="n">
        <v>1.16375903530338</v>
      </c>
    </row>
    <row r="16" customFormat="false" ht="19.5" hidden="false" customHeight="true" outlineLevel="0" collapsed="false">
      <c r="A16" s="53" t="s">
        <v>87</v>
      </c>
      <c r="B16" s="32" t="n">
        <v>11</v>
      </c>
      <c r="C16" s="32" t="n">
        <v>36</v>
      </c>
      <c r="D16" s="38" t="n">
        <v>1.13220569124886</v>
      </c>
      <c r="E16" s="38" t="n">
        <v>0.734200332963586</v>
      </c>
      <c r="F16" s="38" t="n">
        <v>1.14566068290142</v>
      </c>
      <c r="G16" s="38" t="n">
        <v>0.877687685637956</v>
      </c>
      <c r="H16" s="38" t="n">
        <v>0.973276919067203</v>
      </c>
    </row>
    <row r="17" customFormat="false" ht="19.5" hidden="false" customHeight="true" outlineLevel="0" collapsed="false">
      <c r="A17" s="54" t="s">
        <v>93</v>
      </c>
      <c r="B17" s="39" t="n">
        <v>12</v>
      </c>
      <c r="C17" s="39" t="n">
        <v>35</v>
      </c>
      <c r="D17" s="45" t="n">
        <v>1.31687006978134</v>
      </c>
      <c r="E17" s="45" t="n">
        <v>0.763914122906379</v>
      </c>
      <c r="F17" s="45" t="n">
        <v>0.981069286337367</v>
      </c>
      <c r="G17" s="45" t="n">
        <v>0.869611926869194</v>
      </c>
      <c r="H17" s="45" t="n">
        <v>1.07740353605567</v>
      </c>
    </row>
    <row r="18" customFormat="false" ht="19.5" hidden="false" customHeight="true" outlineLevel="0" collapsed="false">
      <c r="A18" s="53" t="s">
        <v>106</v>
      </c>
      <c r="B18" s="32" t="n">
        <v>13</v>
      </c>
      <c r="C18" s="32" t="n">
        <v>33</v>
      </c>
      <c r="D18" s="38" t="n">
        <v>0.98429880038011</v>
      </c>
      <c r="E18" s="38" t="n">
        <v>0.912501845048134</v>
      </c>
      <c r="F18" s="38" t="n">
        <v>0.893579383729258</v>
      </c>
      <c r="G18" s="38" t="n">
        <v>0.93844585448413</v>
      </c>
      <c r="H18" s="38" t="n">
        <v>1.1533886622583</v>
      </c>
    </row>
    <row r="19" customFormat="false" ht="19.5" hidden="false" customHeight="true" outlineLevel="0" collapsed="false">
      <c r="A19" s="54" t="s">
        <v>101</v>
      </c>
      <c r="B19" s="39" t="n">
        <v>14</v>
      </c>
      <c r="C19" s="39" t="n">
        <v>32</v>
      </c>
      <c r="D19" s="45" t="n">
        <v>1.10141287983976</v>
      </c>
      <c r="E19" s="45" t="n">
        <v>0.752430533409899</v>
      </c>
      <c r="F19" s="45" t="n">
        <v>1.01049461975465</v>
      </c>
      <c r="G19" s="45" t="n">
        <v>0.930981665453193</v>
      </c>
      <c r="H19" s="45" t="n">
        <v>1.09981614388912</v>
      </c>
    </row>
    <row r="20" customFormat="false" ht="19.5" hidden="false" customHeight="true" outlineLevel="0" collapsed="false">
      <c r="A20" s="53" t="s">
        <v>95</v>
      </c>
      <c r="B20" s="32" t="n">
        <v>15</v>
      </c>
      <c r="C20" s="32" t="n">
        <v>32</v>
      </c>
      <c r="D20" s="38" t="n">
        <v>1.33315184249246</v>
      </c>
      <c r="E20" s="38" t="n">
        <v>0.818183901266007</v>
      </c>
      <c r="F20" s="38" t="n">
        <v>1.14937128879001</v>
      </c>
      <c r="G20" s="38" t="n">
        <v>1.01680780768639</v>
      </c>
      <c r="H20" s="38" t="n">
        <v>0.939255068011253</v>
      </c>
    </row>
    <row r="21" customFormat="false" ht="19.5" hidden="false" customHeight="true" outlineLevel="0" collapsed="false">
      <c r="A21" s="54" t="s">
        <v>84</v>
      </c>
      <c r="B21" s="39" t="n">
        <v>16</v>
      </c>
      <c r="C21" s="39" t="n">
        <v>31</v>
      </c>
      <c r="D21" s="45" t="n">
        <v>1.17449017113092</v>
      </c>
      <c r="E21" s="45" t="n">
        <v>0.963267778826995</v>
      </c>
      <c r="F21" s="45" t="n">
        <v>0.951582904373412</v>
      </c>
      <c r="G21" s="45" t="n">
        <v>0.878574699215596</v>
      </c>
      <c r="H21" s="45" t="n">
        <v>0.904511941711051</v>
      </c>
    </row>
    <row r="22" customFormat="false" ht="19.5" hidden="false" customHeight="true" outlineLevel="0" collapsed="false">
      <c r="A22" s="53" t="s">
        <v>105</v>
      </c>
      <c r="B22" s="32" t="n">
        <v>17</v>
      </c>
      <c r="C22" s="32" t="n">
        <v>29</v>
      </c>
      <c r="D22" s="38" t="n">
        <v>1.19314201350346</v>
      </c>
      <c r="E22" s="38" t="n">
        <v>0.85530457821474</v>
      </c>
      <c r="F22" s="38" t="n">
        <v>0.918092684903612</v>
      </c>
      <c r="G22" s="38" t="n">
        <v>0.94650545199376</v>
      </c>
      <c r="H22" s="38" t="n">
        <v>1.04059946387782</v>
      </c>
    </row>
    <row r="23" customFormat="false" ht="19.5" hidden="false" customHeight="true" outlineLevel="0" collapsed="false">
      <c r="A23" s="54" t="s">
        <v>100</v>
      </c>
      <c r="B23" s="39" t="n">
        <v>18</v>
      </c>
      <c r="C23" s="39" t="n">
        <v>28</v>
      </c>
      <c r="D23" s="45" t="n">
        <v>1.17062054311697</v>
      </c>
      <c r="E23" s="45" t="n">
        <v>0.779739716445254</v>
      </c>
      <c r="F23" s="45" t="n">
        <v>1.1221156566649</v>
      </c>
      <c r="G23" s="45" t="n">
        <v>0.836626198101748</v>
      </c>
      <c r="H23" s="45" t="n">
        <v>0.978470884328546</v>
      </c>
    </row>
    <row r="24" customFormat="false" ht="19.5" hidden="false" customHeight="true" outlineLevel="0" collapsed="false">
      <c r="A24" s="53" t="s">
        <v>104</v>
      </c>
      <c r="B24" s="32" t="n">
        <v>19</v>
      </c>
      <c r="C24" s="32" t="n">
        <v>23</v>
      </c>
      <c r="D24" s="38" t="n">
        <v>1.08292247974894</v>
      </c>
      <c r="E24" s="38" t="n">
        <v>1.06574248558709</v>
      </c>
      <c r="F24" s="38" t="n">
        <v>0.934554733267975</v>
      </c>
      <c r="G24" s="38" t="n">
        <v>1.25021044010215</v>
      </c>
      <c r="H24" s="38" t="n">
        <v>0.821796041853567</v>
      </c>
    </row>
    <row r="25" customFormat="false" ht="19.5" hidden="false" customHeight="true" outlineLevel="0" collapsed="false">
      <c r="A25" s="54" t="s">
        <v>83</v>
      </c>
      <c r="B25" s="39" t="n">
        <v>20</v>
      </c>
      <c r="C25" s="39" t="n">
        <v>18</v>
      </c>
      <c r="D25" s="45" t="n">
        <v>0.939026264955727</v>
      </c>
      <c r="E25" s="45" t="n">
        <v>1.15528498337749</v>
      </c>
      <c r="F25" s="45" t="n">
        <v>0.804907602205264</v>
      </c>
      <c r="G25" s="45" t="n">
        <v>1.1485899163202</v>
      </c>
      <c r="H25" s="45" t="n">
        <v>0.918867438472875</v>
      </c>
    </row>
    <row r="27" customFormat="false" ht="15" hidden="false" customHeight="false" outlineLevel="0" collapsed="false">
      <c r="A27" s="22" t="s">
        <v>419</v>
      </c>
      <c r="B27" s="22"/>
      <c r="C27" s="22"/>
      <c r="D27" s="22"/>
      <c r="E27" s="22"/>
      <c r="F27" s="22"/>
      <c r="G27" s="22"/>
      <c r="H27" s="22"/>
    </row>
  </sheetData>
  <mergeCells count="5">
    <mergeCell ref="A2:H2"/>
    <mergeCell ref="A4:C4"/>
    <mergeCell ref="D4:E4"/>
    <mergeCell ref="F4:G4"/>
    <mergeCell ref="A27:H27"/>
  </mergeCells>
  <conditionalFormatting sqref="D6:D25">
    <cfRule type="colorScale" priority="2">
      <colorScale>
        <cfvo type="min" val="0"/>
        <cfvo type="max" val="0"/>
        <color rgb="FFFFFFFF"/>
        <color rgb="FF9EC5F4"/>
      </colorScale>
    </cfRule>
  </conditionalFormatting>
  <conditionalFormatting sqref="E6:E25">
    <cfRule type="colorScale" priority="3">
      <colorScale>
        <cfvo type="min" val="0"/>
        <cfvo type="max" val="0"/>
        <color rgb="FF9EC5F4"/>
        <color rgb="FFFFFFFF"/>
      </colorScale>
    </cfRule>
  </conditionalFormatting>
  <conditionalFormatting sqref="F6:F25">
    <cfRule type="colorScale" priority="4">
      <colorScale>
        <cfvo type="min" val="0"/>
        <cfvo type="max" val="0"/>
        <color rgb="FFFFFFFF"/>
        <color rgb="FF9EC5F4"/>
      </colorScale>
    </cfRule>
  </conditionalFormatting>
  <conditionalFormatting sqref="G6:G25">
    <cfRule type="colorScale" priority="5">
      <colorScale>
        <cfvo type="min" val="0"/>
        <cfvo type="max" val="0"/>
        <color rgb="FF9EC5F4"/>
        <color rgb="FFFFFFFF"/>
      </colorScale>
    </cfRule>
  </conditionalFormatting>
  <conditionalFormatting sqref="H6:H25">
    <cfRule type="colorScale" priority="6">
      <colorScale>
        <cfvo type="min" val="0"/>
        <cfvo type="max" val="0"/>
        <color rgb="FF9EC5F4"/>
        <color rgb="FFFFFFFF"/>
      </colorScale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2026-09-24T00:04:16Z</dcterms:created>
  <dc:creator>openpyxl</dc:creator>
  <dc:description/>
  <dc:language>en-US</dc:language>
  <cp:lastModifiedBy/>
  <dcterms:modified xsi:type="dcterms:W3CDTF">2026-09-24T00:04:18Z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
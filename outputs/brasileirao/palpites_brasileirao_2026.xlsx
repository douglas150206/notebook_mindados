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lpites" sheetId="2" state="visible" r:id="rId4"/>
    <sheet name="Resultado 1X2" sheetId="3" state="visible" r:id="rId5"/>
    <sheet name="Gols" sheetId="4" state="visible" r:id="rId6"/>
    <sheet name="Multi-Gols" sheetId="5" state="visible" r:id="rId7"/>
    <sheet name="Ambas Marcam" sheetId="6" state="visible" r:id="rId8"/>
    <sheet name="Escanteios" sheetId="7" state="visible" r:id="rId9"/>
    <sheet name="Cartões" sheetId="8" state="visible" r:id="rId10"/>
    <sheet name="Dados" sheetId="9" state="hidden" r:id="rId11"/>
    <sheet name="Calculadora" sheetId="10" state="visible" r:id="rId12"/>
    <sheet name="Confiabilidade" sheetId="11" state="visible" r:id="rId13"/>
    <sheet name="Times" sheetId="12" state="visible" r:id="rId14"/>
  </sheets>
  <definedNames>
    <definedName function="false" hidden="false" localSheetId="5" name="_xlnm.Print_Titles" vbProcedure="false">'Ambas Marcam'!$3:$3</definedName>
    <definedName function="false" hidden="true" localSheetId="5" name="_xlnm._FilterDatabase" vbProcedure="false">'Ambas Marcam'!$A$3:$G$106</definedName>
    <definedName function="false" hidden="false" localSheetId="7" name="_xlnm.Print_Titles" vbProcedure="false">Cartões!$3:$3</definedName>
    <definedName function="false" hidden="true" localSheetId="7" name="_xlnm._FilterDatabase" vbProcedure="false">Cartões!$A$3:$K$106</definedName>
    <definedName function="false" hidden="false" localSheetId="10" name="_xlnm.Print_Titles" vbProcedure="false">Confiabilidade!$4:$4</definedName>
    <definedName function="false" hidden="true" localSheetId="10" name="_xlnm._FilterDatabase" vbProcedure="false">Confiabilidade!$A$4:$G$37</definedName>
    <definedName function="false" hidden="false" localSheetId="6" name="_xlnm.Print_Titles" vbProcedure="false">Escanteios!$3:$3</definedName>
    <definedName function="false" hidden="true" localSheetId="6" name="_xlnm._FilterDatabase" vbProcedure="false">Escanteios!$A$3:$L$106</definedName>
    <definedName function="false" hidden="false" localSheetId="3" name="_xlnm.Print_Titles" vbProcedure="false">Gols!$1:$1</definedName>
    <definedName function="false" hidden="true" localSheetId="3" name="_xlnm._FilterDatabase" vbProcedure="false">Gols!$A$1:$L$104</definedName>
    <definedName function="false" hidden="false" localSheetId="4" name="_xlnm.Print_Titles" vbProcedure="false">'Multi-Gols'!$1:$1</definedName>
    <definedName function="false" hidden="true" localSheetId="4" name="_xlnm._FilterDatabase" vbProcedure="false">'Multi-Gols'!$A$1:$O$104</definedName>
    <definedName function="false" hidden="false" localSheetId="1" name="_xlnm.Print_Titles" vbProcedure="false">Palpites!$1:$1</definedName>
    <definedName function="false" hidden="true" localSheetId="1" name="_xlnm._FilterDatabase" vbProcedure="false">Palpites!$A$1:$Z$104</definedName>
    <definedName function="false" hidden="false" localSheetId="2" name="_xlnm.Print_Titles" vbProcedure="false">'Resultado 1X2'!$1:$1</definedName>
    <definedName function="false" hidden="true" localSheetId="2" name="_xlnm._FilterDatabase" vbProcedure="false">'Resultado 1X2'!$A$1:$K$104</definedName>
    <definedName function="false" hidden="false" localSheetId="11" name="_xlnm.Print_Titles" vbProcedure="false">Times!$4:$4</definedName>
    <definedName function="false" hidden="false" name="Lista_Mercados" vbProcedure="false">Dados!$B$1:$Y$1</definedName>
    <definedName function="false" hidden="false" name="Lista_Partidas" vbProcedure="false">Dados!$A$2:$A$104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<sst xmlns="http://schemas.openxmlformats.org/spreadsheetml/2006/main" count="2290" uniqueCount="337">
  <si>
    <t xml:space="preserve">PALPITES DO BRASILEIRÃO SÉRIE A 2026</t>
  </si>
  <si>
    <t xml:space="preserve">Gerado em 23/09/2026 23:17 · dados até 20/09/2026 · 103 partidas restantes</t>
  </si>
  <si>
    <t xml:space="preserve">O QUE TEM AQUI</t>
  </si>
  <si>
    <t xml:space="preserve">Aba</t>
  </si>
  <si>
    <t xml:space="preserve">Para que serve</t>
  </si>
  <si>
    <t xml:space="preserve">Palpites</t>
  </si>
  <si>
    <t xml:space="preserve">Todas as partidas com os principais mercados, uma linha por jogo. Comece por aqui.</t>
  </si>
  <si>
    <t xml:space="preserve">Resultado 1X2</t>
  </si>
  <si>
    <t xml:space="preserve">Vitória, empate, derrota, dupla chance e a cotação mínima de cada um.</t>
  </si>
  <si>
    <t xml:space="preserve">Gols</t>
  </si>
  <si>
    <t xml:space="preserve">Mais/menos de 0,5 a 4,5 gols, gols esperados e placar mais provável.</t>
  </si>
  <si>
    <t xml:space="preserve">Multi-Gols</t>
  </si>
  <si>
    <t xml:space="preserve">Probabilidade de o total de gols cair em cada faixa (0-1, 1-2, 1-3...).</t>
  </si>
  <si>
    <t xml:space="preserve">Ambas Marcam</t>
  </si>
  <si>
    <t xml:space="preserve">Ambas marcam sim/não e a chance de cada equipe marcar.</t>
  </si>
  <si>
    <t xml:space="preserve">Escanteios</t>
  </si>
  <si>
    <t xml:space="preserve">Escanteios esperados e linhas de mais/menos. CONFIANÇA BAIXA.</t>
  </si>
  <si>
    <t xml:space="preserve">Cartões</t>
  </si>
  <si>
    <t xml:space="preserve">Cartões esperados e linhas de mais/menos. CONFIANÇA BAIXA.</t>
  </si>
  <si>
    <t xml:space="preserve">Calculadora</t>
  </si>
  <si>
    <t xml:space="preserve">Escolha a partida e o mercado, digite a cotação e veja se vale a pena.</t>
  </si>
  <si>
    <t xml:space="preserve">Confiabilidade</t>
  </si>
  <si>
    <t xml:space="preserve">Quanto cada mercado errou em testes fora da amostra.</t>
  </si>
  <si>
    <t xml:space="preserve">Times</t>
  </si>
  <si>
    <t xml:space="preserve">Força de ataque e defesa de cada clube, em gols, escanteios e cartões.</t>
  </si>
  <si>
    <t xml:space="preserve">CONFIANÇA DE CADA FAMÍLIA DE MERCADO</t>
  </si>
  <si>
    <t xml:space="preserve">Resultado, gols, multi-gols</t>
  </si>
  <si>
    <t xml:space="preserve">ALTA</t>
  </si>
  <si>
    <t xml:space="preserve">Modelo de Poisson com correção de Dixon-Coles, ajustado com TODAS as partidas até a rodada mais recente de 2026. Testado em 4.076 partidas fora da amostra.</t>
  </si>
  <si>
    <t xml:space="preserve">Ambas as equipes marcam</t>
  </si>
  <si>
    <t xml:space="preserve">MÉDIA</t>
  </si>
  <si>
    <t xml:space="preserve">Mesmo modelo, mas ele supõe que os gols dos dois times são independentes e por isso SUBESTIMA este mercado em cerca de 4 pontos percentuais (valor medido).</t>
  </si>
  <si>
    <t xml:space="preserve">Escanteios e cartões</t>
  </si>
  <si>
    <t xml:space="preserve">BAIXA</t>
  </si>
  <si>
    <t xml:space="preserve">Vêm de outra base pública, que só tem estatística preenchida de 2015 a 2023 — não há 2024, 2025 nem 2026. Mirassol e Remo não têm nenhum histórico nela e caem na média da liga. Trate como ordem de grandeza, não como número fino.</t>
  </si>
  <si>
    <t xml:space="preserve">COMO LER AS PROBABILIDADES</t>
  </si>
  <si>
    <t xml:space="preserve">•  A coluna de probabilidade é a chance de o evento acontecer segundo o modelo.</t>
  </si>
  <si>
    <t xml:space="preserve">•  A 'cotação mínima' é 1 dividido por essa probabilidade: é o preço de equilíbrio.</t>
  </si>
  <si>
    <t xml:space="preserve">•  Se a casa paga ACIMA da cotação mínima, a aposta tem valor esperado positivo.</t>
  </si>
  <si>
    <t xml:space="preserve">•  Se paga ABAIXO, tem valor esperado negativo — mesmo que o palpite acerte com frequência.</t>
  </si>
  <si>
    <t xml:space="preserve">•  A cotação NÃO muda a chance de acertar. Ela muda o quanto se recebe por acertar.</t>
  </si>
  <si>
    <t xml:space="preserve">AVISO IMPORTANTE</t>
  </si>
  <si>
    <t xml:space="preserve">Esta planilha é um trabalho de análise de dados, não um sistema de apostas.</t>
  </si>
  <si>
    <t xml:space="preserve">A análise do próprio projeto mostrou que o retorno esperado é NEGATIVO em todas as</t>
  </si>
  <si>
    <t xml:space="preserve">faixas de cotação do Brasileirão (de -1,7% nas cotações baixas a -31,8% acima de 10),</t>
  </si>
  <si>
    <t xml:space="preserve">e que apostar só onde o modelo enxerga vantagem PIORA o resultado, não melhora.</t>
  </si>
  <si>
    <t xml:space="preserve">O mercado acerta mais que este modelo: 51,3% contra 48,9% de acurácia no 1X2.</t>
  </si>
  <si>
    <t xml:space="preserve">Aposta é entretenimento com custo esperado. Nenhuma linha aqui é recomendação.</t>
  </si>
  <si>
    <t xml:space="preserve">Fonte dos gols e cotações: Football-Data.co.uk (via espelho público). Fonte de escanteios e cartões: adaoduque/Brasileirao_Dataset (2015-2023).</t>
  </si>
  <si>
    <t xml:space="preserve">Nº</t>
  </si>
  <si>
    <t xml:space="preserve">Mandante</t>
  </si>
  <si>
    <t xml:space="preserve">Visitante</t>
  </si>
  <si>
    <t xml:space="preserve">Palpite 1X2</t>
  </si>
  <si>
    <t xml:space="preserve">Placar provável</t>
  </si>
  <si>
    <t xml:space="preserve">Casa</t>
  </si>
  <si>
    <t xml:space="preserve">Empate</t>
  </si>
  <si>
    <t xml:space="preserve">Fora</t>
  </si>
  <si>
    <t xml:space="preserve">1X</t>
  </si>
  <si>
    <t xml:space="preserve">12</t>
  </si>
  <si>
    <t xml:space="preserve">X2</t>
  </si>
  <si>
    <t xml:space="preserve">Gols esperados</t>
  </si>
  <si>
    <t xml:space="preserve">+1,5</t>
  </si>
  <si>
    <t xml:space="preserve">+2,5</t>
  </si>
  <si>
    <t xml:space="preserve">+3,5</t>
  </si>
  <si>
    <t xml:space="preserve">Ambas marcam</t>
  </si>
  <si>
    <t xml:space="preserve">Multi 1-3</t>
  </si>
  <si>
    <t xml:space="preserve">Multi 2-4</t>
  </si>
  <si>
    <t xml:space="preserve">Esc +8,5</t>
  </si>
  <si>
    <t xml:space="preserve">Esc +9,5</t>
  </si>
  <si>
    <t xml:space="preserve">Cart +3,5</t>
  </si>
  <si>
    <t xml:space="preserve">Cart +4,5</t>
  </si>
  <si>
    <t xml:space="preserve">Palpite mais seguro</t>
  </si>
  <si>
    <t xml:space="preserve">Chance</t>
  </si>
  <si>
    <t xml:space="preserve">Athletico-PR</t>
  </si>
  <si>
    <t xml:space="preserve">Atletico-MG</t>
  </si>
  <si>
    <t xml:space="preserve">1-0</t>
  </si>
  <si>
    <t xml:space="preserve">Multi-gols 1-4</t>
  </si>
  <si>
    <t xml:space="preserve">Palmeiras</t>
  </si>
  <si>
    <t xml:space="preserve">1-1</t>
  </si>
  <si>
    <t xml:space="preserve">Remo</t>
  </si>
  <si>
    <t xml:space="preserve">Casa ou empate (1X)</t>
  </si>
  <si>
    <t xml:space="preserve">Sao Paulo</t>
  </si>
  <si>
    <t xml:space="preserve">Vasco</t>
  </si>
  <si>
    <t xml:space="preserve">Bragantino</t>
  </si>
  <si>
    <t xml:space="preserve">Corinthians</t>
  </si>
  <si>
    <t xml:space="preserve">Coritiba</t>
  </si>
  <si>
    <t xml:space="preserve">Cruzeiro</t>
  </si>
  <si>
    <t xml:space="preserve">Santos</t>
  </si>
  <si>
    <t xml:space="preserve">Bahia</t>
  </si>
  <si>
    <t xml:space="preserve">Flamengo RJ</t>
  </si>
  <si>
    <t xml:space="preserve">Mirassol</t>
  </si>
  <si>
    <t xml:space="preserve">Botafogo RJ</t>
  </si>
  <si>
    <t xml:space="preserve">Chapecoense-SC</t>
  </si>
  <si>
    <t xml:space="preserve">2-0</t>
  </si>
  <si>
    <t xml:space="preserve">Fluminense</t>
  </si>
  <si>
    <t xml:space="preserve">0-1</t>
  </si>
  <si>
    <t xml:space="preserve">Empate ou fora (X2)</t>
  </si>
  <si>
    <t xml:space="preserve">Gremio</t>
  </si>
  <si>
    <t xml:space="preserve">Vitoria</t>
  </si>
  <si>
    <t xml:space="preserve">Internacional</t>
  </si>
  <si>
    <t xml:space="preserve">Menos de 3,5 gols</t>
  </si>
  <si>
    <t xml:space="preserve">Mais de 1,5 gols</t>
  </si>
  <si>
    <t xml:space="preserve">Colunas em laranja (escanteios e cartões) têm CONFIANÇA BAIXA: vêm de base que só cobre 2015-2023. Ver aba Leia-me.</t>
  </si>
  <si>
    <t xml:space="preserve">Chance do placar</t>
  </si>
  <si>
    <t xml:space="preserve">Gols esp. mandante</t>
  </si>
  <si>
    <t xml:space="preserve">Gols esp. visitante</t>
  </si>
  <si>
    <t xml:space="preserve">Gols esp. total</t>
  </si>
  <si>
    <t xml:space="preserve">+0,5</t>
  </si>
  <si>
    <t xml:space="preserve">+4,5</t>
  </si>
  <si>
    <t xml:space="preserve">-2,5</t>
  </si>
  <si>
    <t xml:space="preserve">0-2</t>
  </si>
  <si>
    <t xml:space="preserve">0-3</t>
  </si>
  <si>
    <t xml:space="preserve">1-2</t>
  </si>
  <si>
    <t xml:space="preserve">1-3</t>
  </si>
  <si>
    <t xml:space="preserve">1-4</t>
  </si>
  <si>
    <t xml:space="preserve">2-3</t>
  </si>
  <si>
    <t xml:space="preserve">2-4</t>
  </si>
  <si>
    <t xml:space="preserve">2-5</t>
  </si>
  <si>
    <t xml:space="preserve">3-4</t>
  </si>
  <si>
    <t xml:space="preserve">3-5</t>
  </si>
  <si>
    <t xml:space="preserve">3-6</t>
  </si>
  <si>
    <t xml:space="preserve">ATENÇÃO: este mercado é SUBESTIMADO pelo modelo em cerca de 4 pontos percentuais (viés medido fora da amostra). Ver aba Confiabilidade.</t>
  </si>
  <si>
    <t xml:space="preserve">Ambas SIM</t>
  </si>
  <si>
    <t xml:space="preserve">Ambas NÃO</t>
  </si>
  <si>
    <t xml:space="preserve">Mandante marca</t>
  </si>
  <si>
    <t xml:space="preserve">Visitante marca</t>
  </si>
  <si>
    <t xml:space="preserve">CONFIANÇA BAIXA: escanteios vêm de base que só cobre 2015-2023. Mirassol e Remo não têm histórico e usam a média da liga.</t>
  </si>
  <si>
    <t xml:space="preserve">Esc. mandante</t>
  </si>
  <si>
    <t xml:space="preserve">Esc. visitante</t>
  </si>
  <si>
    <t xml:space="preserve">Esc. total</t>
  </si>
  <si>
    <t xml:space="preserve">+7,5</t>
  </si>
  <si>
    <t xml:space="preserve">+8,5</t>
  </si>
  <si>
    <t xml:space="preserve">+9,5</t>
  </si>
  <si>
    <t xml:space="preserve">+10,5</t>
  </si>
  <si>
    <t xml:space="preserve">+11,5</t>
  </si>
  <si>
    <t xml:space="preserve">+12,5</t>
  </si>
  <si>
    <t xml:space="preserve">CONFIANÇA BAIXA: cartões vêm de base que só cobre 2015-2023 e o modelo SUBESTIMA as linhas em cerca de 4 pontos percentuais. Mirassol e Remo usam a média da liga.</t>
  </si>
  <si>
    <t xml:space="preserve">Cart. mandante</t>
  </si>
  <si>
    <t xml:space="preserve">Cart. visitante</t>
  </si>
  <si>
    <t xml:space="preserve">Cart. total</t>
  </si>
  <si>
    <t xml:space="preserve">+5,5</t>
  </si>
  <si>
    <t xml:space="preserve">+6,5</t>
  </si>
  <si>
    <t xml:space="preserve">Partida</t>
  </si>
  <si>
    <t xml:space="preserve">Vitória do mandante</t>
  </si>
  <si>
    <t xml:space="preserve">Vitória do visitante</t>
  </si>
  <si>
    <t xml:space="preserve">Dupla chance 1X (casa ou empate)</t>
  </si>
  <si>
    <t xml:space="preserve">Dupla chance 12 (casa ou fora)</t>
  </si>
  <si>
    <t xml:space="preserve">Dupla chance X2 (empate ou fora)</t>
  </si>
  <si>
    <t xml:space="preserve">Mais de 0,5 gol</t>
  </si>
  <si>
    <t xml:space="preserve">Mais de 2,5 gols</t>
  </si>
  <si>
    <t xml:space="preserve">Mais de 3,5 gols</t>
  </si>
  <si>
    <t xml:space="preserve">Menos de 2,5 gols</t>
  </si>
  <si>
    <t xml:space="preserve">Ambas as equipes marcam - SIM</t>
  </si>
  <si>
    <t xml:space="preserve">Ambas as equipes marcam - NÃO</t>
  </si>
  <si>
    <t xml:space="preserve">Multi-gols 1-2</t>
  </si>
  <si>
    <t xml:space="preserve">Multi-gols 1-3</t>
  </si>
  <si>
    <t xml:space="preserve">Multi-gols 2-3</t>
  </si>
  <si>
    <t xml:space="preserve">Multi-gols 2-4</t>
  </si>
  <si>
    <t xml:space="preserve">Mais de 8,5 escanteios</t>
  </si>
  <si>
    <t xml:space="preserve">Mais de 9,5 escanteios</t>
  </si>
  <si>
    <t xml:space="preserve">Mais de 10,5 escanteios</t>
  </si>
  <si>
    <t xml:space="preserve">Mais de 3,5 cartões</t>
  </si>
  <si>
    <t xml:space="preserve">Mais de 4,5 cartões</t>
  </si>
  <si>
    <t xml:space="preserve">Mais de 5,5 cartões</t>
  </si>
  <si>
    <t xml:space="preserve">Athletico-PR x Atletico-MG</t>
  </si>
  <si>
    <t xml:space="preserve">Athletico-PR x Palmeiras</t>
  </si>
  <si>
    <t xml:space="preserve">Athletico-PR x Remo</t>
  </si>
  <si>
    <t xml:space="preserve">Athletico-PR x Sao Paulo</t>
  </si>
  <si>
    <t xml:space="preserve">Athletico-PR x Vasco</t>
  </si>
  <si>
    <t xml:space="preserve">Atletico-MG x Bragantino</t>
  </si>
  <si>
    <t xml:space="preserve">Atletico-MG x Corinthians</t>
  </si>
  <si>
    <t xml:space="preserve">Atletico-MG x Coritiba</t>
  </si>
  <si>
    <t xml:space="preserve">Atletico-MG x Cruzeiro</t>
  </si>
  <si>
    <t xml:space="preserve">Atletico-MG x Santos</t>
  </si>
  <si>
    <t xml:space="preserve">Atletico-MG x Vasco</t>
  </si>
  <si>
    <t xml:space="preserve">Bahia x Atletico-MG</t>
  </si>
  <si>
    <t xml:space="preserve">Bahia x Coritiba</t>
  </si>
  <si>
    <t xml:space="preserve">Bahia x Flamengo RJ</t>
  </si>
  <si>
    <t xml:space="preserve">Bahia x Mirassol</t>
  </si>
  <si>
    <t xml:space="preserve">Bahia x Sao Paulo</t>
  </si>
  <si>
    <t xml:space="preserve">Botafogo RJ x Atletico-MG</t>
  </si>
  <si>
    <t xml:space="preserve">Botafogo RJ x Bahia</t>
  </si>
  <si>
    <t xml:space="preserve">Botafogo RJ x Chapecoense-SC</t>
  </si>
  <si>
    <t xml:space="preserve">Botafogo RJ x Sao Paulo</t>
  </si>
  <si>
    <t xml:space="preserve">Botafogo RJ x Vasco</t>
  </si>
  <si>
    <t xml:space="preserve">Bragantino x Chapecoense-SC</t>
  </si>
  <si>
    <t xml:space="preserve">Bragantino x Cruzeiro</t>
  </si>
  <si>
    <t xml:space="preserve">Bragantino x Fluminense</t>
  </si>
  <si>
    <t xml:space="preserve">Bragantino x Mirassol</t>
  </si>
  <si>
    <t xml:space="preserve">Bragantino x Santos</t>
  </si>
  <si>
    <t xml:space="preserve">Bragantino x Vasco</t>
  </si>
  <si>
    <t xml:space="preserve">Chapecoense-SC x Athletico-PR</t>
  </si>
  <si>
    <t xml:space="preserve">Chapecoense-SC x Cruzeiro</t>
  </si>
  <si>
    <t xml:space="preserve">Chapecoense-SC x Fluminense</t>
  </si>
  <si>
    <t xml:space="preserve">Chapecoense-SC x Mirassol</t>
  </si>
  <si>
    <t xml:space="preserve">Chapecoense-SC x Palmeiras</t>
  </si>
  <si>
    <t xml:space="preserve">Chapecoense-SC x Vasco</t>
  </si>
  <si>
    <t xml:space="preserve">Corinthians x Botafogo RJ</t>
  </si>
  <si>
    <t xml:space="preserve">Corinthians x Gremio</t>
  </si>
  <si>
    <t xml:space="preserve">Corinthians x Mirassol</t>
  </si>
  <si>
    <t xml:space="preserve">Corinthians x Vitoria</t>
  </si>
  <si>
    <t xml:space="preserve">Coritiba x Botafogo RJ</t>
  </si>
  <si>
    <t xml:space="preserve">Coritiba x Flamengo RJ</t>
  </si>
  <si>
    <t xml:space="preserve">Coritiba x Gremio</t>
  </si>
  <si>
    <t xml:space="preserve">Coritiba x Santos</t>
  </si>
  <si>
    <t xml:space="preserve">Coritiba x Vitoria</t>
  </si>
  <si>
    <t xml:space="preserve">Cruzeiro x Bahia</t>
  </si>
  <si>
    <t xml:space="preserve">Cruzeiro x Internacional</t>
  </si>
  <si>
    <t xml:space="preserve">Cruzeiro x Palmeiras</t>
  </si>
  <si>
    <t xml:space="preserve">Cruzeiro x Remo</t>
  </si>
  <si>
    <t xml:space="preserve">Cruzeiro x Sao Paulo</t>
  </si>
  <si>
    <t xml:space="preserve">Flamengo RJ x Athletico-PR</t>
  </si>
  <si>
    <t xml:space="preserve">Flamengo RJ x Atletico-MG</t>
  </si>
  <si>
    <t xml:space="preserve">Flamengo RJ x Chapecoense-SC</t>
  </si>
  <si>
    <t xml:space="preserve">Flamengo RJ x Fluminense</t>
  </si>
  <si>
    <t xml:space="preserve">Flamengo RJ x Gremio</t>
  </si>
  <si>
    <t xml:space="preserve">Fluminense x Coritiba</t>
  </si>
  <si>
    <t xml:space="preserve">Fluminense x Cruzeiro</t>
  </si>
  <si>
    <t xml:space="preserve">Fluminense x Internacional</t>
  </si>
  <si>
    <t xml:space="preserve">Fluminense x Mirassol</t>
  </si>
  <si>
    <t xml:space="preserve">Fluminense x Santos</t>
  </si>
  <si>
    <t xml:space="preserve">Gremio x Athletico-PR</t>
  </si>
  <si>
    <t xml:space="preserve">Gremio x Bahia</t>
  </si>
  <si>
    <t xml:space="preserve">Gremio x Cruzeiro</t>
  </si>
  <si>
    <t xml:space="preserve">Gremio x Internacional</t>
  </si>
  <si>
    <t xml:space="preserve">Gremio x Mirassol</t>
  </si>
  <si>
    <t xml:space="preserve">Internacional x Botafogo RJ</t>
  </si>
  <si>
    <t xml:space="preserve">Internacional x Bragantino</t>
  </si>
  <si>
    <t xml:space="preserve">Internacional x Corinthians</t>
  </si>
  <si>
    <t xml:space="preserve">Internacional x Coritiba</t>
  </si>
  <si>
    <t xml:space="preserve">Internacional x Vitoria</t>
  </si>
  <si>
    <t xml:space="preserve">Mirassol x Athletico-PR</t>
  </si>
  <si>
    <t xml:space="preserve">Mirassol x Atletico-MG</t>
  </si>
  <si>
    <t xml:space="preserve">Mirassol x Internacional</t>
  </si>
  <si>
    <t xml:space="preserve">Mirassol x Sao Paulo</t>
  </si>
  <si>
    <t xml:space="preserve">Palmeiras x Bahia</t>
  </si>
  <si>
    <t xml:space="preserve">Palmeiras x Bragantino</t>
  </si>
  <si>
    <t xml:space="preserve">Palmeiras x Corinthians</t>
  </si>
  <si>
    <t xml:space="preserve">Palmeiras x Coritiba</t>
  </si>
  <si>
    <t xml:space="preserve">Palmeiras x Flamengo RJ</t>
  </si>
  <si>
    <t xml:space="preserve">Palmeiras x Remo</t>
  </si>
  <si>
    <t xml:space="preserve">Remo x Botafogo RJ</t>
  </si>
  <si>
    <t xml:space="preserve">Remo x Bragantino</t>
  </si>
  <si>
    <t xml:space="preserve">Remo x Chapecoense-SC</t>
  </si>
  <si>
    <t xml:space="preserve">Remo x Corinthians</t>
  </si>
  <si>
    <t xml:space="preserve">Remo x Gremio</t>
  </si>
  <si>
    <t xml:space="preserve">Santos x Bahia</t>
  </si>
  <si>
    <t xml:space="preserve">Santos x Botafogo RJ</t>
  </si>
  <si>
    <t xml:space="preserve">Santos x Flamengo RJ</t>
  </si>
  <si>
    <t xml:space="preserve">Santos x Gremio</t>
  </si>
  <si>
    <t xml:space="preserve">Santos x Palmeiras</t>
  </si>
  <si>
    <t xml:space="preserve">Sao Paulo x Corinthians</t>
  </si>
  <si>
    <t xml:space="preserve">Sao Paulo x Fluminense</t>
  </si>
  <si>
    <t xml:space="preserve">Sao Paulo x Remo</t>
  </si>
  <si>
    <t xml:space="preserve">Sao Paulo x Santos</t>
  </si>
  <si>
    <t xml:space="preserve">Sao Paulo x Vasco</t>
  </si>
  <si>
    <t xml:space="preserve">Sao Paulo x Vitoria</t>
  </si>
  <si>
    <t xml:space="preserve">Vasco x Corinthians</t>
  </si>
  <si>
    <t xml:space="preserve">Vasco x Flamengo RJ</t>
  </si>
  <si>
    <t xml:space="preserve">Vasco x Internacional</t>
  </si>
  <si>
    <t xml:space="preserve">Vasco x Remo</t>
  </si>
  <si>
    <t xml:space="preserve">Vasco x Vitoria</t>
  </si>
  <si>
    <t xml:space="preserve">Vitoria x Athletico-PR</t>
  </si>
  <si>
    <t xml:space="preserve">Vitoria x Bragantino</t>
  </si>
  <si>
    <t xml:space="preserve">Vitoria x Chapecoense-SC</t>
  </si>
  <si>
    <t xml:space="preserve">Vitoria x Fluminense</t>
  </si>
  <si>
    <t xml:space="preserve">Vitoria x Santos</t>
  </si>
  <si>
    <t xml:space="preserve">CALCULADORA DE VALOR DA APOSTA</t>
  </si>
  <si>
    <t xml:space="preserve">Escolha a partida e o mercado nas listas, digite a cotação que a casa oferece na célula amarela e leia o veredicto.</t>
  </si>
  <si>
    <t xml:space="preserve">Mercado</t>
  </si>
  <si>
    <t xml:space="preserve">Probabilidade do modelo</t>
  </si>
  <si>
    <t xml:space="preserve">Cotação mínima (equilíbrio)</t>
  </si>
  <si>
    <t xml:space="preserve">Cotação oferecida pela casa</t>
  </si>
  <si>
    <t xml:space="preserve">Valor esperado por real apostado</t>
  </si>
  <si>
    <t xml:space="preserve">Vantagem sobre o preço</t>
  </si>
  <si>
    <t xml:space="preserve">Lucro se vier green (por R$ 1)</t>
  </si>
  <si>
    <t xml:space="preserve">Veredicto</t>
  </si>
  <si>
    <t xml:space="preserve">Resultado esperado em 100 apostas de R$ 10</t>
  </si>
  <si>
    <t xml:space="preserve">O QUE MUDA QUANDO A COTAÇÃO MUDA (mesma partida e mercado)</t>
  </si>
  <si>
    <t xml:space="preserve">Repare que a chance de acertar é a MESMA em todas as linhas. O que muda é o preço.</t>
  </si>
  <si>
    <t xml:space="preserve">Cotação</t>
  </si>
  <si>
    <t xml:space="preserve">Chance de green</t>
  </si>
  <si>
    <t xml:space="preserve">Valor esperado</t>
  </si>
  <si>
    <t xml:space="preserve">Lucro se green</t>
  </si>
  <si>
    <t xml:space="preserve">Vale a pena?</t>
  </si>
  <si>
    <t xml:space="preserve">Lembrete: valor esperado positivo segundo o modelo não garante lucro. No teste histórico do projeto, apostar só onde o modelo via vantagem deu retorno PIOR do que apostar em tudo.</t>
  </si>
  <si>
    <t xml:space="preserve">QUANTO CADA MERCADO ERRA</t>
  </si>
  <si>
    <t xml:space="preserve">Viés = previsto menos observado, medido FORA DA AMOSTRA: o modelo treina até a temporada anterior e é conferido na seguinte. Negativo significa que o modelo subestima o mercado.</t>
  </si>
  <si>
    <t xml:space="preserve">Previsto médio</t>
  </si>
  <si>
    <t xml:space="preserve">Observado</t>
  </si>
  <si>
    <t xml:space="preserve">Viés (p.p.)</t>
  </si>
  <si>
    <t xml:space="preserve">Partidas testadas</t>
  </si>
  <si>
    <t xml:space="preserve">Confiança</t>
  </si>
  <si>
    <t xml:space="preserve">Observação</t>
  </si>
  <si>
    <t xml:space="preserve">Acerto do 1X2 (acurácia)</t>
  </si>
  <si>
    <t xml:space="preserve">Alta</t>
  </si>
  <si>
    <t xml:space="preserve">acurácia do palpite de resultado; o mercado acerta ~51%</t>
  </si>
  <si>
    <t xml:space="preserve">Mais de 0,5 gols</t>
  </si>
  <si>
    <t xml:space="preserve">Mais de 4,5 gols</t>
  </si>
  <si>
    <t xml:space="preserve">Multi-gols 0-1</t>
  </si>
  <si>
    <t xml:space="preserve">Multi-gols 0-2</t>
  </si>
  <si>
    <t xml:space="preserve">Multi-gols 0-3</t>
  </si>
  <si>
    <t xml:space="preserve">Multi-gols 2-5</t>
  </si>
  <si>
    <t xml:space="preserve">Multi-gols 3-4</t>
  </si>
  <si>
    <t xml:space="preserve">Multi-gols 3-5</t>
  </si>
  <si>
    <t xml:space="preserve">Multi-gols 3-6</t>
  </si>
  <si>
    <t xml:space="preserve">Média</t>
  </si>
  <si>
    <t xml:space="preserve">modelo supõe gols independentes e subestima este mercado</t>
  </si>
  <si>
    <t xml:space="preserve">Mais de 7,5 escanteios</t>
  </si>
  <si>
    <t xml:space="preserve">Baixa</t>
  </si>
  <si>
    <t xml:space="preserve">base só vai até 2023; oscilação de ±4.2 p.p. entre temporadas</t>
  </si>
  <si>
    <t xml:space="preserve">base só vai até 2023; oscilação de ±5.7 p.p. entre temporadas</t>
  </si>
  <si>
    <t xml:space="preserve">base só vai até 2023; oscilação de ±4.8 p.p. entre temporadas</t>
  </si>
  <si>
    <t xml:space="preserve">base só vai até 2023; oscilação de ±6.5 p.p. entre temporadas</t>
  </si>
  <si>
    <t xml:space="preserve">Mais de 11,5 escanteios</t>
  </si>
  <si>
    <t xml:space="preserve">base só vai até 2023; oscilação de ±5.0 p.p. entre temporadas</t>
  </si>
  <si>
    <t xml:space="preserve">Mais de 12,5 escanteios</t>
  </si>
  <si>
    <t xml:space="preserve">Mais de 2,5 cartões</t>
  </si>
  <si>
    <t xml:space="preserve">base só vai até 2023; oscilação de ±4.3 p.p. entre temporadas</t>
  </si>
  <si>
    <t xml:space="preserve">base só vai até 2023; oscilação de ±6.0 p.p. entre temporadas</t>
  </si>
  <si>
    <t xml:space="preserve">base só vai até 2023; oscilação de ±8.2 p.p. entre temporadas</t>
  </si>
  <si>
    <t xml:space="preserve">base só vai até 2023; oscilação de ±8.7 p.p. entre temporadas</t>
  </si>
  <si>
    <t xml:space="preserve">Mais de 6,5 cartões</t>
  </si>
  <si>
    <t xml:space="preserve">base só vai até 2023; oscilação de ±6.8 p.p. entre temporadas</t>
  </si>
  <si>
    <t xml:space="preserve">FORÇA DOS CLUBES</t>
  </si>
  <si>
    <t xml:space="preserve">Valores relativos à média da liga: 1,00 é a média. Ataque acima de 1,00 marca mais que a média; defesa abaixo de 1,00 sofre menos. Escanteios e cartões vêm da base 2015-2023.</t>
  </si>
  <si>
    <t xml:space="preserve">Time</t>
  </si>
  <si>
    <t xml:space="preserve">Posição</t>
  </si>
  <si>
    <t xml:space="preserve">Pontos</t>
  </si>
  <si>
    <t xml:space="preserve">Ataque (gols)</t>
  </si>
  <si>
    <t xml:space="preserve">Defesa (gols)</t>
  </si>
  <si>
    <t xml:space="preserve">Escanteios a favor</t>
  </si>
  <si>
    <t xml:space="preserve">Escanteios contra</t>
  </si>
  <si>
    <t xml:space="preserve">Cartões tomados</t>
  </si>
  <si>
    <t xml:space="preserve">Histórico de estatísticas?</t>
  </si>
  <si>
    <t xml:space="preserve">sim</t>
  </si>
  <si>
    <t xml:space="preserve">NÃO (usa média da liga)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</si>
</sst>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&quot;R$ &quot;#,##0.00;[RED]&quot;-R$ &quot;#,##0.00"/>
    <numFmt numFmtId="168" formatCode="\+0.00;\-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4F95"/>
      <name val="Arial"/>
      <family val="0"/>
      <charset val="1"/>
    </font>
    <font>
      <sz val="11"/>
      <color rgb="FF52514E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7A4A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A32020"/>
      <name val="Arial"/>
      <family val="0"/>
      <charset val="1"/>
    </font>
    <font>
      <b val="true"/>
      <sz val="12"/>
      <color rgb="FF9C3A00"/>
      <name val="Arial"/>
      <family val="0"/>
      <charset val="1"/>
    </font>
    <font>
      <b val="true"/>
      <sz val="10"/>
      <color rgb="FF9C3A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A78D6"/>
        <bgColor rgb="FF0066CC"/>
      </patternFill>
    </fill>
    <fill>
      <patternFill patternType="solid">
        <fgColor rgb="FFFFF3CD"/>
        <bgColor rgb="FFFBE0E0"/>
      </patternFill>
    </fill>
    <fill>
      <patternFill patternType="solid">
        <fgColor rgb="FFEB6834"/>
        <bgColor rgb="FFFF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5">
    <dxf>
      <fill>
        <patternFill patternType="solid">
          <fgColor rgb="FF2A78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7FC"/>
          <bgColor rgb="FF000000"/>
        </patternFill>
      </fill>
    </dxf>
    <dxf>
      <fill>
        <patternFill patternType="solid">
          <fgColor rgb="FFD9E9FC"/>
          <bgColor rgb="FF000000"/>
        </patternFill>
      </fill>
    </dxf>
    <dxf>
      <fill>
        <patternFill patternType="solid">
          <fgColor rgb="FFDCEBFD"/>
          <bgColor rgb="FF000000"/>
        </patternFill>
      </fill>
    </dxf>
    <dxf>
      <fill>
        <patternFill patternType="solid">
          <fgColor rgb="FFDDECFD"/>
          <bgColor rgb="FF000000"/>
        </patternFill>
      </fill>
    </dxf>
    <dxf>
      <fill>
        <patternFill patternType="solid">
          <fgColor rgb="FFDEECFD"/>
          <bgColor rgb="FF000000"/>
        </patternFill>
      </fill>
    </dxf>
    <dxf>
      <fill>
        <patternFill patternType="solid">
          <fgColor rgb="FFDFECFD"/>
          <bgColor rgb="FF000000"/>
        </patternFill>
      </fill>
    </dxf>
    <dxf>
      <fill>
        <patternFill patternType="solid">
          <fgColor rgb="FFDFEDFD"/>
          <bgColor rgb="FF000000"/>
        </patternFill>
      </fill>
    </dxf>
    <dxf>
      <fill>
        <patternFill patternType="solid">
          <fgColor rgb="FFE0EDFD"/>
          <bgColor rgb="FF000000"/>
        </patternFill>
      </fill>
    </dxf>
    <dxf>
      <fill>
        <patternFill patternType="solid">
          <fgColor rgb="FFE1EEFD"/>
          <bgColor rgb="FF000000"/>
        </patternFill>
      </fill>
    </dxf>
    <dxf>
      <fill>
        <patternFill patternType="solid">
          <fgColor rgb="FFE2EEFD"/>
          <bgColor rgb="FF000000"/>
        </patternFill>
      </fill>
    </dxf>
    <dxf>
      <fill>
        <patternFill patternType="solid">
          <fgColor rgb="FFE3EFFD"/>
          <bgColor rgb="FF000000"/>
        </patternFill>
      </fill>
    </dxf>
    <dxf>
      <fill>
        <patternFill patternType="solid">
          <fgColor rgb="FFE4EFFD"/>
          <bgColor rgb="FF000000"/>
        </patternFill>
      </fill>
    </dxf>
    <dxf>
      <fill>
        <patternFill patternType="solid">
          <fgColor rgb="FFE4F0FD"/>
          <bgColor rgb="FF000000"/>
        </patternFill>
      </fill>
    </dxf>
    <dxf>
      <fill>
        <patternFill patternType="solid">
          <fgColor rgb="FFE5F0FD"/>
          <bgColor rgb="FF000000"/>
        </patternFill>
      </fill>
    </dxf>
    <dxf>
      <fill>
        <patternFill patternType="solid">
          <fgColor rgb="FFE6F1FD"/>
          <bgColor rgb="FF000000"/>
        </patternFill>
      </fill>
    </dxf>
    <dxf>
      <fill>
        <patternFill patternType="solid">
          <fgColor rgb="FFE7F1FE"/>
          <bgColor rgb="FF000000"/>
        </patternFill>
      </fill>
    </dxf>
    <dxf>
      <fill>
        <patternFill patternType="solid">
          <fgColor rgb="FFE7F2FE"/>
          <bgColor rgb="FF000000"/>
        </patternFill>
      </fill>
    </dxf>
    <dxf>
      <fill>
        <patternFill patternType="solid">
          <fgColor rgb="FFE8F2FE"/>
          <bgColor rgb="FF000000"/>
        </patternFill>
      </fill>
    </dxf>
    <dxf>
      <fill>
        <patternFill patternType="solid">
          <fgColor rgb="FFE9F2FE"/>
          <bgColor rgb="FF000000"/>
        </patternFill>
      </fill>
    </dxf>
    <dxf>
      <fill>
        <patternFill patternType="solid">
          <fgColor rgb="FFE9F3FE"/>
          <bgColor rgb="FF000000"/>
        </patternFill>
      </fill>
    </dxf>
    <dxf>
      <fill>
        <patternFill patternType="solid">
          <fgColor rgb="FFEAF3FE"/>
          <bgColor rgb="FF000000"/>
        </patternFill>
      </fill>
    </dxf>
    <dxf>
      <fill>
        <patternFill patternType="solid">
          <fgColor rgb="FFEBF3FE"/>
          <bgColor rgb="FF000000"/>
        </patternFill>
      </fill>
    </dxf>
    <dxf>
      <fill>
        <patternFill patternType="solid">
          <fgColor rgb="FFEBF4FE"/>
          <bgColor rgb="FF000000"/>
        </patternFill>
      </fill>
    </dxf>
    <dxf>
      <fill>
        <patternFill patternType="solid">
          <fgColor rgb="FFECF4FE"/>
          <bgColor rgb="FF000000"/>
        </patternFill>
      </fill>
    </dxf>
    <dxf>
      <fill>
        <patternFill patternType="solid">
          <fgColor rgb="FFEDF5FE"/>
          <bgColor rgb="FF000000"/>
        </patternFill>
      </fill>
    </dxf>
    <dxf>
      <fill>
        <patternFill patternType="solid">
          <fgColor rgb="FFEEF5FE"/>
          <bgColor rgb="FF000000"/>
        </patternFill>
      </fill>
    </dxf>
    <dxf>
      <fill>
        <patternFill patternType="solid">
          <fgColor rgb="FFEFF6FE"/>
          <bgColor rgb="FF000000"/>
        </patternFill>
      </fill>
    </dxf>
    <dxf>
      <fill>
        <patternFill patternType="solid">
          <fgColor rgb="FFF0F6FE"/>
          <bgColor rgb="FF000000"/>
        </patternFill>
      </fill>
    </dxf>
    <dxf>
      <fill>
        <patternFill patternType="solid">
          <fgColor rgb="FFF0F7FE"/>
          <bgColor rgb="FF000000"/>
        </patternFill>
      </fill>
    </dxf>
    <dxf>
      <fill>
        <patternFill patternType="solid">
          <fgColor rgb="FFF1F7FE"/>
          <bgColor rgb="FF000000"/>
        </patternFill>
      </fill>
    </dxf>
    <dxf>
      <fill>
        <patternFill patternType="solid">
          <fgColor rgb="FFF2F8FE"/>
          <bgColor rgb="FF000000"/>
        </patternFill>
      </fill>
    </dxf>
    <dxf>
      <fill>
        <patternFill patternType="solid">
          <fgColor rgb="FFF3F8FE"/>
          <bgColor rgb="FF000000"/>
        </patternFill>
      </fill>
    </dxf>
    <dxf>
      <fill>
        <patternFill patternType="solid">
          <fgColor rgb="FFF3F8FF"/>
          <bgColor rgb="FF000000"/>
        </patternFill>
      </fill>
    </dxf>
    <dxf>
      <fill>
        <patternFill patternType="solid">
          <fgColor rgb="FFF5FAFF"/>
          <bgColor rgb="FF000000"/>
        </patternFill>
      </fill>
    </dxf>
    <dxf>
      <fill>
        <patternFill patternType="solid">
          <fgColor rgb="FFF8FBFF"/>
          <bgColor rgb="FF000000"/>
        </patternFill>
      </fill>
    </dxf>
    <dxf>
      <fill>
        <patternFill patternType="solid">
          <fgColor rgb="FFF2F7FE"/>
          <bgColor rgb="FF000000"/>
        </patternFill>
      </fill>
    </dxf>
    <dxf>
      <fill>
        <patternFill patternType="solid">
          <fgColor rgb="FFF3F9FF"/>
          <bgColor rgb="FF000000"/>
        </patternFill>
      </fill>
    </dxf>
    <dxf>
      <fill>
        <patternFill patternType="solid">
          <fgColor rgb="FFF4F9FF"/>
          <bgColor rgb="FF000000"/>
        </patternFill>
      </fill>
    </dxf>
    <dxf>
      <fill>
        <patternFill patternType="solid">
          <fgColor rgb="FFF5F9FF"/>
          <bgColor rgb="FF000000"/>
        </patternFill>
      </fill>
    </dxf>
    <dxf>
      <fill>
        <patternFill patternType="solid">
          <fgColor rgb="FFF6FAFF"/>
          <bgColor rgb="FF000000"/>
        </patternFill>
      </fill>
    </dxf>
    <dxf>
      <fill>
        <patternFill patternType="solid">
          <fgColor rgb="FFF7FBFF"/>
          <bgColor rgb="FF000000"/>
        </patternFill>
      </fill>
    </dxf>
    <dxf>
      <fill>
        <patternFill patternType="solid">
          <fgColor rgb="FFFAFCFF"/>
          <bgColor rgb="FF000000"/>
        </patternFill>
      </fill>
    </dxf>
    <dxf>
      <fill>
        <patternFill patternType="solid">
          <fgColor rgb="FFE6F0FD"/>
          <bgColor rgb="FF000000"/>
        </patternFill>
      </fill>
    </dxf>
    <dxf>
      <fill>
        <patternFill patternType="solid">
          <fgColor rgb="FFEEF6FE"/>
          <bgColor rgb="FF000000"/>
        </patternFill>
      </fill>
    </dxf>
    <dxf>
      <fill>
        <patternFill patternType="solid">
          <fgColor rgb="FFF7FAFF"/>
          <bgColor rgb="FF000000"/>
        </patternFill>
      </fill>
    </dxf>
    <dxf>
      <fill>
        <patternFill patternType="solid">
          <fgColor rgb="FFF9FBFF"/>
          <bgColor rgb="FF000000"/>
        </patternFill>
      </fill>
    </dxf>
    <dxf>
      <fill>
        <patternFill patternType="solid">
          <fgColor rgb="FFF9FCFF"/>
          <bgColor rgb="FF000000"/>
        </patternFill>
      </fill>
    </dxf>
    <dxf>
      <fill>
        <patternFill patternType="solid">
          <fgColor rgb="FFFBFDFF"/>
          <bgColor rgb="FF000000"/>
        </patternFill>
      </fill>
    </dxf>
    <dxf>
      <fill>
        <patternFill patternType="solid">
          <fgColor rgb="FFFDFEFF"/>
          <bgColor rgb="FF000000"/>
        </patternFill>
      </fill>
    </dxf>
    <dxf>
      <fill>
        <patternFill patternType="solid">
          <fgColor rgb="FFD0E4FC"/>
          <bgColor rgb="FF000000"/>
        </patternFill>
      </fill>
    </dxf>
    <dxf>
      <fill>
        <patternFill patternType="solid">
          <fgColor rgb="FFD2E5FC"/>
          <bgColor rgb="FF000000"/>
        </patternFill>
      </fill>
    </dxf>
    <dxf>
      <fill>
        <patternFill patternType="solid">
          <fgColor rgb="FFD3E6FC"/>
          <bgColor rgb="FF000000"/>
        </patternFill>
      </fill>
    </dxf>
    <dxf>
      <fill>
        <patternFill patternType="solid">
          <fgColor rgb="FFD4E6FC"/>
          <bgColor rgb="FF000000"/>
        </patternFill>
      </fill>
    </dxf>
    <dxf>
      <fill>
        <patternFill patternType="solid">
          <fgColor rgb="FFD4E7FC"/>
          <bgColor rgb="FF000000"/>
        </patternFill>
      </fill>
    </dxf>
    <dxf>
      <fill>
        <patternFill patternType="solid">
          <fgColor rgb="FFD5E7FC"/>
          <bgColor rgb="FF000000"/>
        </patternFill>
      </fill>
    </dxf>
    <dxf>
      <fill>
        <patternFill patternType="solid">
          <fgColor rgb="FFD6E8FC"/>
          <bgColor rgb="FF000000"/>
        </patternFill>
      </fill>
    </dxf>
    <dxf>
      <fill>
        <patternFill patternType="solid">
          <fgColor rgb="FFD7E8FC"/>
          <bgColor rgb="FF000000"/>
        </patternFill>
      </fill>
    </dxf>
    <dxf>
      <fill>
        <patternFill patternType="solid">
          <fgColor rgb="FFD8E8FC"/>
          <bgColor rgb="FF000000"/>
        </patternFill>
      </fill>
    </dxf>
    <dxf>
      <fill>
        <patternFill patternType="solid">
          <fgColor rgb="FFD8E9FC"/>
          <bgColor rgb="FF000000"/>
        </patternFill>
      </fill>
    </dxf>
    <dxf>
      <fill>
        <patternFill patternType="solid">
          <fgColor rgb="FFDAE9FC"/>
          <bgColor rgb="FF000000"/>
        </patternFill>
      </fill>
    </dxf>
    <dxf>
      <fill>
        <patternFill patternType="solid">
          <fgColor rgb="FFDAEAFC"/>
          <bgColor rgb="FF000000"/>
        </patternFill>
      </fill>
    </dxf>
    <dxf>
      <fill>
        <patternFill patternType="solid">
          <fgColor rgb="FFDAEAFD"/>
          <bgColor rgb="FF000000"/>
        </patternFill>
      </fill>
    </dxf>
    <dxf>
      <fill>
        <patternFill patternType="solid">
          <fgColor rgb="FFDBEAFD"/>
          <bgColor rgb="FF000000"/>
        </patternFill>
      </fill>
    </dxf>
    <dxf>
      <fill>
        <patternFill patternType="solid">
          <fgColor rgb="FFDBEBFD"/>
          <bgColor rgb="FF000000"/>
        </patternFill>
      </fill>
    </dxf>
    <dxf>
      <fill>
        <patternFill patternType="solid">
          <fgColor rgb="FFDDEBFD"/>
          <bgColor rgb="FF000000"/>
        </patternFill>
      </fill>
    </dxf>
    <dxf>
      <fill>
        <patternFill patternType="solid">
          <fgColor rgb="FFE2EFFD"/>
          <bgColor rgb="FF000000"/>
        </patternFill>
      </fill>
    </dxf>
    <dxf>
      <fill>
        <patternFill patternType="solid">
          <fgColor rgb="FFEB6834"/>
          <bgColor rgb="FF000000"/>
        </patternFill>
      </fill>
    </dxf>
    <dxf>
      <fill>
        <patternFill patternType="solid">
          <fgColor rgb="FFFAFDFF"/>
          <bgColor rgb="FF000000"/>
        </patternFill>
      </fill>
    </dxf>
    <dxf>
      <fill>
        <patternFill patternType="solid">
          <fgColor rgb="FFCFE3FC"/>
          <bgColor rgb="FF000000"/>
        </patternFill>
      </fill>
    </dxf>
    <dxf>
      <fill>
        <patternFill patternType="solid">
          <fgColor rgb="FFD1E4FC"/>
          <bgColor rgb="FF000000"/>
        </patternFill>
      </fill>
    </dxf>
    <dxf>
      <fill>
        <patternFill patternType="solid">
          <fgColor rgb="FFD1E5FC"/>
          <bgColor rgb="FF000000"/>
        </patternFill>
      </fill>
    </dxf>
    <dxf>
      <fill>
        <patternFill patternType="solid">
          <fgColor rgb="FFD3E5FC"/>
          <bgColor rgb="FF000000"/>
        </patternFill>
      </fill>
    </dxf>
    <dxf>
      <fill>
        <patternFill patternType="solid">
          <fgColor rgb="FFFCFDFF"/>
          <bgColor rgb="FF000000"/>
        </patternFill>
      </fill>
    </dxf>
    <dxf>
      <fill>
        <patternFill patternType="solid">
          <fgColor rgb="FFFCFEFF"/>
          <bgColor rgb="FF000000"/>
        </patternFill>
      </fill>
    </dxf>
    <dxf>
      <fill>
        <patternFill patternType="solid">
          <fgColor rgb="FFEDF4FE"/>
          <bgColor rgb="FF000000"/>
        </patternFill>
      </fill>
    </dxf>
    <dxf>
      <font>
        <name val="Arial"/>
        <charset val="1"/>
        <family val="0"/>
        <b val="1"/>
        <color rgb="FF1B7A4A"/>
        <sz val="10"/>
      </font>
    </dxf>
    <dxf>
      <font>
        <name val="Arial"/>
        <charset val="1"/>
        <family val="0"/>
        <b val="1"/>
        <color rgb="FFA32020"/>
        <sz val="10"/>
      </font>
    </dxf>
    <dxf>
      <fill>
        <patternFill>
          <bgColor rgb="FFD6F0E0"/>
        </patternFill>
      </fill>
    </dxf>
    <dxf>
      <fill>
        <patternFill>
          <bgColor rgb="FFFBE0E0"/>
        </patternFill>
      </fill>
    </dxf>
    <dxf>
      <fill>
        <patternFill patternType="solid">
          <fgColor rgb="FFFBE0E0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1B7A4A"/>
      <rgbColor rgb="FFC0C0C0"/>
      <rgbColor rgb="FF808080"/>
      <rgbColor rgb="FF9999FF"/>
      <rgbColor rgb="FFA32020"/>
      <rgbColor rgb="FFFFF3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E0"/>
      <rgbColor rgb="FFFFFF99"/>
      <rgbColor rgb="FF99CCFF"/>
      <rgbColor rgb="FFFF99CC"/>
      <rgbColor rgb="FFCC99FF"/>
      <rgbColor rgb="FFFBE0E0"/>
      <rgbColor rgb="FF2A78D6"/>
      <rgbColor rgb="FF33CCCC"/>
      <rgbColor rgb="FF99CC00"/>
      <rgbColor rgb="FFFFCC00"/>
      <rgbColor rgb="FFFF9900"/>
      <rgbColor rgb="FFEB6834"/>
      <rgbColor rgb="FF666699"/>
      <rgbColor rgb="FF969696"/>
      <rgbColor rgb="FF003366"/>
      <rgbColor rgb="FF339966"/>
      <rgbColor rgb="FF003300"/>
      <rgbColor rgb="FF333300"/>
      <rgbColor rgb="FF9C3A00"/>
      <rgbColor rgb="FF993366"/>
      <rgbColor rgb="FF184F95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30"/>
    <col collapsed="false" customWidth="true" hidden="false" outlineLevel="0" max="6" min="5" style="0" width="2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  <c r="F6" s="5"/>
    </row>
    <row r="7" customFormat="false" ht="15" hidden="false" customHeight="false" outlineLevel="0" collapsed="false">
      <c r="B7" s="6" t="s">
        <v>5</v>
      </c>
      <c r="C7" s="7" t="s">
        <v>6</v>
      </c>
      <c r="D7" s="7"/>
      <c r="E7" s="7"/>
      <c r="F7" s="7"/>
    </row>
    <row r="8" customFormat="false" ht="15" hidden="false" customHeight="false" outlineLevel="0" collapsed="false">
      <c r="B8" s="6" t="s">
        <v>7</v>
      </c>
      <c r="C8" s="7" t="s">
        <v>8</v>
      </c>
      <c r="D8" s="7"/>
      <c r="E8" s="7"/>
      <c r="F8" s="7"/>
    </row>
    <row r="9" customFormat="false" ht="15" hidden="false" customHeight="false" outlineLevel="0" collapsed="false">
      <c r="B9" s="6" t="s">
        <v>9</v>
      </c>
      <c r="C9" s="7" t="s">
        <v>10</v>
      </c>
      <c r="D9" s="7"/>
      <c r="E9" s="7"/>
      <c r="F9" s="7"/>
    </row>
    <row r="10" customFormat="false" ht="15" hidden="false" customHeight="false" outlineLevel="0" collapsed="false">
      <c r="B10" s="6" t="s">
        <v>11</v>
      </c>
      <c r="C10" s="7" t="s">
        <v>12</v>
      </c>
      <c r="D10" s="7"/>
      <c r="E10" s="7"/>
      <c r="F10" s="7"/>
    </row>
    <row r="11" customFormat="false" ht="15" hidden="false" customHeight="false" outlineLevel="0" collapsed="false">
      <c r="B11" s="6" t="s">
        <v>13</v>
      </c>
      <c r="C11" s="7" t="s">
        <v>14</v>
      </c>
      <c r="D11" s="7"/>
      <c r="E11" s="7"/>
      <c r="F11" s="7"/>
    </row>
    <row r="12" customFormat="false" ht="15" hidden="false" customHeight="false" outlineLevel="0" collapsed="false">
      <c r="B12" s="6" t="s">
        <v>15</v>
      </c>
      <c r="C12" s="7" t="s">
        <v>16</v>
      </c>
      <c r="D12" s="7"/>
      <c r="E12" s="7"/>
      <c r="F12" s="7"/>
    </row>
    <row r="13" customFormat="false" ht="15" hidden="false" customHeight="false" outlineLevel="0" collapsed="false">
      <c r="B13" s="6" t="s">
        <v>17</v>
      </c>
      <c r="C13" s="7" t="s">
        <v>18</v>
      </c>
      <c r="D13" s="7"/>
      <c r="E13" s="7"/>
      <c r="F13" s="7"/>
    </row>
    <row r="14" customFormat="false" ht="15" hidden="false" customHeight="false" outlineLevel="0" collapsed="false">
      <c r="B14" s="6" t="s">
        <v>19</v>
      </c>
      <c r="C14" s="7" t="s">
        <v>20</v>
      </c>
      <c r="D14" s="7"/>
      <c r="E14" s="7"/>
      <c r="F14" s="7"/>
    </row>
    <row r="15" customFormat="false" ht="15" hidden="false" customHeight="false" outlineLevel="0" collapsed="false">
      <c r="B15" s="6" t="s">
        <v>21</v>
      </c>
      <c r="C15" s="7" t="s">
        <v>22</v>
      </c>
      <c r="D15" s="7"/>
      <c r="E15" s="7"/>
      <c r="F15" s="7"/>
    </row>
    <row r="16" customFormat="false" ht="15" hidden="false" customHeight="false" outlineLevel="0" collapsed="false">
      <c r="B16" s="6" t="s">
        <v>23</v>
      </c>
      <c r="C16" s="7" t="s">
        <v>24</v>
      </c>
      <c r="D16" s="7"/>
      <c r="E16" s="7"/>
      <c r="F16" s="7"/>
    </row>
    <row r="18" customFormat="false" ht="15" hidden="false" customHeight="false" outlineLevel="0" collapsed="false">
      <c r="B18" s="3" t="s">
        <v>25</v>
      </c>
    </row>
    <row r="19" customFormat="false" ht="42" hidden="false" customHeight="true" outlineLevel="0" collapsed="false">
      <c r="B19" s="6" t="s">
        <v>26</v>
      </c>
      <c r="C19" s="8" t="s">
        <v>27</v>
      </c>
      <c r="D19" s="9" t="s">
        <v>28</v>
      </c>
      <c r="E19" s="9"/>
      <c r="F19" s="9"/>
    </row>
    <row r="20" customFormat="false" ht="42" hidden="false" customHeight="true" outlineLevel="0" collapsed="false">
      <c r="B20" s="6" t="s">
        <v>29</v>
      </c>
      <c r="C20" s="10" t="s">
        <v>30</v>
      </c>
      <c r="D20" s="9" t="s">
        <v>31</v>
      </c>
      <c r="E20" s="9"/>
      <c r="F20" s="9"/>
    </row>
    <row r="21" customFormat="false" ht="42" hidden="false" customHeight="true" outlineLevel="0" collapsed="false">
      <c r="B21" s="6" t="s">
        <v>32</v>
      </c>
      <c r="C21" s="11" t="s">
        <v>33</v>
      </c>
      <c r="D21" s="9" t="s">
        <v>34</v>
      </c>
      <c r="E21" s="9"/>
      <c r="F21" s="9"/>
    </row>
    <row r="23" customFormat="false" ht="15" hidden="false" customHeight="false" outlineLevel="0" collapsed="false">
      <c r="B23" s="3" t="s">
        <v>35</v>
      </c>
    </row>
    <row r="24" customFormat="false" ht="15" hidden="false" customHeight="false" outlineLevel="0" collapsed="false">
      <c r="B24" s="7" t="s">
        <v>36</v>
      </c>
      <c r="C24" s="7"/>
      <c r="D24" s="7"/>
      <c r="E24" s="7"/>
      <c r="F24" s="7"/>
    </row>
    <row r="25" customFormat="false" ht="15" hidden="false" customHeight="false" outlineLevel="0" collapsed="false">
      <c r="B25" s="7" t="s">
        <v>37</v>
      </c>
      <c r="C25" s="7"/>
      <c r="D25" s="7"/>
      <c r="E25" s="7"/>
      <c r="F25" s="7"/>
    </row>
    <row r="26" customFormat="false" ht="15" hidden="false" customHeight="false" outlineLevel="0" collapsed="false">
      <c r="B26" s="7" t="s">
        <v>38</v>
      </c>
      <c r="C26" s="7"/>
      <c r="D26" s="7"/>
      <c r="E26" s="7"/>
      <c r="F26" s="7"/>
    </row>
    <row r="27" customFormat="false" ht="15" hidden="false" customHeight="false" outlineLevel="0" collapsed="false">
      <c r="B27" s="7" t="s">
        <v>39</v>
      </c>
      <c r="C27" s="7"/>
      <c r="D27" s="7"/>
      <c r="E27" s="7"/>
      <c r="F27" s="7"/>
    </row>
    <row r="28" customFormat="false" ht="15" hidden="false" customHeight="false" outlineLevel="0" collapsed="false">
      <c r="B28" s="7" t="s">
        <v>40</v>
      </c>
      <c r="C28" s="7"/>
      <c r="D28" s="7"/>
      <c r="E28" s="7"/>
      <c r="F28" s="7"/>
    </row>
    <row r="30" customFormat="false" ht="15" hidden="false" customHeight="false" outlineLevel="0" collapsed="false">
      <c r="B30" s="12" t="s">
        <v>41</v>
      </c>
    </row>
    <row r="31" customFormat="false" ht="15" hidden="false" customHeight="false" outlineLevel="0" collapsed="false">
      <c r="B31" s="13" t="s">
        <v>42</v>
      </c>
      <c r="C31" s="13"/>
      <c r="D31" s="13"/>
      <c r="E31" s="13"/>
      <c r="F31" s="13"/>
    </row>
    <row r="32" customFormat="false" ht="15" hidden="false" customHeight="false" outlineLevel="0" collapsed="false">
      <c r="B32" s="14" t="s">
        <v>43</v>
      </c>
      <c r="C32" s="14"/>
      <c r="D32" s="14"/>
      <c r="E32" s="14"/>
      <c r="F32" s="14"/>
    </row>
    <row r="33" customFormat="false" ht="15" hidden="false" customHeight="false" outlineLevel="0" collapsed="false">
      <c r="B33" s="14" t="s">
        <v>44</v>
      </c>
      <c r="C33" s="14"/>
      <c r="D33" s="14"/>
      <c r="E33" s="14"/>
      <c r="F33" s="14"/>
    </row>
    <row r="34" customFormat="false" ht="15" hidden="false" customHeight="false" outlineLevel="0" collapsed="false">
      <c r="B34" s="14" t="s">
        <v>45</v>
      </c>
      <c r="C34" s="14"/>
      <c r="D34" s="14"/>
      <c r="E34" s="14"/>
      <c r="F34" s="14"/>
    </row>
    <row r="35" customFormat="false" ht="15" hidden="false" customHeight="false" outlineLevel="0" collapsed="false">
      <c r="B35" s="14" t="s">
        <v>46</v>
      </c>
      <c r="C35" s="14"/>
      <c r="D35" s="14"/>
      <c r="E35" s="14"/>
      <c r="F35" s="14"/>
    </row>
    <row r="36" customFormat="false" ht="15" hidden="false" customHeight="false" outlineLevel="0" collapsed="false">
      <c r="B36" s="14" t="s">
        <v>47</v>
      </c>
      <c r="C36" s="14"/>
      <c r="D36" s="14"/>
      <c r="E36" s="14"/>
      <c r="F36" s="14"/>
    </row>
    <row r="38" customFormat="false" ht="15" hidden="false" customHeight="false" outlineLevel="0" collapsed="false">
      <c r="B38" s="15" t="s">
        <v>48</v>
      </c>
      <c r="C38" s="15"/>
      <c r="D38" s="15"/>
      <c r="E38" s="15"/>
      <c r="F38" s="15"/>
    </row>
  </sheetData>
  <mergeCells count="26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D19:F19"/>
    <mergeCell ref="D20:F20"/>
    <mergeCell ref="D21:F21"/>
    <mergeCell ref="B24:F24"/>
    <mergeCell ref="B25:F25"/>
    <mergeCell ref="B26:F26"/>
    <mergeCell ref="B27:F27"/>
    <mergeCell ref="B28:F28"/>
    <mergeCell ref="B31:F31"/>
    <mergeCell ref="B32:F32"/>
    <mergeCell ref="B33:F33"/>
    <mergeCell ref="B34:F34"/>
    <mergeCell ref="B35:F35"/>
    <mergeCell ref="B36:F36"/>
    <mergeCell ref="B38:F3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7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11" min="6" style="0" width="8"/>
    <col collapsed="false" customWidth="true" hidden="false" outlineLevel="0" max="12" min="12" style="0" width="13"/>
    <col collapsed="false" customWidth="true" hidden="false" outlineLevel="0" max="15" min="13" style="0" width="8"/>
    <col collapsed="false" customWidth="true" hidden="false" outlineLevel="0" max="16" min="16" style="0" width="13"/>
    <col collapsed="false" customWidth="true" hidden="false" outlineLevel="0" max="18" min="17" style="0" width="10"/>
    <col collapsed="false" customWidth="true" hidden="false" outlineLevel="0" max="19" min="19" style="0" width="11"/>
    <col collapsed="false" customWidth="true" hidden="false" outlineLevel="0" max="21" min="20" style="0" width="9"/>
    <col collapsed="false" customWidth="true" hidden="false" outlineLevel="0" max="22" min="22" style="0" width="10"/>
    <col collapsed="false" customWidth="true" hidden="false" outlineLevel="0" max="24" min="23" style="0" width="9"/>
    <col collapsed="false" customWidth="true" hidden="false" outlineLevel="0" max="25" min="25" style="0" width="24"/>
    <col collapsed="false" customWidth="true" hidden="false" outlineLevel="0" max="26" min="26" style="0" width="9"/>
  </cols>
  <sheetData>
    <row r="1" customFormat="false" ht="33.75" hidden="false" customHeight="true" outlineLevel="0" collapsed="false">
      <c r="A1" s="16" t="s">
        <v>49</v>
      </c>
      <c r="B1" s="16" t="s">
        <v>50</v>
      </c>
      <c r="C1" s="16" t="s">
        <v>51</v>
      </c>
      <c r="D1" s="16" t="s">
        <v>52</v>
      </c>
      <c r="E1" s="16" t="s">
        <v>53</v>
      </c>
      <c r="F1" s="16" t="s">
        <v>54</v>
      </c>
      <c r="G1" s="16" t="s">
        <v>55</v>
      </c>
      <c r="H1" s="16" t="s">
        <v>56</v>
      </c>
      <c r="I1" s="16" t="s">
        <v>57</v>
      </c>
      <c r="J1" s="16" t="s">
        <v>58</v>
      </c>
      <c r="K1" s="16" t="s">
        <v>59</v>
      </c>
      <c r="L1" s="16" t="s">
        <v>60</v>
      </c>
      <c r="M1" s="16" t="s">
        <v>61</v>
      </c>
      <c r="N1" s="16" t="s">
        <v>62</v>
      </c>
      <c r="O1" s="16" t="s">
        <v>63</v>
      </c>
      <c r="P1" s="16" t="s">
        <v>64</v>
      </c>
      <c r="Q1" s="16" t="s">
        <v>65</v>
      </c>
      <c r="R1" s="16" t="s">
        <v>66</v>
      </c>
      <c r="S1" s="17" t="s">
        <v>15</v>
      </c>
      <c r="T1" s="17" t="s">
        <v>67</v>
      </c>
      <c r="U1" s="17" t="s">
        <v>68</v>
      </c>
      <c r="V1" s="17" t="s">
        <v>17</v>
      </c>
      <c r="W1" s="17" t="s">
        <v>69</v>
      </c>
      <c r="X1" s="17" t="s">
        <v>70</v>
      </c>
      <c r="Y1" s="16" t="s">
        <v>71</v>
      </c>
      <c r="Z1" s="16" t="s">
        <v>72</v>
      </c>
    </row>
    <row r="2" customFormat="false" ht="15" hidden="false" customHeight="false" outlineLevel="0" collapsed="false">
      <c r="A2" s="18" t="n">
        <v>1</v>
      </c>
      <c r="B2" s="18" t="s">
        <v>73</v>
      </c>
      <c r="C2" s="18" t="s">
        <v>74</v>
      </c>
      <c r="D2" s="19" t="s">
        <v>54</v>
      </c>
      <c r="E2" s="18" t="s">
        <v>75</v>
      </c>
      <c r="F2" s="20" t="n">
        <v>0.45587463984214</v>
      </c>
      <c r="G2" s="20" t="n">
        <v>0.268513430487424</v>
      </c>
      <c r="H2" s="20" t="n">
        <v>0.275611929670436</v>
      </c>
      <c r="I2" s="20" t="n">
        <f aca="false">F2+G2</f>
        <v>0.724388070329564</v>
      </c>
      <c r="J2" s="20" t="n">
        <f aca="false">F2+H2</f>
        <v>0.731486569512576</v>
      </c>
      <c r="K2" s="20" t="n">
        <f aca="false">G2+H2</f>
        <v>0.54412536015786</v>
      </c>
      <c r="L2" s="21" t="n">
        <v>2.38637580265828</v>
      </c>
      <c r="M2" s="20" t="n">
        <v>0.687081121714975</v>
      </c>
      <c r="N2" s="20" t="n">
        <v>0.426728192318324</v>
      </c>
      <c r="O2" s="20" t="n">
        <v>0.218434649285566</v>
      </c>
      <c r="P2" s="20" t="n">
        <v>0.473378218688515</v>
      </c>
      <c r="Q2" s="20" t="n">
        <v>0.691103387744236</v>
      </c>
      <c r="R2" s="20" t="n">
        <v>0.592913270333189</v>
      </c>
      <c r="S2" s="21" t="n">
        <v>10.2655041836504</v>
      </c>
      <c r="T2" s="20" t="n">
        <v>0.676646368764005</v>
      </c>
      <c r="U2" s="20" t="n">
        <v>0.562374339805496</v>
      </c>
      <c r="V2" s="21" t="n">
        <v>5.45274855100389</v>
      </c>
      <c r="W2" s="20" t="n">
        <v>0.784644036047701</v>
      </c>
      <c r="X2" s="20" t="n">
        <v>0.628470759007382</v>
      </c>
      <c r="Y2" s="19" t="s">
        <v>76</v>
      </c>
      <c r="Z2" s="20" t="n">
        <v>0.815370185648016</v>
      </c>
    </row>
    <row r="3" customFormat="false" ht="15" hidden="false" customHeight="false" outlineLevel="0" collapsed="false">
      <c r="A3" s="18" t="n">
        <v>2</v>
      </c>
      <c r="B3" s="18" t="s">
        <v>73</v>
      </c>
      <c r="C3" s="18" t="s">
        <v>77</v>
      </c>
      <c r="D3" s="19" t="s">
        <v>56</v>
      </c>
      <c r="E3" s="18" t="s">
        <v>78</v>
      </c>
      <c r="F3" s="20" t="n">
        <v>0.307972686723041</v>
      </c>
      <c r="G3" s="20" t="n">
        <v>0.278389639274704</v>
      </c>
      <c r="H3" s="20" t="n">
        <v>0.413637674002255</v>
      </c>
      <c r="I3" s="20" t="n">
        <f aca="false">F3+G3</f>
        <v>0.586362325997745</v>
      </c>
      <c r="J3" s="20" t="n">
        <f aca="false">F3+H3</f>
        <v>0.721610360725296</v>
      </c>
      <c r="K3" s="20" t="n">
        <f aca="false">G3+H3</f>
        <v>0.692027313276959</v>
      </c>
      <c r="L3" s="21" t="n">
        <v>2.30165466235664</v>
      </c>
      <c r="M3" s="20" t="n">
        <v>0.667983930340205</v>
      </c>
      <c r="N3" s="20" t="n">
        <v>0.404400149911206</v>
      </c>
      <c r="O3" s="20" t="n">
        <v>0.200989578837582</v>
      </c>
      <c r="P3" s="20" t="n">
        <v>0.462160628033405</v>
      </c>
      <c r="Q3" s="20" t="n">
        <v>0.700460924427283</v>
      </c>
      <c r="R3" s="20" t="n">
        <v>0.584039631468167</v>
      </c>
      <c r="S3" s="21" t="n">
        <v>10.2104185004983</v>
      </c>
      <c r="T3" s="20" t="n">
        <v>0.671096965907437</v>
      </c>
      <c r="U3" s="20" t="n">
        <v>0.556176889566218</v>
      </c>
      <c r="V3" s="21" t="n">
        <v>5.4341502132283</v>
      </c>
      <c r="W3" s="20" t="n">
        <v>0.782504692481317</v>
      </c>
      <c r="X3" s="20" t="n">
        <v>0.625602658372821</v>
      </c>
      <c r="Y3" s="19" t="s">
        <v>76</v>
      </c>
      <c r="Z3" s="20" t="n">
        <v>0.817506204392828</v>
      </c>
    </row>
    <row r="4" customFormat="false" ht="15" hidden="false" customHeight="false" outlineLevel="0" collapsed="false">
      <c r="A4" s="18" t="n">
        <v>3</v>
      </c>
      <c r="B4" s="18" t="s">
        <v>73</v>
      </c>
      <c r="C4" s="18" t="s">
        <v>79</v>
      </c>
      <c r="D4" s="19" t="s">
        <v>54</v>
      </c>
      <c r="E4" s="18" t="s">
        <v>75</v>
      </c>
      <c r="F4" s="20" t="n">
        <v>0.621033556243381</v>
      </c>
      <c r="G4" s="20" t="n">
        <v>0.212247706539126</v>
      </c>
      <c r="H4" s="20" t="n">
        <v>0.166718737217494</v>
      </c>
      <c r="I4" s="20" t="n">
        <f aca="false">F4+G4</f>
        <v>0.833281262782507</v>
      </c>
      <c r="J4" s="20" t="n">
        <f aca="false">F4+H4</f>
        <v>0.787752293460875</v>
      </c>
      <c r="K4" s="20" t="n">
        <f aca="false">G4+H4</f>
        <v>0.378966443756619</v>
      </c>
      <c r="L4" s="21" t="n">
        <v>2.81929852135591</v>
      </c>
      <c r="M4" s="20" t="n">
        <v>0.770996612456904</v>
      </c>
      <c r="N4" s="20" t="n">
        <v>0.535144464495277</v>
      </c>
      <c r="O4" s="20" t="n">
        <v>0.312367446176781</v>
      </c>
      <c r="P4" s="20" t="n">
        <v>0.501073756540422</v>
      </c>
      <c r="Q4" s="20" t="n">
        <v>0.629186682055739</v>
      </c>
      <c r="R4" s="20" t="n">
        <v>0.615651051985828</v>
      </c>
      <c r="S4" s="21" t="n">
        <v>10.7408421879647</v>
      </c>
      <c r="T4" s="20" t="n">
        <v>0.721953247579897</v>
      </c>
      <c r="U4" s="20" t="n">
        <v>0.614062689965953</v>
      </c>
      <c r="V4" s="21" t="n">
        <v>5.26496481151853</v>
      </c>
      <c r="W4" s="20" t="n">
        <v>0.762240244814423</v>
      </c>
      <c r="X4" s="20" t="n">
        <v>0.598882847282537</v>
      </c>
      <c r="Y4" s="19" t="s">
        <v>80</v>
      </c>
      <c r="Z4" s="20" t="n">
        <v>0.833281262782507</v>
      </c>
    </row>
    <row r="5" customFormat="false" ht="15" hidden="false" customHeight="false" outlineLevel="0" collapsed="false">
      <c r="A5" s="18" t="n">
        <v>4</v>
      </c>
      <c r="B5" s="18" t="s">
        <v>73</v>
      </c>
      <c r="C5" s="18" t="s">
        <v>81</v>
      </c>
      <c r="D5" s="19" t="s">
        <v>54</v>
      </c>
      <c r="E5" s="18" t="s">
        <v>75</v>
      </c>
      <c r="F5" s="20" t="n">
        <v>0.462807258596752</v>
      </c>
      <c r="G5" s="20" t="n">
        <v>0.276096933886394</v>
      </c>
      <c r="H5" s="20" t="n">
        <v>0.261095807516854</v>
      </c>
      <c r="I5" s="20" t="n">
        <f aca="false">F5+G5</f>
        <v>0.738904192483146</v>
      </c>
      <c r="J5" s="20" t="n">
        <f aca="false">F5+H5</f>
        <v>0.723903066113606</v>
      </c>
      <c r="K5" s="20" t="n">
        <f aca="false">G5+H5</f>
        <v>0.537192741403248</v>
      </c>
      <c r="L5" s="21" t="n">
        <v>2.25768459776645</v>
      </c>
      <c r="M5" s="20" t="n">
        <v>0.657757137442787</v>
      </c>
      <c r="N5" s="20" t="n">
        <v>0.392710397955451</v>
      </c>
      <c r="O5" s="20" t="n">
        <v>0.192106703491128</v>
      </c>
      <c r="P5" s="20" t="n">
        <v>0.442743147432094</v>
      </c>
      <c r="Q5" s="20" t="n">
        <v>0.704815322184881</v>
      </c>
      <c r="R5" s="20" t="n">
        <v>0.578875490099387</v>
      </c>
      <c r="S5" s="21" t="n">
        <v>9.9594627982831</v>
      </c>
      <c r="T5" s="20" t="n">
        <v>0.645049258543241</v>
      </c>
      <c r="U5" s="20" t="n">
        <v>0.527459841723884</v>
      </c>
      <c r="V5" s="21" t="n">
        <v>5.83395424370286</v>
      </c>
      <c r="W5" s="20" t="n">
        <v>0.82480732189925</v>
      </c>
      <c r="X5" s="20" t="n">
        <v>0.684126417934417</v>
      </c>
      <c r="Y5" s="19" t="s">
        <v>76</v>
      </c>
      <c r="Z5" s="20" t="n">
        <v>0.818040378332609</v>
      </c>
    </row>
    <row r="6" customFormat="false" ht="15" hidden="false" customHeight="false" outlineLevel="0" collapsed="false">
      <c r="A6" s="18" t="n">
        <v>5</v>
      </c>
      <c r="B6" s="18" t="s">
        <v>73</v>
      </c>
      <c r="C6" s="18" t="s">
        <v>82</v>
      </c>
      <c r="D6" s="19" t="s">
        <v>54</v>
      </c>
      <c r="E6" s="18" t="s">
        <v>75</v>
      </c>
      <c r="F6" s="20" t="n">
        <v>0.560829226403294</v>
      </c>
      <c r="G6" s="20" t="n">
        <v>0.23249850589652</v>
      </c>
      <c r="H6" s="20" t="n">
        <v>0.206672267700187</v>
      </c>
      <c r="I6" s="20" t="n">
        <f aca="false">F6+G6</f>
        <v>0.793327732299813</v>
      </c>
      <c r="J6" s="20" t="n">
        <f aca="false">F6+H6</f>
        <v>0.767501494103481</v>
      </c>
      <c r="K6" s="20" t="n">
        <f aca="false">G6+H6</f>
        <v>0.439170773596707</v>
      </c>
      <c r="L6" s="21" t="n">
        <v>2.70807606961655</v>
      </c>
      <c r="M6" s="20" t="n">
        <v>0.751491264967966</v>
      </c>
      <c r="N6" s="20" t="n">
        <v>0.508356106741066</v>
      </c>
      <c r="O6" s="20" t="n">
        <v>0.287692391732261</v>
      </c>
      <c r="P6" s="20" t="n">
        <v>0.508199065873314</v>
      </c>
      <c r="Q6" s="20" t="n">
        <v>0.646957537513443</v>
      </c>
      <c r="R6" s="20" t="n">
        <v>0.613193646167679</v>
      </c>
      <c r="S6" s="21" t="n">
        <v>10.5470196956587</v>
      </c>
      <c r="T6" s="20" t="n">
        <v>0.704041335259412</v>
      </c>
      <c r="U6" s="20" t="n">
        <v>0.593390756677198</v>
      </c>
      <c r="V6" s="21" t="n">
        <v>5.31863891477262</v>
      </c>
      <c r="W6" s="20" t="n">
        <v>0.768827355539506</v>
      </c>
      <c r="X6" s="20" t="n">
        <v>0.60748108440404</v>
      </c>
      <c r="Y6" s="19" t="s">
        <v>76</v>
      </c>
      <c r="Z6" s="20" t="n">
        <v>0.796352310445417</v>
      </c>
    </row>
    <row r="7" customFormat="false" ht="15" hidden="false" customHeight="false" outlineLevel="0" collapsed="false">
      <c r="A7" s="18" t="n">
        <v>6</v>
      </c>
      <c r="B7" s="18" t="s">
        <v>74</v>
      </c>
      <c r="C7" s="18" t="s">
        <v>83</v>
      </c>
      <c r="D7" s="19" t="s">
        <v>54</v>
      </c>
      <c r="E7" s="18" t="s">
        <v>75</v>
      </c>
      <c r="F7" s="20" t="n">
        <v>0.512882686211862</v>
      </c>
      <c r="G7" s="20" t="n">
        <v>0.252716665258713</v>
      </c>
      <c r="H7" s="20" t="n">
        <v>0.234400648529425</v>
      </c>
      <c r="I7" s="20" t="n">
        <f aca="false">F7+G7</f>
        <v>0.765599351470575</v>
      </c>
      <c r="J7" s="20" t="n">
        <f aca="false">F7+H7</f>
        <v>0.747283334741287</v>
      </c>
      <c r="K7" s="20" t="n">
        <f aca="false">G7+H7</f>
        <v>0.487117313788138</v>
      </c>
      <c r="L7" s="21" t="n">
        <v>2.50330536909114</v>
      </c>
      <c r="M7" s="20" t="n">
        <v>0.711960633147489</v>
      </c>
      <c r="N7" s="20" t="n">
        <v>0.457035931275731</v>
      </c>
      <c r="O7" s="20" t="n">
        <v>0.243131645141363</v>
      </c>
      <c r="P7" s="20" t="n">
        <v>0.482947349799624</v>
      </c>
      <c r="Q7" s="20" t="n">
        <v>0.676475532348011</v>
      </c>
      <c r="R7" s="20" t="n">
        <v>0.602696312847062</v>
      </c>
      <c r="S7" s="21" t="n">
        <v>11.7085972293711</v>
      </c>
      <c r="T7" s="20" t="n">
        <v>0.799800247095497</v>
      </c>
      <c r="U7" s="20" t="n">
        <v>0.707866160018243</v>
      </c>
      <c r="V7" s="21" t="n">
        <v>5.55216072066526</v>
      </c>
      <c r="W7" s="20" t="n">
        <v>0.795788866022248</v>
      </c>
      <c r="X7" s="20" t="n">
        <v>0.64356389029001</v>
      </c>
      <c r="Y7" s="19" t="s">
        <v>76</v>
      </c>
      <c r="Z7" s="20" t="n">
        <v>0.810342857188946</v>
      </c>
    </row>
    <row r="8" customFormat="false" ht="15" hidden="false" customHeight="false" outlineLevel="0" collapsed="false">
      <c r="A8" s="18" t="n">
        <v>7</v>
      </c>
      <c r="B8" s="18" t="s">
        <v>74</v>
      </c>
      <c r="C8" s="18" t="s">
        <v>84</v>
      </c>
      <c r="D8" s="19" t="s">
        <v>54</v>
      </c>
      <c r="E8" s="18" t="s">
        <v>75</v>
      </c>
      <c r="F8" s="20" t="n">
        <v>0.4868461579774</v>
      </c>
      <c r="G8" s="20" t="n">
        <v>0.269734450064841</v>
      </c>
      <c r="H8" s="20" t="n">
        <v>0.243419391957759</v>
      </c>
      <c r="I8" s="20" t="n">
        <f aca="false">F8+G8</f>
        <v>0.756580608042241</v>
      </c>
      <c r="J8" s="20" t="n">
        <f aca="false">F8+H8</f>
        <v>0.730265549935159</v>
      </c>
      <c r="K8" s="20" t="n">
        <f aca="false">G8+H8</f>
        <v>0.5131538420226</v>
      </c>
      <c r="L8" s="21" t="n">
        <v>2.29692455771935</v>
      </c>
      <c r="M8" s="20" t="n">
        <v>0.666951856023304</v>
      </c>
      <c r="N8" s="20" t="n">
        <v>0.403146009840653</v>
      </c>
      <c r="O8" s="20" t="n">
        <v>0.200028310616942</v>
      </c>
      <c r="P8" s="20" t="n">
        <v>0.445065720633014</v>
      </c>
      <c r="Q8" s="20" t="n">
        <v>0.70088897813789</v>
      </c>
      <c r="R8" s="20" t="n">
        <v>0.583560192407137</v>
      </c>
      <c r="S8" s="21" t="n">
        <v>10.4735125330247</v>
      </c>
      <c r="T8" s="20" t="n">
        <v>0.697045006229147</v>
      </c>
      <c r="U8" s="20" t="n">
        <v>0.585401709426987</v>
      </c>
      <c r="V8" s="21" t="n">
        <v>4.85250580808468</v>
      </c>
      <c r="W8" s="20" t="n">
        <v>0.706551630924903</v>
      </c>
      <c r="X8" s="20" t="n">
        <v>0.529299795956795</v>
      </c>
      <c r="Y8" s="19" t="s">
        <v>76</v>
      </c>
      <c r="Z8" s="20" t="n">
        <v>0.817525625138665</v>
      </c>
    </row>
    <row r="9" customFormat="false" ht="15" hidden="false" customHeight="false" outlineLevel="0" collapsed="false">
      <c r="A9" s="18" t="n">
        <v>8</v>
      </c>
      <c r="B9" s="18" t="s">
        <v>74</v>
      </c>
      <c r="C9" s="18" t="s">
        <v>85</v>
      </c>
      <c r="D9" s="19" t="s">
        <v>54</v>
      </c>
      <c r="E9" s="18" t="s">
        <v>75</v>
      </c>
      <c r="F9" s="20" t="n">
        <v>0.625594703486607</v>
      </c>
      <c r="G9" s="20" t="n">
        <v>0.209473972762562</v>
      </c>
      <c r="H9" s="20" t="n">
        <v>0.164931323750832</v>
      </c>
      <c r="I9" s="20" t="n">
        <f aca="false">F9+G9</f>
        <v>0.835068676249169</v>
      </c>
      <c r="J9" s="20" t="n">
        <f aca="false">F9+H9</f>
        <v>0.790526027237438</v>
      </c>
      <c r="K9" s="20" t="n">
        <f aca="false">G9+H9</f>
        <v>0.374405296513394</v>
      </c>
      <c r="L9" s="21" t="n">
        <v>2.85703667505715</v>
      </c>
      <c r="M9" s="20" t="n">
        <v>0.777283384890795</v>
      </c>
      <c r="N9" s="20" t="n">
        <v>0.54404249712721</v>
      </c>
      <c r="O9" s="20" t="n">
        <v>0.320785325490116</v>
      </c>
      <c r="P9" s="20" t="n">
        <v>0.506285283107282</v>
      </c>
      <c r="Q9" s="20" t="n">
        <v>0.622961800807585</v>
      </c>
      <c r="R9" s="20" t="n">
        <v>0.615965179768697</v>
      </c>
      <c r="S9" s="21" t="n">
        <v>11.1442847636978</v>
      </c>
      <c r="T9" s="20" t="n">
        <v>0.756737487218797</v>
      </c>
      <c r="U9" s="20" t="n">
        <v>0.65514472162419</v>
      </c>
      <c r="V9" s="21" t="n">
        <v>5.95271706136675</v>
      </c>
      <c r="W9" s="20" t="n">
        <v>0.835948927745463</v>
      </c>
      <c r="X9" s="20" t="n">
        <v>0.700221915751903</v>
      </c>
      <c r="Y9" s="19" t="s">
        <v>80</v>
      </c>
      <c r="Z9" s="20" t="n">
        <v>0.835068676249169</v>
      </c>
    </row>
    <row r="10" customFormat="false" ht="15" hidden="false" customHeight="false" outlineLevel="0" collapsed="false">
      <c r="A10" s="18" t="n">
        <v>9</v>
      </c>
      <c r="B10" s="18" t="s">
        <v>74</v>
      </c>
      <c r="C10" s="18" t="s">
        <v>86</v>
      </c>
      <c r="D10" s="19" t="s">
        <v>54</v>
      </c>
      <c r="E10" s="18" t="s">
        <v>75</v>
      </c>
      <c r="F10" s="20" t="n">
        <v>0.437855750545641</v>
      </c>
      <c r="G10" s="20" t="n">
        <v>0.278339610453099</v>
      </c>
      <c r="H10" s="20" t="n">
        <v>0.28380463900126</v>
      </c>
      <c r="I10" s="20" t="n">
        <f aca="false">F10+G10</f>
        <v>0.71619536099874</v>
      </c>
      <c r="J10" s="20" t="n">
        <f aca="false">F10+H10</f>
        <v>0.721660389546901</v>
      </c>
      <c r="K10" s="20" t="n">
        <f aca="false">G10+H10</f>
        <v>0.562144249454359</v>
      </c>
      <c r="L10" s="21" t="n">
        <v>2.2703873953297</v>
      </c>
      <c r="M10" s="20" t="n">
        <v>0.660726605636234</v>
      </c>
      <c r="N10" s="20" t="n">
        <v>0.396093893217481</v>
      </c>
      <c r="O10" s="20" t="n">
        <v>0.194660170412682</v>
      </c>
      <c r="P10" s="20" t="n">
        <v>0.451207343807505</v>
      </c>
      <c r="Q10" s="20" t="n">
        <v>0.703601464040866</v>
      </c>
      <c r="R10" s="20" t="n">
        <v>0.58039964901922</v>
      </c>
      <c r="S10" s="21" t="n">
        <v>9.99181813776134</v>
      </c>
      <c r="T10" s="20" t="n">
        <v>0.648477204482069</v>
      </c>
      <c r="U10" s="20" t="n">
        <v>0.531204504911036</v>
      </c>
      <c r="V10" s="21" t="n">
        <v>5.94947021391977</v>
      </c>
      <c r="W10" s="20" t="n">
        <v>0.835652575285083</v>
      </c>
      <c r="X10" s="20" t="n">
        <v>0.69978981692755</v>
      </c>
      <c r="Y10" s="19" t="s">
        <v>76</v>
      </c>
      <c r="Z10" s="20" t="n">
        <v>0.817934677836534</v>
      </c>
    </row>
    <row r="11" customFormat="false" ht="15" hidden="false" customHeight="false" outlineLevel="0" collapsed="false">
      <c r="A11" s="18" t="n">
        <v>10</v>
      </c>
      <c r="B11" s="18" t="s">
        <v>74</v>
      </c>
      <c r="C11" s="18" t="s">
        <v>87</v>
      </c>
      <c r="D11" s="19" t="s">
        <v>54</v>
      </c>
      <c r="E11" s="18" t="s">
        <v>75</v>
      </c>
      <c r="F11" s="20" t="n">
        <v>0.529167364969504</v>
      </c>
      <c r="G11" s="20" t="n">
        <v>0.244588057354094</v>
      </c>
      <c r="H11" s="20" t="n">
        <v>0.226244577676402</v>
      </c>
      <c r="I11" s="20" t="n">
        <f aca="false">F11+G11</f>
        <v>0.773755422323598</v>
      </c>
      <c r="J11" s="20" t="n">
        <f aca="false">F11+H11</f>
        <v>0.755411942645906</v>
      </c>
      <c r="K11" s="20" t="n">
        <f aca="false">G11+H11</f>
        <v>0.470832635030496</v>
      </c>
      <c r="L11" s="21" t="n">
        <v>2.59763322826835</v>
      </c>
      <c r="M11" s="20" t="n">
        <v>0.730779269156838</v>
      </c>
      <c r="N11" s="20" t="n">
        <v>0.480978376203953</v>
      </c>
      <c r="O11" s="20" t="n">
        <v>0.263485130937001</v>
      </c>
      <c r="P11" s="20" t="n">
        <v>0.497539348904862</v>
      </c>
      <c r="Q11" s="20" t="n">
        <v>0.663446447795395</v>
      </c>
      <c r="R11" s="20" t="n">
        <v>0.608536688578147</v>
      </c>
      <c r="S11" s="21" t="n">
        <v>10.6267650897939</v>
      </c>
      <c r="T11" s="20" t="n">
        <v>0.711505183247144</v>
      </c>
      <c r="U11" s="20" t="n">
        <v>0.601966131386947</v>
      </c>
      <c r="V11" s="21" t="n">
        <v>5.8119940023081</v>
      </c>
      <c r="W11" s="20" t="n">
        <v>0.822678226100869</v>
      </c>
      <c r="X11" s="20" t="n">
        <v>0.681084927205135</v>
      </c>
      <c r="Y11" s="19" t="s">
        <v>76</v>
      </c>
      <c r="Z11" s="20" t="n">
        <v>0.804688998153705</v>
      </c>
    </row>
    <row r="12" customFormat="false" ht="15" hidden="false" customHeight="false" outlineLevel="0" collapsed="false">
      <c r="A12" s="18" t="n">
        <v>11</v>
      </c>
      <c r="B12" s="18" t="s">
        <v>74</v>
      </c>
      <c r="C12" s="18" t="s">
        <v>82</v>
      </c>
      <c r="D12" s="19" t="s">
        <v>54</v>
      </c>
      <c r="E12" s="18" t="s">
        <v>75</v>
      </c>
      <c r="F12" s="20" t="n">
        <v>0.570232177381576</v>
      </c>
      <c r="G12" s="20" t="n">
        <v>0.228519664863641</v>
      </c>
      <c r="H12" s="20" t="n">
        <v>0.201248157754783</v>
      </c>
      <c r="I12" s="20" t="n">
        <f aca="false">F12+G12</f>
        <v>0.798751842245217</v>
      </c>
      <c r="J12" s="20" t="n">
        <f aca="false">F12+H12</f>
        <v>0.771480335136359</v>
      </c>
      <c r="K12" s="20" t="n">
        <f aca="false">G12+H12</f>
        <v>0.429767822618424</v>
      </c>
      <c r="L12" s="21" t="n">
        <v>2.74816656179674</v>
      </c>
      <c r="M12" s="20" t="n">
        <v>0.758661450328019</v>
      </c>
      <c r="N12" s="20" t="n">
        <v>0.518105278463434</v>
      </c>
      <c r="O12" s="20" t="n">
        <v>0.296557847521516</v>
      </c>
      <c r="P12" s="20" t="n">
        <v>0.512403756353808</v>
      </c>
      <c r="Q12" s="20" t="n">
        <v>0.640689298472775</v>
      </c>
      <c r="R12" s="20" t="n">
        <v>0.614317450138565</v>
      </c>
      <c r="S12" s="21" t="n">
        <v>10.3264135819467</v>
      </c>
      <c r="T12" s="20" t="n">
        <v>0.682710947523868</v>
      </c>
      <c r="U12" s="20" t="n">
        <v>0.569179666576416</v>
      </c>
      <c r="V12" s="21" t="n">
        <v>5.44753275422569</v>
      </c>
      <c r="W12" s="20" t="n">
        <v>0.784045811331754</v>
      </c>
      <c r="X12" s="20" t="n">
        <v>0.627667819718055</v>
      </c>
      <c r="Y12" s="19" t="s">
        <v>80</v>
      </c>
      <c r="Z12" s="20" t="n">
        <v>0.798751842245217</v>
      </c>
    </row>
    <row r="13" customFormat="false" ht="15" hidden="false" customHeight="false" outlineLevel="0" collapsed="false">
      <c r="A13" s="18" t="n">
        <v>12</v>
      </c>
      <c r="B13" s="18" t="s">
        <v>88</v>
      </c>
      <c r="C13" s="18" t="s">
        <v>74</v>
      </c>
      <c r="D13" s="19" t="s">
        <v>54</v>
      </c>
      <c r="E13" s="18" t="s">
        <v>78</v>
      </c>
      <c r="F13" s="20" t="n">
        <v>0.443281359843362</v>
      </c>
      <c r="G13" s="20" t="n">
        <v>0.25919933801004</v>
      </c>
      <c r="H13" s="20" t="n">
        <v>0.297519302146598</v>
      </c>
      <c r="I13" s="20" t="n">
        <f aca="false">F13+G13</f>
        <v>0.702480697853402</v>
      </c>
      <c r="J13" s="20" t="n">
        <f aca="false">F13+H13</f>
        <v>0.74080066198996</v>
      </c>
      <c r="K13" s="20" t="n">
        <f aca="false">G13+H13</f>
        <v>0.556718640156638</v>
      </c>
      <c r="L13" s="21" t="n">
        <v>2.56574014959236</v>
      </c>
      <c r="M13" s="20" t="n">
        <v>0.724465804370703</v>
      </c>
      <c r="N13" s="20" t="n">
        <v>0.472936859512761</v>
      </c>
      <c r="O13" s="20" t="n">
        <v>0.256565172253054</v>
      </c>
      <c r="P13" s="20" t="n">
        <v>0.514219507996275</v>
      </c>
      <c r="Q13" s="20" t="n">
        <v>0.66803679440947</v>
      </c>
      <c r="R13" s="20" t="n">
        <v>0.606689224114541</v>
      </c>
      <c r="S13" s="21" t="n">
        <v>10.1231393279544</v>
      </c>
      <c r="T13" s="20" t="n">
        <v>0.662179514004987</v>
      </c>
      <c r="U13" s="20" t="n">
        <v>0.546276991556609</v>
      </c>
      <c r="V13" s="21" t="n">
        <v>5.27419905754583</v>
      </c>
      <c r="W13" s="20" t="n">
        <v>0.763384091862749</v>
      </c>
      <c r="X13" s="20" t="n">
        <v>0.600370022850341</v>
      </c>
      <c r="Y13" s="19" t="s">
        <v>76</v>
      </c>
      <c r="Z13" s="20" t="n">
        <v>0.806825386406361</v>
      </c>
    </row>
    <row r="14" customFormat="false" ht="15" hidden="false" customHeight="false" outlineLevel="0" collapsed="false">
      <c r="A14" s="18" t="n">
        <v>13</v>
      </c>
      <c r="B14" s="18" t="s">
        <v>88</v>
      </c>
      <c r="C14" s="18" t="s">
        <v>85</v>
      </c>
      <c r="D14" s="19" t="s">
        <v>54</v>
      </c>
      <c r="E14" s="18" t="s">
        <v>75</v>
      </c>
      <c r="F14" s="20" t="n">
        <v>0.607499625661995</v>
      </c>
      <c r="G14" s="20" t="n">
        <v>0.209152407511355</v>
      </c>
      <c r="H14" s="20" t="n">
        <v>0.18334796682665</v>
      </c>
      <c r="I14" s="20" t="n">
        <f aca="false">F14+G14</f>
        <v>0.81665203317335</v>
      </c>
      <c r="J14" s="20" t="n">
        <f aca="false">F14+H14</f>
        <v>0.790847592488645</v>
      </c>
      <c r="K14" s="20" t="n">
        <f aca="false">G14+H14</f>
        <v>0.392500374338005</v>
      </c>
      <c r="L14" s="21" t="n">
        <v>3.00150473973117</v>
      </c>
      <c r="M14" s="20" t="n">
        <v>0.79991799297507</v>
      </c>
      <c r="N14" s="20" t="n">
        <v>0.577160704707041</v>
      </c>
      <c r="O14" s="20" t="n">
        <v>0.353117107565124</v>
      </c>
      <c r="P14" s="20" t="n">
        <v>0.545385015443542</v>
      </c>
      <c r="Q14" s="20" t="n">
        <v>0.59834233279945</v>
      </c>
      <c r="R14" s="20" t="n">
        <v>0.614922192205351</v>
      </c>
      <c r="S14" s="21" t="n">
        <v>11.1703863470058</v>
      </c>
      <c r="T14" s="20" t="n">
        <v>0.758871986257039</v>
      </c>
      <c r="U14" s="20" t="n">
        <v>0.657707802723406</v>
      </c>
      <c r="V14" s="21" t="n">
        <v>5.6205416963352</v>
      </c>
      <c r="W14" s="20" t="n">
        <v>0.803175016082338</v>
      </c>
      <c r="X14" s="20" t="n">
        <v>0.653710845896647</v>
      </c>
      <c r="Y14" s="19" t="s">
        <v>80</v>
      </c>
      <c r="Z14" s="20" t="n">
        <v>0.81665203317335</v>
      </c>
    </row>
    <row r="15" customFormat="false" ht="15" hidden="false" customHeight="false" outlineLevel="0" collapsed="false">
      <c r="A15" s="18" t="n">
        <v>14</v>
      </c>
      <c r="B15" s="18" t="s">
        <v>88</v>
      </c>
      <c r="C15" s="18" t="s">
        <v>89</v>
      </c>
      <c r="D15" s="19" t="s">
        <v>56</v>
      </c>
      <c r="E15" s="18" t="s">
        <v>78</v>
      </c>
      <c r="F15" s="20" t="n">
        <v>0.298687171929437</v>
      </c>
      <c r="G15" s="20" t="n">
        <v>0.24959390007113</v>
      </c>
      <c r="H15" s="20" t="n">
        <v>0.451718927999434</v>
      </c>
      <c r="I15" s="20" t="n">
        <f aca="false">F15+G15</f>
        <v>0.548281072000567</v>
      </c>
      <c r="J15" s="20" t="n">
        <f aca="false">F15+H15</f>
        <v>0.75040609992887</v>
      </c>
      <c r="K15" s="20" t="n">
        <f aca="false">G15+H15</f>
        <v>0.701312828070563</v>
      </c>
      <c r="L15" s="21" t="n">
        <v>2.72980127051212</v>
      </c>
      <c r="M15" s="20" t="n">
        <v>0.755291933432767</v>
      </c>
      <c r="N15" s="20" t="n">
        <v>0.513648699095637</v>
      </c>
      <c r="O15" s="20" t="n">
        <v>0.29248958433537</v>
      </c>
      <c r="P15" s="20" t="n">
        <v>0.545824247784222</v>
      </c>
      <c r="Q15" s="20" t="n">
        <v>0.643684398624844</v>
      </c>
      <c r="R15" s="20" t="n">
        <v>0.613732850936179</v>
      </c>
      <c r="S15" s="21" t="n">
        <v>10.479889104771</v>
      </c>
      <c r="T15" s="20" t="n">
        <v>0.697656332263643</v>
      </c>
      <c r="U15" s="20" t="n">
        <v>0.586097897006903</v>
      </c>
      <c r="V15" s="21" t="n">
        <v>5.19897316122223</v>
      </c>
      <c r="W15" s="20" t="n">
        <v>0.75393691144581</v>
      </c>
      <c r="X15" s="20" t="n">
        <v>0.588160439005092</v>
      </c>
      <c r="Y15" s="19" t="s">
        <v>76</v>
      </c>
      <c r="Z15" s="20" t="n">
        <v>0.794614900463626</v>
      </c>
    </row>
    <row r="16" customFormat="false" ht="15" hidden="false" customHeight="false" outlineLevel="0" collapsed="false">
      <c r="A16" s="18" t="n">
        <v>15</v>
      </c>
      <c r="B16" s="18" t="s">
        <v>88</v>
      </c>
      <c r="C16" s="18" t="s">
        <v>90</v>
      </c>
      <c r="D16" s="19" t="s">
        <v>54</v>
      </c>
      <c r="E16" s="18" t="s">
        <v>78</v>
      </c>
      <c r="F16" s="20" t="n">
        <v>0.450704071466609</v>
      </c>
      <c r="G16" s="20" t="n">
        <v>0.247793005350548</v>
      </c>
      <c r="H16" s="20" t="n">
        <v>0.301502923182843</v>
      </c>
      <c r="I16" s="20" t="n">
        <f aca="false">F16+G16</f>
        <v>0.698497076817157</v>
      </c>
      <c r="J16" s="20" t="n">
        <f aca="false">F16+H16</f>
        <v>0.752206994649452</v>
      </c>
      <c r="K16" s="20" t="n">
        <f aca="false">G16+H16</f>
        <v>0.549295928533391</v>
      </c>
      <c r="L16" s="21" t="n">
        <v>2.76798991420285</v>
      </c>
      <c r="M16" s="20" t="n">
        <v>0.7620236576289</v>
      </c>
      <c r="N16" s="20" t="n">
        <v>0.522882745164768</v>
      </c>
      <c r="O16" s="20" t="n">
        <v>0.300950626732355</v>
      </c>
      <c r="P16" s="20" t="n">
        <v>0.553460051456648</v>
      </c>
      <c r="Q16" s="20" t="n">
        <v>0.637654372909307</v>
      </c>
      <c r="R16" s="20" t="n">
        <v>0.614649936011565</v>
      </c>
      <c r="S16" s="21" t="n">
        <v>10.6178093965277</v>
      </c>
      <c r="T16" s="20" t="n">
        <v>0.71067352735078</v>
      </c>
      <c r="U16" s="20" t="n">
        <v>0.601007917792324</v>
      </c>
      <c r="V16" s="21" t="n">
        <v>5.09508897587447</v>
      </c>
      <c r="W16" s="20" t="n">
        <v>0.740402809248954</v>
      </c>
      <c r="X16" s="20" t="n">
        <v>0.570952701667452</v>
      </c>
      <c r="Y16" s="19" t="s">
        <v>76</v>
      </c>
      <c r="Z16" s="20" t="n">
        <v>0.791231278024327</v>
      </c>
    </row>
    <row r="17" customFormat="false" ht="15" hidden="false" customHeight="false" outlineLevel="0" collapsed="false">
      <c r="A17" s="18" t="n">
        <v>16</v>
      </c>
      <c r="B17" s="18" t="s">
        <v>88</v>
      </c>
      <c r="C17" s="18" t="s">
        <v>81</v>
      </c>
      <c r="D17" s="19" t="s">
        <v>54</v>
      </c>
      <c r="E17" s="18" t="s">
        <v>78</v>
      </c>
      <c r="F17" s="20" t="n">
        <v>0.451622690447422</v>
      </c>
      <c r="G17" s="20" t="n">
        <v>0.266599119882747</v>
      </c>
      <c r="H17" s="20" t="n">
        <v>0.281778189669831</v>
      </c>
      <c r="I17" s="20" t="n">
        <f aca="false">F17+G17</f>
        <v>0.718221810330169</v>
      </c>
      <c r="J17" s="20" t="n">
        <f aca="false">F17+H17</f>
        <v>0.733400880117253</v>
      </c>
      <c r="K17" s="20" t="n">
        <f aca="false">G17+H17</f>
        <v>0.548377309552578</v>
      </c>
      <c r="L17" s="21" t="n">
        <v>2.4252262528599</v>
      </c>
      <c r="M17" s="20" t="n">
        <v>0.695516238325388</v>
      </c>
      <c r="N17" s="20" t="n">
        <v>0.436868529260041</v>
      </c>
      <c r="O17" s="20" t="n">
        <v>0.226566457291418</v>
      </c>
      <c r="P17" s="20" t="n">
        <v>0.482801438085528</v>
      </c>
      <c r="Q17" s="20" t="n">
        <v>0.686470895731193</v>
      </c>
      <c r="R17" s="20" t="n">
        <v>0.596457449632208</v>
      </c>
      <c r="S17" s="21" t="n">
        <v>9.81700976111664</v>
      </c>
      <c r="T17" s="20" t="n">
        <v>0.629716979266307</v>
      </c>
      <c r="U17" s="20" t="n">
        <v>0.510836652522312</v>
      </c>
      <c r="V17" s="21" t="n">
        <v>5.64156343813846</v>
      </c>
      <c r="W17" s="20" t="n">
        <v>0.805400549885388</v>
      </c>
      <c r="X17" s="20" t="n">
        <v>0.656791376666871</v>
      </c>
      <c r="Y17" s="19" t="s">
        <v>76</v>
      </c>
      <c r="Z17" s="20" t="n">
        <v>0.813978564329431</v>
      </c>
    </row>
    <row r="18" customFormat="false" ht="15" hidden="false" customHeight="false" outlineLevel="0" collapsed="false">
      <c r="A18" s="18" t="n">
        <v>17</v>
      </c>
      <c r="B18" s="18" t="s">
        <v>91</v>
      </c>
      <c r="C18" s="18" t="s">
        <v>74</v>
      </c>
      <c r="D18" s="19" t="s">
        <v>54</v>
      </c>
      <c r="E18" s="18" t="s">
        <v>75</v>
      </c>
      <c r="F18" s="20" t="n">
        <v>0.488625056631443</v>
      </c>
      <c r="G18" s="20" t="n">
        <v>0.25596404955589</v>
      </c>
      <c r="H18" s="20" t="n">
        <v>0.255410893812668</v>
      </c>
      <c r="I18" s="20" t="n">
        <f aca="false">F18+G18</f>
        <v>0.744589106187332</v>
      </c>
      <c r="J18" s="20" t="n">
        <f aca="false">F18+H18</f>
        <v>0.744035950444111</v>
      </c>
      <c r="K18" s="20" t="n">
        <f aca="false">G18+H18</f>
        <v>0.511374943368557</v>
      </c>
      <c r="L18" s="21" t="n">
        <v>2.51978078877051</v>
      </c>
      <c r="M18" s="20" t="n">
        <v>0.715296531690508</v>
      </c>
      <c r="N18" s="20" t="n">
        <v>0.461251976009507</v>
      </c>
      <c r="O18" s="20" t="n">
        <v>0.24666128981293</v>
      </c>
      <c r="P18" s="20" t="n">
        <v>0.494111806149052</v>
      </c>
      <c r="Q18" s="20" t="n">
        <v>0.674304068221364</v>
      </c>
      <c r="R18" s="20" t="n">
        <v>0.603815920258421</v>
      </c>
      <c r="S18" s="21" t="n">
        <v>9.66656633538843</v>
      </c>
      <c r="T18" s="20" t="n">
        <v>0.613109815856116</v>
      </c>
      <c r="U18" s="20" t="n">
        <v>0.493059349798324</v>
      </c>
      <c r="V18" s="21" t="n">
        <v>5.49626043189378</v>
      </c>
      <c r="W18" s="20" t="n">
        <v>0.78958195988257</v>
      </c>
      <c r="X18" s="20" t="n">
        <v>0.635126337050822</v>
      </c>
      <c r="Y18" s="19" t="s">
        <v>76</v>
      </c>
      <c r="Z18" s="20" t="n">
        <v>0.809484746602207</v>
      </c>
    </row>
    <row r="19" customFormat="false" ht="15" hidden="false" customHeight="false" outlineLevel="0" collapsed="false">
      <c r="A19" s="18" t="n">
        <v>18</v>
      </c>
      <c r="B19" s="18" t="s">
        <v>91</v>
      </c>
      <c r="C19" s="18" t="s">
        <v>88</v>
      </c>
      <c r="D19" s="19" t="s">
        <v>54</v>
      </c>
      <c r="E19" s="18" t="s">
        <v>78</v>
      </c>
      <c r="F19" s="20" t="n">
        <v>0.529264446484816</v>
      </c>
      <c r="G19" s="20" t="n">
        <v>0.238583431831998</v>
      </c>
      <c r="H19" s="20" t="n">
        <v>0.232152121683186</v>
      </c>
      <c r="I19" s="20" t="n">
        <f aca="false">F19+G19</f>
        <v>0.767847878316815</v>
      </c>
      <c r="J19" s="20" t="n">
        <f aca="false">F19+H19</f>
        <v>0.761416568168002</v>
      </c>
      <c r="K19" s="20" t="n">
        <f aca="false">G19+H19</f>
        <v>0.470735553515184</v>
      </c>
      <c r="L19" s="21" t="n">
        <v>2.72030942204493</v>
      </c>
      <c r="M19" s="20" t="n">
        <v>0.753656764330793</v>
      </c>
      <c r="N19" s="20" t="n">
        <v>0.511340573361787</v>
      </c>
      <c r="O19" s="20" t="n">
        <v>0.290392722673895</v>
      </c>
      <c r="P19" s="20" t="n">
        <v>0.523197700898735</v>
      </c>
      <c r="Q19" s="20" t="n">
        <v>0.645100971957663</v>
      </c>
      <c r="R19" s="20" t="n">
        <v>0.613526578430206</v>
      </c>
      <c r="S19" s="21" t="n">
        <v>9.83359078301803</v>
      </c>
      <c r="T19" s="20" t="n">
        <v>0.631521494701148</v>
      </c>
      <c r="U19" s="20" t="n">
        <v>0.512782517239375</v>
      </c>
      <c r="V19" s="21" t="n">
        <v>5.21303721859804</v>
      </c>
      <c r="W19" s="20" t="n">
        <v>0.755725544129917</v>
      </c>
      <c r="X19" s="20" t="n">
        <v>0.590459382562178</v>
      </c>
      <c r="Y19" s="19" t="s">
        <v>76</v>
      </c>
      <c r="Z19" s="20" t="n">
        <v>0.795363508730971</v>
      </c>
    </row>
    <row r="20" customFormat="false" ht="15" hidden="false" customHeight="false" outlineLevel="0" collapsed="false">
      <c r="A20" s="18" t="n">
        <v>19</v>
      </c>
      <c r="B20" s="18" t="s">
        <v>91</v>
      </c>
      <c r="C20" s="18" t="s">
        <v>92</v>
      </c>
      <c r="D20" s="19" t="s">
        <v>54</v>
      </c>
      <c r="E20" s="18" t="s">
        <v>93</v>
      </c>
      <c r="F20" s="20" t="n">
        <v>0.717744160077261</v>
      </c>
      <c r="G20" s="20" t="n">
        <v>0.171872064016699</v>
      </c>
      <c r="H20" s="20" t="n">
        <v>0.11038377590604</v>
      </c>
      <c r="I20" s="20" t="n">
        <f aca="false">F20+G20</f>
        <v>0.88961622409396</v>
      </c>
      <c r="J20" s="20" t="n">
        <f aca="false">F20+H20</f>
        <v>0.828127935983301</v>
      </c>
      <c r="K20" s="20" t="n">
        <f aca="false">G20+H20</f>
        <v>0.282255839922739</v>
      </c>
      <c r="L20" s="21" t="n">
        <v>3.06309088692094</v>
      </c>
      <c r="M20" s="20" t="n">
        <v>0.809140207811456</v>
      </c>
      <c r="N20" s="20" t="n">
        <v>0.590839684053257</v>
      </c>
      <c r="O20" s="20" t="n">
        <v>0.366939177927444</v>
      </c>
      <c r="P20" s="20" t="n">
        <v>0.482117753830597</v>
      </c>
      <c r="Q20" s="20" t="n">
        <v>0.587298404648579</v>
      </c>
      <c r="R20" s="20" t="n">
        <v>0.613672254092378</v>
      </c>
      <c r="S20" s="21" t="n">
        <v>10.3495543032664</v>
      </c>
      <c r="T20" s="20" t="n">
        <v>0.6849952289182</v>
      </c>
      <c r="U20" s="20" t="n">
        <v>0.571751839815497</v>
      </c>
      <c r="V20" s="21" t="n">
        <v>4.54415054668193</v>
      </c>
      <c r="W20" s="20" t="n">
        <v>0.658898891529608</v>
      </c>
      <c r="X20" s="20" t="n">
        <v>0.473765550876174</v>
      </c>
      <c r="Y20" s="19" t="s">
        <v>80</v>
      </c>
      <c r="Z20" s="20" t="n">
        <v>0.88961622409396</v>
      </c>
    </row>
    <row r="21" customFormat="false" ht="15" hidden="false" customHeight="false" outlineLevel="0" collapsed="false">
      <c r="A21" s="18" t="n">
        <v>20</v>
      </c>
      <c r="B21" s="18" t="s">
        <v>91</v>
      </c>
      <c r="C21" s="18" t="s">
        <v>81</v>
      </c>
      <c r="D21" s="19" t="s">
        <v>54</v>
      </c>
      <c r="E21" s="18" t="s">
        <v>75</v>
      </c>
      <c r="F21" s="20" t="n">
        <v>0.495364724417786</v>
      </c>
      <c r="G21" s="20" t="n">
        <v>0.262635362042403</v>
      </c>
      <c r="H21" s="20" t="n">
        <v>0.241999913539811</v>
      </c>
      <c r="I21" s="20" t="n">
        <f aca="false">F21+G21</f>
        <v>0.758000086460189</v>
      </c>
      <c r="J21" s="20" t="n">
        <f aca="false">F21+H21</f>
        <v>0.737364637957597</v>
      </c>
      <c r="K21" s="20" t="n">
        <f aca="false">G21+H21</f>
        <v>0.504635275582214</v>
      </c>
      <c r="L21" s="21" t="n">
        <v>2.3863296335817</v>
      </c>
      <c r="M21" s="20" t="n">
        <v>0.687108852065722</v>
      </c>
      <c r="N21" s="20" t="n">
        <v>0.426716421581789</v>
      </c>
      <c r="O21" s="20" t="n">
        <v>0.218425232469351</v>
      </c>
      <c r="P21" s="20" t="n">
        <v>0.462764286656838</v>
      </c>
      <c r="Q21" s="20" t="n">
        <v>0.691071121224871</v>
      </c>
      <c r="R21" s="20" t="n">
        <v>0.592946691239096</v>
      </c>
      <c r="S21" s="21" t="n">
        <v>9.39996309236239</v>
      </c>
      <c r="T21" s="20" t="n">
        <v>0.582682345298069</v>
      </c>
      <c r="U21" s="20" t="n">
        <v>0.461087995625563</v>
      </c>
      <c r="V21" s="21" t="n">
        <v>5.87437619195</v>
      </c>
      <c r="W21" s="20" t="n">
        <v>0.828669637887374</v>
      </c>
      <c r="X21" s="20" t="n">
        <v>0.689671617418231</v>
      </c>
      <c r="Y21" s="19" t="s">
        <v>76</v>
      </c>
      <c r="Z21" s="20" t="n">
        <v>0.815334192867596</v>
      </c>
    </row>
    <row r="22" customFormat="false" ht="15" hidden="false" customHeight="false" outlineLevel="0" collapsed="false">
      <c r="A22" s="18" t="n">
        <v>21</v>
      </c>
      <c r="B22" s="18" t="s">
        <v>91</v>
      </c>
      <c r="C22" s="18" t="s">
        <v>82</v>
      </c>
      <c r="D22" s="19" t="s">
        <v>54</v>
      </c>
      <c r="E22" s="18" t="s">
        <v>75</v>
      </c>
      <c r="F22" s="20" t="n">
        <v>0.596488740691601</v>
      </c>
      <c r="G22" s="20" t="n">
        <v>0.216740464328827</v>
      </c>
      <c r="H22" s="20" t="n">
        <v>0.186770794979572</v>
      </c>
      <c r="I22" s="20" t="n">
        <f aca="false">F22+G22</f>
        <v>0.813229205020428</v>
      </c>
      <c r="J22" s="20" t="n">
        <f aca="false">F22+H22</f>
        <v>0.783259535671174</v>
      </c>
      <c r="K22" s="20" t="n">
        <f aca="false">G22+H22</f>
        <v>0.403511259308399</v>
      </c>
      <c r="L22" s="21" t="n">
        <v>2.87554924158609</v>
      </c>
      <c r="M22" s="20" t="n">
        <v>0.780263148415046</v>
      </c>
      <c r="N22" s="20" t="n">
        <v>0.548367548110498</v>
      </c>
      <c r="O22" s="20" t="n">
        <v>0.324918071610036</v>
      </c>
      <c r="P22" s="20" t="n">
        <v>0.525980197558623</v>
      </c>
      <c r="Q22" s="20" t="n">
        <v>0.619919739365294</v>
      </c>
      <c r="R22" s="20" t="n">
        <v>0.615982907194992</v>
      </c>
      <c r="S22" s="21" t="n">
        <v>9.84264469783742</v>
      </c>
      <c r="T22" s="20" t="n">
        <v>0.632504639423838</v>
      </c>
      <c r="U22" s="20" t="n">
        <v>0.513843853993727</v>
      </c>
      <c r="V22" s="21" t="n">
        <v>5.37892104649936</v>
      </c>
      <c r="W22" s="20" t="n">
        <v>0.776049482588728</v>
      </c>
      <c r="X22" s="20" t="n">
        <v>0.617004081745227</v>
      </c>
      <c r="Y22" s="19" t="s">
        <v>80</v>
      </c>
      <c r="Z22" s="20" t="n">
        <v>0.813229205020428</v>
      </c>
    </row>
    <row r="23" customFormat="false" ht="15" hidden="false" customHeight="false" outlineLevel="0" collapsed="false">
      <c r="A23" s="18" t="n">
        <v>22</v>
      </c>
      <c r="B23" s="18" t="s">
        <v>83</v>
      </c>
      <c r="C23" s="18" t="s">
        <v>92</v>
      </c>
      <c r="D23" s="19" t="s">
        <v>54</v>
      </c>
      <c r="E23" s="18" t="s">
        <v>93</v>
      </c>
      <c r="F23" s="20" t="n">
        <v>0.652621885693369</v>
      </c>
      <c r="G23" s="20" t="n">
        <v>0.200522086107634</v>
      </c>
      <c r="H23" s="20" t="n">
        <v>0.146856028198997</v>
      </c>
      <c r="I23" s="20" t="n">
        <f aca="false">F23+G23</f>
        <v>0.853143971801003</v>
      </c>
      <c r="J23" s="20" t="n">
        <f aca="false">F23+H23</f>
        <v>0.799477913892366</v>
      </c>
      <c r="K23" s="20" t="n">
        <f aca="false">G23+H23</f>
        <v>0.347378114306631</v>
      </c>
      <c r="L23" s="21" t="n">
        <v>2.87674431948416</v>
      </c>
      <c r="M23" s="20" t="n">
        <v>0.780549949879681</v>
      </c>
      <c r="N23" s="20" t="n">
        <v>0.548653173872806</v>
      </c>
      <c r="O23" s="20" t="n">
        <v>0.325190873084984</v>
      </c>
      <c r="P23" s="20" t="n">
        <v>0.49340637223671</v>
      </c>
      <c r="Q23" s="20" t="n">
        <v>0.619628438475793</v>
      </c>
      <c r="R23" s="20" t="n">
        <v>0.616075053155714</v>
      </c>
      <c r="S23" s="21" t="n">
        <v>12.942862658192</v>
      </c>
      <c r="T23" s="20" t="n">
        <v>0.872936849150633</v>
      </c>
      <c r="U23" s="20" t="n">
        <v>0.803006865230765</v>
      </c>
      <c r="V23" s="21" t="n">
        <v>4.56607842018395</v>
      </c>
      <c r="W23" s="20" t="n">
        <v>0.662459249030938</v>
      </c>
      <c r="X23" s="20" t="n">
        <v>0.47779662357871</v>
      </c>
      <c r="Y23" s="19" t="s">
        <v>80</v>
      </c>
      <c r="Z23" s="20" t="n">
        <v>0.853143971801003</v>
      </c>
    </row>
    <row r="24" customFormat="false" ht="15" hidden="false" customHeight="false" outlineLevel="0" collapsed="false">
      <c r="A24" s="18" t="n">
        <v>23</v>
      </c>
      <c r="B24" s="18" t="s">
        <v>83</v>
      </c>
      <c r="C24" s="18" t="s">
        <v>86</v>
      </c>
      <c r="D24" s="19" t="s">
        <v>54</v>
      </c>
      <c r="E24" s="18" t="s">
        <v>78</v>
      </c>
      <c r="F24" s="20" t="n">
        <v>0.397247154704857</v>
      </c>
      <c r="G24" s="20" t="n">
        <v>0.279620246095401</v>
      </c>
      <c r="H24" s="20" t="n">
        <v>0.323132599199743</v>
      </c>
      <c r="I24" s="20" t="n">
        <f aca="false">F24+G24</f>
        <v>0.676867400800257</v>
      </c>
      <c r="J24" s="20" t="n">
        <f aca="false">F24+H24</f>
        <v>0.720379753904599</v>
      </c>
      <c r="K24" s="20" t="n">
        <f aca="false">G24+H24</f>
        <v>0.602752845295144</v>
      </c>
      <c r="L24" s="21" t="n">
        <v>2.29919416921965</v>
      </c>
      <c r="M24" s="20" t="n">
        <v>0.667409286379377</v>
      </c>
      <c r="N24" s="20" t="n">
        <v>0.403747665802002</v>
      </c>
      <c r="O24" s="20" t="n">
        <v>0.200489254616545</v>
      </c>
      <c r="P24" s="20" t="n">
        <v>0.463473890042686</v>
      </c>
      <c r="Q24" s="20" t="n">
        <v>0.700722019698664</v>
      </c>
      <c r="R24" s="20" t="n">
        <v>0.583752719011691</v>
      </c>
      <c r="S24" s="21" t="n">
        <v>11.7145551143282</v>
      </c>
      <c r="T24" s="20" t="n">
        <v>0.800220922441361</v>
      </c>
      <c r="U24" s="20" t="n">
        <v>0.708392153633964</v>
      </c>
      <c r="V24" s="21" t="n">
        <v>5.91886946855582</v>
      </c>
      <c r="W24" s="20" t="n">
        <v>0.832836952507789</v>
      </c>
      <c r="X24" s="20" t="n">
        <v>0.695695467705808</v>
      </c>
      <c r="Y24" s="19" t="s">
        <v>76</v>
      </c>
      <c r="Z24" s="20" t="n">
        <v>0.817554706947522</v>
      </c>
    </row>
    <row r="25" customFormat="false" ht="15" hidden="false" customHeight="false" outlineLevel="0" collapsed="false">
      <c r="A25" s="18" t="n">
        <v>24</v>
      </c>
      <c r="B25" s="18" t="s">
        <v>83</v>
      </c>
      <c r="C25" s="18" t="s">
        <v>94</v>
      </c>
      <c r="D25" s="19" t="s">
        <v>54</v>
      </c>
      <c r="E25" s="18" t="s">
        <v>78</v>
      </c>
      <c r="F25" s="20" t="n">
        <v>0.415872385759962</v>
      </c>
      <c r="G25" s="20" t="n">
        <v>0.271369974120152</v>
      </c>
      <c r="H25" s="20" t="n">
        <v>0.312757640119886</v>
      </c>
      <c r="I25" s="20" t="n">
        <f aca="false">F25+G25</f>
        <v>0.687242359880114</v>
      </c>
      <c r="J25" s="20" t="n">
        <f aca="false">F25+H25</f>
        <v>0.728630025879848</v>
      </c>
      <c r="K25" s="20" t="n">
        <f aca="false">G25+H25</f>
        <v>0.584127614240038</v>
      </c>
      <c r="L25" s="21" t="n">
        <v>2.40359740492389</v>
      </c>
      <c r="M25" s="20" t="n">
        <v>0.690820335859151</v>
      </c>
      <c r="N25" s="20" t="n">
        <v>0.431231198832672</v>
      </c>
      <c r="O25" s="20" t="n">
        <v>0.222029553942528</v>
      </c>
      <c r="P25" s="20" t="n">
        <v>0.484147799004946</v>
      </c>
      <c r="Q25" s="20" t="n">
        <v>0.68909974492871</v>
      </c>
      <c r="R25" s="20" t="n">
        <v>0.594500002630086</v>
      </c>
      <c r="S25" s="21" t="n">
        <v>12.1177918555934</v>
      </c>
      <c r="T25" s="20" t="n">
        <v>0.827102285579758</v>
      </c>
      <c r="U25" s="20" t="n">
        <v>0.742480223625208</v>
      </c>
      <c r="V25" s="21" t="n">
        <v>5.60786965981777</v>
      </c>
      <c r="W25" s="20" t="n">
        <v>0.801823248324619</v>
      </c>
      <c r="X25" s="20" t="n">
        <v>0.651845032896761</v>
      </c>
      <c r="Y25" s="19" t="s">
        <v>76</v>
      </c>
      <c r="Z25" s="20" t="n">
        <v>0.814808965642173</v>
      </c>
    </row>
    <row r="26" customFormat="false" ht="15" hidden="false" customHeight="false" outlineLevel="0" collapsed="false">
      <c r="A26" s="18" t="n">
        <v>25</v>
      </c>
      <c r="B26" s="18" t="s">
        <v>83</v>
      </c>
      <c r="C26" s="18" t="s">
        <v>90</v>
      </c>
      <c r="D26" s="19" t="s">
        <v>54</v>
      </c>
      <c r="E26" s="18" t="s">
        <v>78</v>
      </c>
      <c r="F26" s="20" t="n">
        <v>0.429158576156502</v>
      </c>
      <c r="G26" s="20" t="n">
        <v>0.256552259128917</v>
      </c>
      <c r="H26" s="20" t="n">
        <v>0.314289164714581</v>
      </c>
      <c r="I26" s="20" t="n">
        <f aca="false">F26+G26</f>
        <v>0.685710835285419</v>
      </c>
      <c r="J26" s="20" t="n">
        <f aca="false">F26+H26</f>
        <v>0.743447740871083</v>
      </c>
      <c r="K26" s="20" t="n">
        <f aca="false">G26+H26</f>
        <v>0.570841423843498</v>
      </c>
      <c r="L26" s="21" t="n">
        <v>2.63595859955331</v>
      </c>
      <c r="M26" s="20" t="n">
        <v>0.738034361975533</v>
      </c>
      <c r="N26" s="20" t="n">
        <v>0.49056055220963</v>
      </c>
      <c r="O26" s="20" t="n">
        <v>0.271843485400392</v>
      </c>
      <c r="P26" s="20" t="n">
        <v>0.53075408371458</v>
      </c>
      <c r="Q26" s="20" t="n">
        <v>0.657955505964794</v>
      </c>
      <c r="R26" s="20" t="n">
        <v>0.610323391264033</v>
      </c>
      <c r="S26" s="21" t="n">
        <v>12.3677488424236</v>
      </c>
      <c r="T26" s="20" t="n">
        <v>0.842240402624059</v>
      </c>
      <c r="U26" s="20" t="n">
        <v>0.762114035355254</v>
      </c>
      <c r="V26" s="21" t="n">
        <v>5.33426282960622</v>
      </c>
      <c r="W26" s="20" t="n">
        <v>0.770716975408501</v>
      </c>
      <c r="X26" s="20" t="n">
        <v>0.609962934336764</v>
      </c>
      <c r="Y26" s="19" t="s">
        <v>76</v>
      </c>
      <c r="Z26" s="20" t="n">
        <v>0.802088020653686</v>
      </c>
    </row>
    <row r="27" customFormat="false" ht="15" hidden="false" customHeight="false" outlineLevel="0" collapsed="false">
      <c r="A27" s="18" t="n">
        <v>26</v>
      </c>
      <c r="B27" s="18" t="s">
        <v>83</v>
      </c>
      <c r="C27" s="18" t="s">
        <v>87</v>
      </c>
      <c r="D27" s="19" t="s">
        <v>54</v>
      </c>
      <c r="E27" s="18" t="s">
        <v>78</v>
      </c>
      <c r="F27" s="20" t="n">
        <v>0.485510779136609</v>
      </c>
      <c r="G27" s="20" t="n">
        <v>0.251637820008903</v>
      </c>
      <c r="H27" s="20" t="n">
        <v>0.262851400854488</v>
      </c>
      <c r="I27" s="20" t="n">
        <f aca="false">F27+G27</f>
        <v>0.737148599145512</v>
      </c>
      <c r="J27" s="20" t="n">
        <f aca="false">F27+H27</f>
        <v>0.748362179991096</v>
      </c>
      <c r="K27" s="20" t="n">
        <f aca="false">G27+H27</f>
        <v>0.514489220863391</v>
      </c>
      <c r="L27" s="21" t="n">
        <v>2.60819890439792</v>
      </c>
      <c r="M27" s="20" t="n">
        <v>0.732774068404867</v>
      </c>
      <c r="N27" s="20" t="n">
        <v>0.483628179778975</v>
      </c>
      <c r="O27" s="20" t="n">
        <v>0.265784343141167</v>
      </c>
      <c r="P27" s="20" t="n">
        <v>0.513669327911794</v>
      </c>
      <c r="Q27" s="20" t="n">
        <v>0.661970571238123</v>
      </c>
      <c r="R27" s="20" t="n">
        <v>0.609035131342023</v>
      </c>
      <c r="S27" s="21" t="n">
        <v>12.4667403766947</v>
      </c>
      <c r="T27" s="20" t="n">
        <v>0.847925769715222</v>
      </c>
      <c r="U27" s="20" t="n">
        <v>0.769574967817047</v>
      </c>
      <c r="V27" s="21" t="n">
        <v>5.76578965366462</v>
      </c>
      <c r="W27" s="20" t="n">
        <v>0.818127042239995</v>
      </c>
      <c r="X27" s="20" t="n">
        <v>0.674619259247652</v>
      </c>
      <c r="Y27" s="19" t="s">
        <v>76</v>
      </c>
      <c r="Z27" s="20" t="n">
        <v>0.804015977316446</v>
      </c>
    </row>
    <row r="28" customFormat="false" ht="15" hidden="false" customHeight="false" outlineLevel="0" collapsed="false">
      <c r="A28" s="18" t="n">
        <v>27</v>
      </c>
      <c r="B28" s="18" t="s">
        <v>83</v>
      </c>
      <c r="C28" s="18" t="s">
        <v>82</v>
      </c>
      <c r="D28" s="19" t="s">
        <v>54</v>
      </c>
      <c r="E28" s="18" t="s">
        <v>78</v>
      </c>
      <c r="F28" s="20" t="n">
        <v>0.526040686642669</v>
      </c>
      <c r="G28" s="20" t="n">
        <v>0.237840850811097</v>
      </c>
      <c r="H28" s="20" t="n">
        <v>0.236118462546234</v>
      </c>
      <c r="I28" s="20" t="n">
        <f aca="false">F28+G28</f>
        <v>0.763881537453765</v>
      </c>
      <c r="J28" s="20" t="n">
        <f aca="false">F28+H28</f>
        <v>0.762159149188903</v>
      </c>
      <c r="K28" s="20" t="n">
        <f aca="false">G28+H28</f>
        <v>0.473959313357331</v>
      </c>
      <c r="L28" s="21" t="n">
        <v>2.74943656050994</v>
      </c>
      <c r="M28" s="20" t="n">
        <v>0.758832386795132</v>
      </c>
      <c r="N28" s="20" t="n">
        <v>0.518410362731073</v>
      </c>
      <c r="O28" s="20" t="n">
        <v>0.296837688306722</v>
      </c>
      <c r="P28" s="20" t="n">
        <v>0.530267302887112</v>
      </c>
      <c r="Q28" s="20" t="n">
        <v>0.640541048839689</v>
      </c>
      <c r="R28" s="20" t="n">
        <v>0.614295652210794</v>
      </c>
      <c r="S28" s="21" t="n">
        <v>12.1131215329594</v>
      </c>
      <c r="T28" s="20" t="n">
        <v>0.826808555295092</v>
      </c>
      <c r="U28" s="20" t="n">
        <v>0.74210249302244</v>
      </c>
      <c r="V28" s="21" t="n">
        <v>5.38629204437748</v>
      </c>
      <c r="W28" s="20" t="n">
        <v>0.776919898604826</v>
      </c>
      <c r="X28" s="20" t="n">
        <v>0.618158682891442</v>
      </c>
      <c r="Y28" s="19" t="s">
        <v>76</v>
      </c>
      <c r="Z28" s="20" t="n">
        <v>0.792842002562072</v>
      </c>
    </row>
    <row r="29" customFormat="false" ht="15" hidden="false" customHeight="false" outlineLevel="0" collapsed="false">
      <c r="A29" s="18" t="n">
        <v>28</v>
      </c>
      <c r="B29" s="18" t="s">
        <v>92</v>
      </c>
      <c r="C29" s="18" t="s">
        <v>73</v>
      </c>
      <c r="D29" s="19" t="s">
        <v>56</v>
      </c>
      <c r="E29" s="18" t="s">
        <v>78</v>
      </c>
      <c r="F29" s="20" t="n">
        <v>0.27393995755703</v>
      </c>
      <c r="G29" s="20" t="n">
        <v>0.255765047680959</v>
      </c>
      <c r="H29" s="20" t="n">
        <v>0.470294994762011</v>
      </c>
      <c r="I29" s="20" t="n">
        <f aca="false">F29+G29</f>
        <v>0.529705005237989</v>
      </c>
      <c r="J29" s="20" t="n">
        <f aca="false">F29+H29</f>
        <v>0.744234952319041</v>
      </c>
      <c r="K29" s="20" t="n">
        <f aca="false">G29+H29</f>
        <v>0.72606004244297</v>
      </c>
      <c r="L29" s="21" t="n">
        <v>2.57120185981326</v>
      </c>
      <c r="M29" s="20" t="n">
        <v>0.725561011904373</v>
      </c>
      <c r="N29" s="20" t="n">
        <v>0.474318093757382</v>
      </c>
      <c r="O29" s="20" t="n">
        <v>0.257747681692181</v>
      </c>
      <c r="P29" s="20" t="n">
        <v>0.509782718557892</v>
      </c>
      <c r="Q29" s="20" t="n">
        <v>0.667253383410293</v>
      </c>
      <c r="R29" s="20" t="n">
        <v>0.607025183329362</v>
      </c>
      <c r="S29" s="21" t="n">
        <v>10.8462340373032</v>
      </c>
      <c r="T29" s="20" t="n">
        <v>0.731365743317301</v>
      </c>
      <c r="U29" s="20" t="n">
        <v>0.625054576925464</v>
      </c>
      <c r="V29" s="21" t="n">
        <v>4.51117572242143</v>
      </c>
      <c r="W29" s="20" t="n">
        <v>0.653495597269724</v>
      </c>
      <c r="X29" s="20" t="n">
        <v>0.467683042571001</v>
      </c>
      <c r="Y29" s="19" t="s">
        <v>76</v>
      </c>
      <c r="Z29" s="20" t="n">
        <v>0.806465236527464</v>
      </c>
    </row>
    <row r="30" customFormat="false" ht="15" hidden="false" customHeight="false" outlineLevel="0" collapsed="false">
      <c r="A30" s="18" t="n">
        <v>29</v>
      </c>
      <c r="B30" s="18" t="s">
        <v>92</v>
      </c>
      <c r="C30" s="18" t="s">
        <v>86</v>
      </c>
      <c r="D30" s="19" t="s">
        <v>56</v>
      </c>
      <c r="E30" s="18" t="s">
        <v>95</v>
      </c>
      <c r="F30" s="20" t="n">
        <v>0.251137103882167</v>
      </c>
      <c r="G30" s="20" t="n">
        <v>0.258344646651702</v>
      </c>
      <c r="H30" s="20" t="n">
        <v>0.490518249466131</v>
      </c>
      <c r="I30" s="20" t="n">
        <f aca="false">F30+G30</f>
        <v>0.50948175053387</v>
      </c>
      <c r="J30" s="20" t="n">
        <f aca="false">F30+H30</f>
        <v>0.741655353348298</v>
      </c>
      <c r="K30" s="20" t="n">
        <f aca="false">G30+H30</f>
        <v>0.748862896117833</v>
      </c>
      <c r="L30" s="21" t="n">
        <v>2.47248431678923</v>
      </c>
      <c r="M30" s="20" t="n">
        <v>0.705558834157316</v>
      </c>
      <c r="N30" s="20" t="n">
        <v>0.449110525660203</v>
      </c>
      <c r="O30" s="20" t="n">
        <v>0.236559216131961</v>
      </c>
      <c r="P30" s="20" t="n">
        <v>0.483325354102893</v>
      </c>
      <c r="Q30" s="20" t="n">
        <v>0.680517436837253</v>
      </c>
      <c r="R30" s="20" t="n">
        <v>0.60038233089404</v>
      </c>
      <c r="S30" s="21" t="n">
        <v>10.6755134725921</v>
      </c>
      <c r="T30" s="20" t="n">
        <v>0.716002971660509</v>
      </c>
      <c r="U30" s="20" t="n">
        <v>0.607160232652019</v>
      </c>
      <c r="V30" s="21" t="n">
        <v>4.91539681544905</v>
      </c>
      <c r="W30" s="20" t="n">
        <v>0.715633119074388</v>
      </c>
      <c r="X30" s="20" t="n">
        <v>0.540286461692338</v>
      </c>
      <c r="Y30" s="19" t="s">
        <v>76</v>
      </c>
      <c r="Z30" s="20" t="n">
        <v>0.811900149705938</v>
      </c>
    </row>
    <row r="31" customFormat="false" ht="15" hidden="false" customHeight="false" outlineLevel="0" collapsed="false">
      <c r="A31" s="18" t="n">
        <v>30</v>
      </c>
      <c r="B31" s="18" t="s">
        <v>92</v>
      </c>
      <c r="C31" s="18" t="s">
        <v>94</v>
      </c>
      <c r="D31" s="19" t="s">
        <v>56</v>
      </c>
      <c r="E31" s="18" t="s">
        <v>78</v>
      </c>
      <c r="F31" s="20" t="n">
        <v>0.263879551007815</v>
      </c>
      <c r="G31" s="20" t="n">
        <v>0.254317073785885</v>
      </c>
      <c r="H31" s="20" t="n">
        <v>0.4818033752063</v>
      </c>
      <c r="I31" s="20" t="n">
        <f aca="false">F31+G31</f>
        <v>0.5181966247937</v>
      </c>
      <c r="J31" s="20" t="n">
        <f aca="false">F31+H31</f>
        <v>0.745682926214115</v>
      </c>
      <c r="K31" s="20" t="n">
        <f aca="false">G31+H31</f>
        <v>0.736120448992185</v>
      </c>
      <c r="L31" s="21" t="n">
        <v>2.5683976057661</v>
      </c>
      <c r="M31" s="20" t="n">
        <v>0.725018007932475</v>
      </c>
      <c r="N31" s="20" t="n">
        <v>0.473609417185516</v>
      </c>
      <c r="O31" s="20" t="n">
        <v>0.257140605709049</v>
      </c>
      <c r="P31" s="20" t="n">
        <v>0.506317715794563</v>
      </c>
      <c r="Q31" s="20" t="n">
        <v>0.667637315294388</v>
      </c>
      <c r="R31" s="20" t="n">
        <v>0.606872227174681</v>
      </c>
      <c r="S31" s="21" t="n">
        <v>10.7233316606179</v>
      </c>
      <c r="T31" s="20" t="n">
        <v>0.720367042674357</v>
      </c>
      <c r="U31" s="20" t="n">
        <v>0.612219181210753</v>
      </c>
      <c r="V31" s="21" t="n">
        <v>4.67427551083772</v>
      </c>
      <c r="W31" s="20" t="n">
        <v>0.679642464146149</v>
      </c>
      <c r="X31" s="20" t="n">
        <v>0.497514843615858</v>
      </c>
      <c r="Y31" s="19" t="s">
        <v>76</v>
      </c>
      <c r="Z31" s="20" t="n">
        <v>0.806632140245642</v>
      </c>
    </row>
    <row r="32" customFormat="false" ht="15" hidden="false" customHeight="false" outlineLevel="0" collapsed="false">
      <c r="A32" s="18" t="n">
        <v>31</v>
      </c>
      <c r="B32" s="18" t="s">
        <v>92</v>
      </c>
      <c r="C32" s="18" t="s">
        <v>90</v>
      </c>
      <c r="D32" s="19" t="s">
        <v>56</v>
      </c>
      <c r="E32" s="18" t="s">
        <v>78</v>
      </c>
      <c r="F32" s="20" t="n">
        <v>0.268212555734817</v>
      </c>
      <c r="G32" s="20" t="n">
        <v>0.240733916109163</v>
      </c>
      <c r="H32" s="20" t="n">
        <v>0.49105352815602</v>
      </c>
      <c r="I32" s="20" t="n">
        <f aca="false">F32+G32</f>
        <v>0.50894647184398</v>
      </c>
      <c r="J32" s="20" t="n">
        <f aca="false">F32+H32</f>
        <v>0.759266083890837</v>
      </c>
      <c r="K32" s="20" t="n">
        <f aca="false">G32+H32</f>
        <v>0.731787444265184</v>
      </c>
      <c r="L32" s="21" t="n">
        <v>2.81274382608719</v>
      </c>
      <c r="M32" s="20" t="n">
        <v>0.769733589577623</v>
      </c>
      <c r="N32" s="20" t="n">
        <v>0.533581201490536</v>
      </c>
      <c r="O32" s="20" t="n">
        <v>0.31090120724107</v>
      </c>
      <c r="P32" s="20" t="n">
        <v>0.553403221302399</v>
      </c>
      <c r="Q32" s="20" t="n">
        <v>0.630410688949556</v>
      </c>
      <c r="R32" s="20" t="n">
        <v>0.615418599285138</v>
      </c>
      <c r="S32" s="21" t="n">
        <v>10.821156278221</v>
      </c>
      <c r="T32" s="20" t="n">
        <v>0.729146977948652</v>
      </c>
      <c r="U32" s="20" t="n">
        <v>0.622455351785489</v>
      </c>
      <c r="V32" s="21" t="n">
        <v>4.44545677824317</v>
      </c>
      <c r="W32" s="20" t="n">
        <v>0.642550852998641</v>
      </c>
      <c r="X32" s="20" t="n">
        <v>0.455490768258061</v>
      </c>
      <c r="Y32" s="19" t="s">
        <v>76</v>
      </c>
      <c r="Z32" s="20" t="n">
        <v>0.78699690589814</v>
      </c>
    </row>
    <row r="33" customFormat="false" ht="15" hidden="false" customHeight="false" outlineLevel="0" collapsed="false">
      <c r="A33" s="18" t="n">
        <v>32</v>
      </c>
      <c r="B33" s="18" t="s">
        <v>92</v>
      </c>
      <c r="C33" s="18" t="s">
        <v>77</v>
      </c>
      <c r="D33" s="19" t="s">
        <v>56</v>
      </c>
      <c r="E33" s="18" t="s">
        <v>95</v>
      </c>
      <c r="F33" s="20" t="n">
        <v>0.153956677898085</v>
      </c>
      <c r="G33" s="20" t="n">
        <v>0.212181613505321</v>
      </c>
      <c r="H33" s="20" t="n">
        <v>0.633861708596595</v>
      </c>
      <c r="I33" s="20" t="n">
        <f aca="false">F33+G33</f>
        <v>0.366138291403406</v>
      </c>
      <c r="J33" s="20" t="n">
        <f aca="false">F33+H33</f>
        <v>0.787818386494679</v>
      </c>
      <c r="K33" s="20" t="n">
        <f aca="false">G33+H33</f>
        <v>0.846043322101916</v>
      </c>
      <c r="L33" s="21" t="n">
        <v>2.7255079096725</v>
      </c>
      <c r="M33" s="20" t="n">
        <v>0.754742111857006</v>
      </c>
      <c r="N33" s="20" t="n">
        <v>0.512612939713594</v>
      </c>
      <c r="O33" s="20" t="n">
        <v>0.291546582899524</v>
      </c>
      <c r="P33" s="20" t="n">
        <v>0.473202399823418</v>
      </c>
      <c r="Q33" s="20" t="n">
        <v>0.644140207734519</v>
      </c>
      <c r="R33" s="20" t="n">
        <v>0.61382786777204</v>
      </c>
      <c r="S33" s="21" t="n">
        <v>10.6506964366184</v>
      </c>
      <c r="T33" s="20" t="n">
        <v>0.713719374683512</v>
      </c>
      <c r="U33" s="20" t="n">
        <v>0.60452059988497</v>
      </c>
      <c r="V33" s="21" t="n">
        <v>4.57681903584705</v>
      </c>
      <c r="W33" s="20" t="n">
        <v>0.664193602881395</v>
      </c>
      <c r="X33" s="20" t="n">
        <v>0.479766988091737</v>
      </c>
      <c r="Y33" s="19" t="s">
        <v>96</v>
      </c>
      <c r="Z33" s="20" t="n">
        <v>0.846043322101916</v>
      </c>
    </row>
    <row r="34" customFormat="false" ht="15" hidden="false" customHeight="false" outlineLevel="0" collapsed="false">
      <c r="A34" s="18" t="n">
        <v>33</v>
      </c>
      <c r="B34" s="18" t="s">
        <v>92</v>
      </c>
      <c r="C34" s="18" t="s">
        <v>82</v>
      </c>
      <c r="D34" s="19" t="s">
        <v>56</v>
      </c>
      <c r="E34" s="18" t="s">
        <v>78</v>
      </c>
      <c r="F34" s="20" t="n">
        <v>0.354223598922765</v>
      </c>
      <c r="G34" s="20" t="n">
        <v>0.248614935152616</v>
      </c>
      <c r="H34" s="20" t="n">
        <v>0.397161465924619</v>
      </c>
      <c r="I34" s="20" t="n">
        <f aca="false">F34+G34</f>
        <v>0.602838534075381</v>
      </c>
      <c r="J34" s="20" t="n">
        <f aca="false">F34+H34</f>
        <v>0.751385064847384</v>
      </c>
      <c r="K34" s="20" t="n">
        <f aca="false">G34+H34</f>
        <v>0.645776401077234</v>
      </c>
      <c r="L34" s="21" t="n">
        <v>2.82107809802343</v>
      </c>
      <c r="M34" s="20" t="n">
        <v>0.77109751587449</v>
      </c>
      <c r="N34" s="20" t="n">
        <v>0.535556794079534</v>
      </c>
      <c r="O34" s="20" t="n">
        <v>0.312756441608085</v>
      </c>
      <c r="P34" s="20" t="n">
        <v>0.569578573025788</v>
      </c>
      <c r="Q34" s="20" t="n">
        <v>0.629092002916607</v>
      </c>
      <c r="R34" s="20" t="n">
        <v>0.615475717547675</v>
      </c>
      <c r="S34" s="21" t="n">
        <v>10.6791466279356</v>
      </c>
      <c r="T34" s="20" t="n">
        <v>0.716336212923383</v>
      </c>
      <c r="U34" s="20" t="n">
        <v>0.607545863430004</v>
      </c>
      <c r="V34" s="21" t="n">
        <v>4.49268647580444</v>
      </c>
      <c r="W34" s="20" t="n">
        <v>0.650440075463877</v>
      </c>
      <c r="X34" s="20" t="n">
        <v>0.464262048882992</v>
      </c>
      <c r="Y34" s="19" t="s">
        <v>76</v>
      </c>
      <c r="Z34" s="20" t="n">
        <v>0.786226646197878</v>
      </c>
    </row>
    <row r="35" customFormat="false" ht="15" hidden="false" customHeight="false" outlineLevel="0" collapsed="false">
      <c r="A35" s="18" t="n">
        <v>34</v>
      </c>
      <c r="B35" s="18" t="s">
        <v>84</v>
      </c>
      <c r="C35" s="18" t="s">
        <v>91</v>
      </c>
      <c r="D35" s="19" t="s">
        <v>54</v>
      </c>
      <c r="E35" s="18" t="s">
        <v>78</v>
      </c>
      <c r="F35" s="20" t="n">
        <v>0.411581103777085</v>
      </c>
      <c r="G35" s="20" t="n">
        <v>0.276400828648805</v>
      </c>
      <c r="H35" s="20" t="n">
        <v>0.312018067574111</v>
      </c>
      <c r="I35" s="20" t="n">
        <f aca="false">F35+G35</f>
        <v>0.68798193242589</v>
      </c>
      <c r="J35" s="20" t="n">
        <f aca="false">F35+H35</f>
        <v>0.723599171351195</v>
      </c>
      <c r="K35" s="20" t="n">
        <f aca="false">G35+H35</f>
        <v>0.588418896222915</v>
      </c>
      <c r="L35" s="21" t="n">
        <v>2.33261304057584</v>
      </c>
      <c r="M35" s="20" t="n">
        <v>0.675058677319068</v>
      </c>
      <c r="N35" s="20" t="n">
        <v>0.412590963764319</v>
      </c>
      <c r="O35" s="20" t="n">
        <v>0.207315952406272</v>
      </c>
      <c r="P35" s="20" t="n">
        <v>0.46925641905771</v>
      </c>
      <c r="Q35" s="20" t="n">
        <v>0.697180973076476</v>
      </c>
      <c r="R35" s="20" t="n">
        <v>0.587449580899602</v>
      </c>
      <c r="S35" s="21" t="n">
        <v>9.82786714007848</v>
      </c>
      <c r="T35" s="20" t="n">
        <v>0.630899176576398</v>
      </c>
      <c r="U35" s="20" t="n">
        <v>0.512111135469028</v>
      </c>
      <c r="V35" s="21" t="n">
        <v>4.77954161477433</v>
      </c>
      <c r="W35" s="20" t="n">
        <v>0.69574548513037</v>
      </c>
      <c r="X35" s="20" t="n">
        <v>0.516399525641551</v>
      </c>
      <c r="Y35" s="19" t="s">
        <v>76</v>
      </c>
      <c r="Z35" s="20" t="n">
        <v>0.816887829063282</v>
      </c>
    </row>
    <row r="36" customFormat="false" ht="15" hidden="false" customHeight="false" outlineLevel="0" collapsed="false">
      <c r="A36" s="18" t="n">
        <v>35</v>
      </c>
      <c r="B36" s="18" t="s">
        <v>84</v>
      </c>
      <c r="C36" s="18" t="s">
        <v>97</v>
      </c>
      <c r="D36" s="19" t="s">
        <v>54</v>
      </c>
      <c r="E36" s="18" t="s">
        <v>75</v>
      </c>
      <c r="F36" s="20" t="n">
        <v>0.476731662111688</v>
      </c>
      <c r="G36" s="20" t="n">
        <v>0.26577471489324</v>
      </c>
      <c r="H36" s="20" t="n">
        <v>0.257493622995072</v>
      </c>
      <c r="I36" s="20" t="n">
        <f aca="false">F36+G36</f>
        <v>0.742506377004928</v>
      </c>
      <c r="J36" s="20" t="n">
        <f aca="false">F36+H36</f>
        <v>0.73422528510676</v>
      </c>
      <c r="K36" s="20" t="n">
        <f aca="false">G36+H36</f>
        <v>0.523268337888312</v>
      </c>
      <c r="L36" s="21" t="n">
        <v>2.38425330498823</v>
      </c>
      <c r="M36" s="20" t="n">
        <v>0.686633060933326</v>
      </c>
      <c r="N36" s="20" t="n">
        <v>0.426172458642485</v>
      </c>
      <c r="O36" s="20" t="n">
        <v>0.217992757928671</v>
      </c>
      <c r="P36" s="20" t="n">
        <v>0.467756718010159</v>
      </c>
      <c r="Q36" s="20" t="n">
        <v>0.691332052628792</v>
      </c>
      <c r="R36" s="20" t="n">
        <v>0.592728755149856</v>
      </c>
      <c r="S36" s="21" t="n">
        <v>10.4561345189133</v>
      </c>
      <c r="T36" s="20" t="n">
        <v>0.695374718069601</v>
      </c>
      <c r="U36" s="20" t="n">
        <v>0.583501384845391</v>
      </c>
      <c r="V36" s="21" t="n">
        <v>4.94593011155093</v>
      </c>
      <c r="W36" s="20" t="n">
        <v>0.719964701353274</v>
      </c>
      <c r="X36" s="20" t="n">
        <v>0.54557441720871</v>
      </c>
      <c r="Y36" s="19" t="s">
        <v>76</v>
      </c>
      <c r="Z36" s="20" t="n">
        <v>0.815420504773993</v>
      </c>
    </row>
    <row r="37" customFormat="false" ht="15" hidden="false" customHeight="false" outlineLevel="0" collapsed="false">
      <c r="A37" s="18" t="n">
        <v>36</v>
      </c>
      <c r="B37" s="18" t="s">
        <v>84</v>
      </c>
      <c r="C37" s="18" t="s">
        <v>90</v>
      </c>
      <c r="D37" s="19" t="s">
        <v>54</v>
      </c>
      <c r="E37" s="18" t="s">
        <v>78</v>
      </c>
      <c r="F37" s="20" t="n">
        <v>0.433323322665609</v>
      </c>
      <c r="G37" s="20" t="n">
        <v>0.26786967721078</v>
      </c>
      <c r="H37" s="20" t="n">
        <v>0.298807000123611</v>
      </c>
      <c r="I37" s="20" t="n">
        <f aca="false">F37+G37</f>
        <v>0.701192999876389</v>
      </c>
      <c r="J37" s="20" t="n">
        <f aca="false">F37+H37</f>
        <v>0.73213032278922</v>
      </c>
      <c r="K37" s="20" t="n">
        <f aca="false">G37+H37</f>
        <v>0.566676677334391</v>
      </c>
      <c r="L37" s="21" t="n">
        <v>2.43584834219288</v>
      </c>
      <c r="M37" s="20" t="n">
        <v>0.697778357687328</v>
      </c>
      <c r="N37" s="20" t="n">
        <v>0.439629113862875</v>
      </c>
      <c r="O37" s="20" t="n">
        <v>0.22880304045847</v>
      </c>
      <c r="P37" s="20" t="n">
        <v>0.488522288223722</v>
      </c>
      <c r="Q37" s="20" t="n">
        <v>0.685178373238598</v>
      </c>
      <c r="R37" s="20" t="n">
        <v>0.597360522015869</v>
      </c>
      <c r="S37" s="21" t="n">
        <v>10.3451692667061</v>
      </c>
      <c r="T37" s="20" t="n">
        <v>0.684563208654678</v>
      </c>
      <c r="U37" s="20" t="n">
        <v>0.571264996872382</v>
      </c>
      <c r="V37" s="21" t="n">
        <v>4.69254815740687</v>
      </c>
      <c r="W37" s="20" t="n">
        <v>0.682481214147869</v>
      </c>
      <c r="X37" s="20" t="n">
        <v>0.500815036371542</v>
      </c>
      <c r="Y37" s="19" t="s">
        <v>76</v>
      </c>
      <c r="Z37" s="20" t="n">
        <v>0.81356357802561</v>
      </c>
    </row>
    <row r="38" customFormat="false" ht="15" hidden="false" customHeight="false" outlineLevel="0" collapsed="false">
      <c r="A38" s="18" t="n">
        <v>37</v>
      </c>
      <c r="B38" s="18" t="s">
        <v>84</v>
      </c>
      <c r="C38" s="18" t="s">
        <v>98</v>
      </c>
      <c r="D38" s="19" t="s">
        <v>54</v>
      </c>
      <c r="E38" s="18" t="s">
        <v>75</v>
      </c>
      <c r="F38" s="20" t="n">
        <v>0.544433707233567</v>
      </c>
      <c r="G38" s="20" t="n">
        <v>0.257265112714017</v>
      </c>
      <c r="H38" s="20" t="n">
        <v>0.198301180052416</v>
      </c>
      <c r="I38" s="20" t="n">
        <f aca="false">F38+G38</f>
        <v>0.801698819947584</v>
      </c>
      <c r="J38" s="20" t="n">
        <f aca="false">F38+H38</f>
        <v>0.742734887285983</v>
      </c>
      <c r="K38" s="20" t="n">
        <f aca="false">G38+H38</f>
        <v>0.455566292766433</v>
      </c>
      <c r="L38" s="21" t="n">
        <v>2.31032330860285</v>
      </c>
      <c r="M38" s="20" t="n">
        <v>0.670115788657996</v>
      </c>
      <c r="N38" s="20" t="n">
        <v>0.406698082366596</v>
      </c>
      <c r="O38" s="20" t="n">
        <v>0.202755748798767</v>
      </c>
      <c r="P38" s="20" t="n">
        <v>0.426702263682028</v>
      </c>
      <c r="Q38" s="20" t="n">
        <v>0.699420338862286</v>
      </c>
      <c r="R38" s="20" t="n">
        <v>0.585153519161382</v>
      </c>
      <c r="S38" s="21" t="n">
        <v>10.039232264993</v>
      </c>
      <c r="T38" s="20" t="n">
        <v>0.653463662514705</v>
      </c>
      <c r="U38" s="20" t="n">
        <v>0.536670217420173</v>
      </c>
      <c r="V38" s="21" t="n">
        <v>5.08726484038965</v>
      </c>
      <c r="W38" s="20" t="n">
        <v>0.739360334497928</v>
      </c>
      <c r="X38" s="20" t="n">
        <v>0.569640799622062</v>
      </c>
      <c r="Y38" s="19" t="s">
        <v>76</v>
      </c>
      <c r="Z38" s="20" t="n">
        <v>0.81721381816444</v>
      </c>
    </row>
    <row r="39" customFormat="false" ht="15" hidden="false" customHeight="false" outlineLevel="0" collapsed="false">
      <c r="A39" s="18" t="n">
        <v>38</v>
      </c>
      <c r="B39" s="18" t="s">
        <v>85</v>
      </c>
      <c r="C39" s="18" t="s">
        <v>91</v>
      </c>
      <c r="D39" s="19" t="s">
        <v>56</v>
      </c>
      <c r="E39" s="18" t="s">
        <v>78</v>
      </c>
      <c r="F39" s="20" t="n">
        <v>0.320231495630554</v>
      </c>
      <c r="G39" s="20" t="n">
        <v>0.250291422732277</v>
      </c>
      <c r="H39" s="20" t="n">
        <v>0.429477081637169</v>
      </c>
      <c r="I39" s="20" t="n">
        <f aca="false">F39+G39</f>
        <v>0.570522918362831</v>
      </c>
      <c r="J39" s="20" t="n">
        <f aca="false">F39+H39</f>
        <v>0.749708577267723</v>
      </c>
      <c r="K39" s="20" t="n">
        <f aca="false">G39+H39</f>
        <v>0.679768504369446</v>
      </c>
      <c r="L39" s="21" t="n">
        <v>2.75461348283449</v>
      </c>
      <c r="M39" s="20" t="n">
        <v>0.759674270089504</v>
      </c>
      <c r="N39" s="20" t="n">
        <v>0.519658985938223</v>
      </c>
      <c r="O39" s="20" t="n">
        <v>0.29798341339787</v>
      </c>
      <c r="P39" s="20" t="n">
        <v>0.554085665548008</v>
      </c>
      <c r="Q39" s="20" t="n">
        <v>0.639790381507203</v>
      </c>
      <c r="R39" s="20" t="n">
        <v>0.614348830399224</v>
      </c>
      <c r="S39" s="21" t="n">
        <v>10.1598956507123</v>
      </c>
      <c r="T39" s="20" t="n">
        <v>0.665953544569186</v>
      </c>
      <c r="U39" s="20" t="n">
        <v>0.550457998761168</v>
      </c>
      <c r="V39" s="21" t="n">
        <v>5.82505347363143</v>
      </c>
      <c r="W39" s="20" t="n">
        <v>0.823946997732584</v>
      </c>
      <c r="X39" s="20" t="n">
        <v>0.682896114589433</v>
      </c>
      <c r="Y39" s="19" t="s">
        <v>76</v>
      </c>
      <c r="Z39" s="20" t="n">
        <v>0.792448355214792</v>
      </c>
    </row>
    <row r="40" customFormat="false" ht="15" hidden="false" customHeight="false" outlineLevel="0" collapsed="false">
      <c r="A40" s="18" t="n">
        <v>39</v>
      </c>
      <c r="B40" s="18" t="s">
        <v>85</v>
      </c>
      <c r="C40" s="18" t="s">
        <v>89</v>
      </c>
      <c r="D40" s="19" t="s">
        <v>56</v>
      </c>
      <c r="E40" s="18" t="s">
        <v>78</v>
      </c>
      <c r="F40" s="20" t="n">
        <v>0.204689724287008</v>
      </c>
      <c r="G40" s="20" t="n">
        <v>0.218944244685762</v>
      </c>
      <c r="H40" s="20" t="n">
        <v>0.57636603102723</v>
      </c>
      <c r="I40" s="20" t="n">
        <f aca="false">F40+G40</f>
        <v>0.42363396897277</v>
      </c>
      <c r="J40" s="20" t="n">
        <f aca="false">F40+H40</f>
        <v>0.781055755314238</v>
      </c>
      <c r="K40" s="20" t="n">
        <f aca="false">G40+H40</f>
        <v>0.795310275712992</v>
      </c>
      <c r="L40" s="21" t="n">
        <v>2.94588068717593</v>
      </c>
      <c r="M40" s="20" t="n">
        <v>0.791403521355261</v>
      </c>
      <c r="N40" s="20" t="n">
        <v>0.564585162467323</v>
      </c>
      <c r="O40" s="20" t="n">
        <v>0.340652636989482</v>
      </c>
      <c r="P40" s="20" t="n">
        <v>0.549480123685872</v>
      </c>
      <c r="Q40" s="20" t="n">
        <v>0.608018178808407</v>
      </c>
      <c r="R40" s="20" t="n">
        <v>0.61567326494481</v>
      </c>
      <c r="S40" s="21" t="n">
        <v>10.8674605397804</v>
      </c>
      <c r="T40" s="20" t="n">
        <v>0.733233560630844</v>
      </c>
      <c r="U40" s="20" t="n">
        <v>0.627246610439587</v>
      </c>
      <c r="V40" s="21" t="n">
        <v>5.85070704166283</v>
      </c>
      <c r="W40" s="20" t="n">
        <v>0.826416930331681</v>
      </c>
      <c r="X40" s="20" t="n">
        <v>0.686432990933943</v>
      </c>
      <c r="Y40" s="19" t="s">
        <v>96</v>
      </c>
      <c r="Z40" s="20" t="n">
        <v>0.795310275712992</v>
      </c>
    </row>
    <row r="41" customFormat="false" ht="15" hidden="false" customHeight="false" outlineLevel="0" collapsed="false">
      <c r="A41" s="18" t="n">
        <v>40</v>
      </c>
      <c r="B41" s="18" t="s">
        <v>85</v>
      </c>
      <c r="C41" s="18" t="s">
        <v>97</v>
      </c>
      <c r="D41" s="19" t="s">
        <v>54</v>
      </c>
      <c r="E41" s="18" t="s">
        <v>78</v>
      </c>
      <c r="F41" s="20" t="n">
        <v>0.38584176131359</v>
      </c>
      <c r="G41" s="20" t="n">
        <v>0.251757542803976</v>
      </c>
      <c r="H41" s="20" t="n">
        <v>0.362400695882433</v>
      </c>
      <c r="I41" s="20" t="n">
        <f aca="false">F41+G41</f>
        <v>0.637599304117567</v>
      </c>
      <c r="J41" s="20" t="n">
        <f aca="false">F41+H41</f>
        <v>0.748242457196024</v>
      </c>
      <c r="K41" s="20" t="n">
        <f aca="false">G41+H41</f>
        <v>0.61415823868641</v>
      </c>
      <c r="L41" s="21" t="n">
        <v>2.76438241000845</v>
      </c>
      <c r="M41" s="20" t="n">
        <v>0.761374671836539</v>
      </c>
      <c r="N41" s="20" t="n">
        <v>0.52201402041122</v>
      </c>
      <c r="O41" s="20" t="n">
        <v>0.300149688489272</v>
      </c>
      <c r="P41" s="20" t="n">
        <v>0.559380753123951</v>
      </c>
      <c r="Q41" s="20" t="n">
        <v>0.63824907802525</v>
      </c>
      <c r="R41" s="20" t="n">
        <v>0.614554721242146</v>
      </c>
      <c r="S41" s="21" t="n">
        <v>10.8906694507914</v>
      </c>
      <c r="T41" s="20" t="n">
        <v>0.735265111991048</v>
      </c>
      <c r="U41" s="20" t="n">
        <v>0.629634902241415</v>
      </c>
      <c r="V41" s="21" t="n">
        <v>6.02013660288297</v>
      </c>
      <c r="W41" s="20" t="n">
        <v>0.841999857079287</v>
      </c>
      <c r="X41" s="20" t="n">
        <v>0.709093432656965</v>
      </c>
      <c r="Y41" s="19" t="s">
        <v>76</v>
      </c>
      <c r="Z41" s="20" t="n">
        <v>0.791578815920128</v>
      </c>
    </row>
    <row r="42" customFormat="false" ht="15" hidden="false" customHeight="false" outlineLevel="0" collapsed="false">
      <c r="A42" s="18" t="n">
        <v>41</v>
      </c>
      <c r="B42" s="18" t="s">
        <v>85</v>
      </c>
      <c r="C42" s="18" t="s">
        <v>87</v>
      </c>
      <c r="D42" s="19" t="s">
        <v>54</v>
      </c>
      <c r="E42" s="18" t="s">
        <v>78</v>
      </c>
      <c r="F42" s="20" t="n">
        <v>0.396012732313812</v>
      </c>
      <c r="G42" s="20" t="n">
        <v>0.250068041588119</v>
      </c>
      <c r="H42" s="20" t="n">
        <v>0.35391922609807</v>
      </c>
      <c r="I42" s="20" t="n">
        <f aca="false">F42+G42</f>
        <v>0.646080773901931</v>
      </c>
      <c r="J42" s="20" t="n">
        <f aca="false">F42+H42</f>
        <v>0.749931958411881</v>
      </c>
      <c r="K42" s="20" t="n">
        <f aca="false">G42+H42</f>
        <v>0.603987267686189</v>
      </c>
      <c r="L42" s="21" t="n">
        <v>2.79282859678933</v>
      </c>
      <c r="M42" s="20" t="n">
        <v>0.766297500130433</v>
      </c>
      <c r="N42" s="20" t="n">
        <v>0.528836149655343</v>
      </c>
      <c r="O42" s="20" t="n">
        <v>0.306468307956884</v>
      </c>
      <c r="P42" s="20" t="n">
        <v>0.56434970264234</v>
      </c>
      <c r="Q42" s="20" t="n">
        <v>0.63368548507656</v>
      </c>
      <c r="R42" s="20" t="n">
        <v>0.61508832095289</v>
      </c>
      <c r="S42" s="21" t="n">
        <v>10.8154717062713</v>
      </c>
      <c r="T42" s="20" t="n">
        <v>0.72864221694854</v>
      </c>
      <c r="U42" s="20" t="n">
        <v>0.62186474372619</v>
      </c>
      <c r="V42" s="21" t="n">
        <v>6.1553825016557</v>
      </c>
      <c r="W42" s="20" t="n">
        <v>0.853560457496312</v>
      </c>
      <c r="X42" s="20" t="n">
        <v>0.72631044966523</v>
      </c>
      <c r="Y42" s="19" t="s">
        <v>76</v>
      </c>
      <c r="Z42" s="20" t="n">
        <v>0.788944613855901</v>
      </c>
    </row>
    <row r="43" customFormat="false" ht="15" hidden="false" customHeight="false" outlineLevel="0" collapsed="false">
      <c r="A43" s="18" t="n">
        <v>42</v>
      </c>
      <c r="B43" s="18" t="s">
        <v>85</v>
      </c>
      <c r="C43" s="18" t="s">
        <v>98</v>
      </c>
      <c r="D43" s="19" t="s">
        <v>54</v>
      </c>
      <c r="E43" s="18" t="s">
        <v>78</v>
      </c>
      <c r="F43" s="20" t="n">
        <v>0.461792939476874</v>
      </c>
      <c r="G43" s="20" t="n">
        <v>0.254127917591347</v>
      </c>
      <c r="H43" s="20" t="n">
        <v>0.284079142931779</v>
      </c>
      <c r="I43" s="20" t="n">
        <f aca="false">F43+G43</f>
        <v>0.715920857068221</v>
      </c>
      <c r="J43" s="20" t="n">
        <f aca="false">F43+H43</f>
        <v>0.745872082408653</v>
      </c>
      <c r="K43" s="20" t="n">
        <f aca="false">G43+H43</f>
        <v>0.538207060523126</v>
      </c>
      <c r="L43" s="21" t="n">
        <v>2.62109663493381</v>
      </c>
      <c r="M43" s="20" t="n">
        <v>0.73522795446765</v>
      </c>
      <c r="N43" s="20" t="n">
        <v>0.486854756348318</v>
      </c>
      <c r="O43" s="20" t="n">
        <v>0.268596512154967</v>
      </c>
      <c r="P43" s="20" t="n">
        <v>0.522025142088135</v>
      </c>
      <c r="Q43" s="20" t="n">
        <v>0.66011650878412</v>
      </c>
      <c r="R43" s="20" t="n">
        <v>0.609650740574206</v>
      </c>
      <c r="S43" s="21" t="n">
        <v>10.3914488204873</v>
      </c>
      <c r="T43" s="20" t="n">
        <v>0.689102942503479</v>
      </c>
      <c r="U43" s="20" t="n">
        <v>0.576389575089725</v>
      </c>
      <c r="V43" s="21" t="n">
        <v>6.12473603245161</v>
      </c>
      <c r="W43" s="20" t="n">
        <v>0.851007124675635</v>
      </c>
      <c r="X43" s="20" t="n">
        <v>0.722476769520982</v>
      </c>
      <c r="Y43" s="19" t="s">
        <v>76</v>
      </c>
      <c r="Z43" s="20" t="n">
        <v>0.803135807045643</v>
      </c>
    </row>
    <row r="44" customFormat="false" ht="15" hidden="false" customHeight="false" outlineLevel="0" collapsed="false">
      <c r="A44" s="18" t="n">
        <v>43</v>
      </c>
      <c r="B44" s="18" t="s">
        <v>86</v>
      </c>
      <c r="C44" s="18" t="s">
        <v>88</v>
      </c>
      <c r="D44" s="19" t="s">
        <v>54</v>
      </c>
      <c r="E44" s="18" t="s">
        <v>75</v>
      </c>
      <c r="F44" s="20" t="n">
        <v>0.514548977154803</v>
      </c>
      <c r="G44" s="20" t="n">
        <v>0.253881503931163</v>
      </c>
      <c r="H44" s="20" t="n">
        <v>0.231569518914034</v>
      </c>
      <c r="I44" s="20" t="n">
        <f aca="false">F44+G44</f>
        <v>0.768430481085966</v>
      </c>
      <c r="J44" s="20" t="n">
        <f aca="false">F44+H44</f>
        <v>0.746118496068837</v>
      </c>
      <c r="K44" s="20" t="n">
        <f aca="false">G44+H44</f>
        <v>0.485451022845197</v>
      </c>
      <c r="L44" s="21" t="n">
        <v>2.47669390575004</v>
      </c>
      <c r="M44" s="20" t="n">
        <v>0.706463183502398</v>
      </c>
      <c r="N44" s="20" t="n">
        <v>0.45019609475357</v>
      </c>
      <c r="O44" s="20" t="n">
        <v>0.237454605922234</v>
      </c>
      <c r="P44" s="20" t="n">
        <v>0.476525716331916</v>
      </c>
      <c r="Q44" s="20" t="n">
        <v>0.679949667408256</v>
      </c>
      <c r="R44" s="20" t="n">
        <v>0.600732827785429</v>
      </c>
      <c r="S44" s="21" t="n">
        <v>10.48115627326</v>
      </c>
      <c r="T44" s="20" t="n">
        <v>0.697777716828912</v>
      </c>
      <c r="U44" s="20" t="n">
        <v>0.586236174303965</v>
      </c>
      <c r="V44" s="21" t="n">
        <v>5.66968444591351</v>
      </c>
      <c r="W44" s="20" t="n">
        <v>0.808344828260655</v>
      </c>
      <c r="X44" s="20" t="n">
        <v>0.660883517834041</v>
      </c>
      <c r="Y44" s="19" t="s">
        <v>76</v>
      </c>
      <c r="Z44" s="20" t="n">
        <v>0.81167391761352</v>
      </c>
    </row>
    <row r="45" customFormat="false" ht="15" hidden="false" customHeight="false" outlineLevel="0" collapsed="false">
      <c r="A45" s="18" t="n">
        <v>44</v>
      </c>
      <c r="B45" s="18" t="s">
        <v>86</v>
      </c>
      <c r="C45" s="18" t="s">
        <v>99</v>
      </c>
      <c r="D45" s="19" t="s">
        <v>54</v>
      </c>
      <c r="E45" s="18" t="s">
        <v>75</v>
      </c>
      <c r="F45" s="20" t="n">
        <v>0.496336965857958</v>
      </c>
      <c r="G45" s="20" t="n">
        <v>0.268953599442637</v>
      </c>
      <c r="H45" s="20" t="n">
        <v>0.234709434699406</v>
      </c>
      <c r="I45" s="20" t="n">
        <f aca="false">F45+G45</f>
        <v>0.765290565300595</v>
      </c>
      <c r="J45" s="20" t="n">
        <f aca="false">F45+H45</f>
        <v>0.731046400557363</v>
      </c>
      <c r="K45" s="20" t="n">
        <f aca="false">G45+H45</f>
        <v>0.503663034142043</v>
      </c>
      <c r="L45" s="21" t="n">
        <v>2.28359153296277</v>
      </c>
      <c r="M45" s="20" t="n">
        <v>0.663870163662085</v>
      </c>
      <c r="N45" s="20" t="n">
        <v>0.399605918556906</v>
      </c>
      <c r="O45" s="20" t="n">
        <v>0.197325727452993</v>
      </c>
      <c r="P45" s="20" t="n">
        <v>0.438977417634848</v>
      </c>
      <c r="Q45" s="20" t="n">
        <v>0.70223198946951</v>
      </c>
      <c r="R45" s="20" t="n">
        <v>0.582025918717402</v>
      </c>
      <c r="S45" s="21" t="n">
        <v>10.2269649694369</v>
      </c>
      <c r="T45" s="20" t="n">
        <v>0.672770310900948</v>
      </c>
      <c r="U45" s="20" t="n">
        <v>0.558042664763397</v>
      </c>
      <c r="V45" s="21" t="n">
        <v>6.29110564610868</v>
      </c>
      <c r="W45" s="20" t="n">
        <v>0.864415919429815</v>
      </c>
      <c r="X45" s="20" t="n">
        <v>0.742814249791618</v>
      </c>
      <c r="Y45" s="19" t="s">
        <v>76</v>
      </c>
      <c r="Z45" s="20" t="n">
        <v>0.817713471977819</v>
      </c>
    </row>
    <row r="46" customFormat="false" ht="15" hidden="false" customHeight="false" outlineLevel="0" collapsed="false">
      <c r="A46" s="18" t="n">
        <v>45</v>
      </c>
      <c r="B46" s="18" t="s">
        <v>86</v>
      </c>
      <c r="C46" s="18" t="s">
        <v>77</v>
      </c>
      <c r="D46" s="19" t="s">
        <v>56</v>
      </c>
      <c r="E46" s="18" t="s">
        <v>78</v>
      </c>
      <c r="F46" s="20" t="n">
        <v>0.327687390070479</v>
      </c>
      <c r="G46" s="20" t="n">
        <v>0.288417548798244</v>
      </c>
      <c r="H46" s="20" t="n">
        <v>0.383895061131278</v>
      </c>
      <c r="I46" s="20" t="n">
        <f aca="false">F46+G46</f>
        <v>0.616104938868722</v>
      </c>
      <c r="J46" s="20" t="n">
        <f aca="false">F46+H46</f>
        <v>0.711582451201756</v>
      </c>
      <c r="K46" s="20" t="n">
        <f aca="false">G46+H46</f>
        <v>0.672312609929521</v>
      </c>
      <c r="L46" s="21" t="n">
        <v>2.18935820090862</v>
      </c>
      <c r="M46" s="20" t="n">
        <v>0.641256245437152</v>
      </c>
      <c r="N46" s="20" t="n">
        <v>0.374431475150112</v>
      </c>
      <c r="O46" s="20" t="n">
        <v>0.178559120331179</v>
      </c>
      <c r="P46" s="20" t="n">
        <v>0.440082416626655</v>
      </c>
      <c r="Q46" s="20" t="n">
        <v>0.71102444791133</v>
      </c>
      <c r="R46" s="20" t="n">
        <v>0.569905838913693</v>
      </c>
      <c r="S46" s="21" t="n">
        <v>9.93135273708109</v>
      </c>
      <c r="T46" s="20" t="n">
        <v>0.642054598610168</v>
      </c>
      <c r="U46" s="20" t="n">
        <v>0.524196949665721</v>
      </c>
      <c r="V46" s="21" t="n">
        <v>5.90621612984166</v>
      </c>
      <c r="W46" s="20" t="n">
        <v>0.83166071241871</v>
      </c>
      <c r="X46" s="20" t="n">
        <v>0.693990881182018</v>
      </c>
      <c r="Y46" s="19" t="s">
        <v>100</v>
      </c>
      <c r="Z46" s="20" t="n">
        <v>0.821440879668821</v>
      </c>
    </row>
    <row r="47" customFormat="false" ht="15" hidden="false" customHeight="false" outlineLevel="0" collapsed="false">
      <c r="A47" s="18" t="n">
        <v>46</v>
      </c>
      <c r="B47" s="18" t="s">
        <v>86</v>
      </c>
      <c r="C47" s="18" t="s">
        <v>79</v>
      </c>
      <c r="D47" s="19" t="s">
        <v>54</v>
      </c>
      <c r="E47" s="18" t="s">
        <v>75</v>
      </c>
      <c r="F47" s="20" t="n">
        <v>0.637996516603916</v>
      </c>
      <c r="G47" s="20" t="n">
        <v>0.210521677170073</v>
      </c>
      <c r="H47" s="20" t="n">
        <v>0.151481806226011</v>
      </c>
      <c r="I47" s="20" t="n">
        <f aca="false">F47+G47</f>
        <v>0.848518193773989</v>
      </c>
      <c r="J47" s="20" t="n">
        <f aca="false">F47+H47</f>
        <v>0.789478322829928</v>
      </c>
      <c r="K47" s="20" t="n">
        <f aca="false">G47+H47</f>
        <v>0.362003483396084</v>
      </c>
      <c r="L47" s="21" t="n">
        <v>2.73494789568359</v>
      </c>
      <c r="M47" s="20" t="n">
        <v>0.756432398457621</v>
      </c>
      <c r="N47" s="20" t="n">
        <v>0.514907700207952</v>
      </c>
      <c r="O47" s="20" t="n">
        <v>0.293634926280417</v>
      </c>
      <c r="P47" s="20" t="n">
        <v>0.472621115082822</v>
      </c>
      <c r="Q47" s="20" t="n">
        <v>0.642658299154594</v>
      </c>
      <c r="R47" s="20" t="n">
        <v>0.614092857397823</v>
      </c>
      <c r="S47" s="21" t="n">
        <v>10.8581578245857</v>
      </c>
      <c r="T47" s="20" t="n">
        <v>0.732416123811627</v>
      </c>
      <c r="U47" s="20" t="n">
        <v>0.626286838987439</v>
      </c>
      <c r="V47" s="21" t="n">
        <v>5.78784987719717</v>
      </c>
      <c r="W47" s="20" t="n">
        <v>0.820312158345709</v>
      </c>
      <c r="X47" s="20" t="n">
        <v>0.677717500795821</v>
      </c>
      <c r="Y47" s="19" t="s">
        <v>80</v>
      </c>
      <c r="Z47" s="20" t="n">
        <v>0.848518193773989</v>
      </c>
    </row>
    <row r="48" customFormat="false" ht="15" hidden="false" customHeight="false" outlineLevel="0" collapsed="false">
      <c r="A48" s="18" t="n">
        <v>47</v>
      </c>
      <c r="B48" s="18" t="s">
        <v>86</v>
      </c>
      <c r="C48" s="18" t="s">
        <v>81</v>
      </c>
      <c r="D48" s="19" t="s">
        <v>54</v>
      </c>
      <c r="E48" s="18" t="s">
        <v>75</v>
      </c>
      <c r="F48" s="20" t="n">
        <v>0.480814742760228</v>
      </c>
      <c r="G48" s="20" t="n">
        <v>0.27931563641294</v>
      </c>
      <c r="H48" s="20" t="n">
        <v>0.239869620826833</v>
      </c>
      <c r="I48" s="20" t="n">
        <f aca="false">F48+G48</f>
        <v>0.760130379173167</v>
      </c>
      <c r="J48" s="20" t="n">
        <f aca="false">F48+H48</f>
        <v>0.720684363587061</v>
      </c>
      <c r="K48" s="20" t="n">
        <f aca="false">G48+H48</f>
        <v>0.519185257239772</v>
      </c>
      <c r="L48" s="21" t="n">
        <v>2.17259520529156</v>
      </c>
      <c r="M48" s="20" t="n">
        <v>0.637198933205728</v>
      </c>
      <c r="N48" s="20" t="n">
        <v>0.369929389925032</v>
      </c>
      <c r="O48" s="20" t="n">
        <v>0.175286098868619</v>
      </c>
      <c r="P48" s="20" t="n">
        <v>0.417813967122782</v>
      </c>
      <c r="Q48" s="20" t="n">
        <v>0.712333307443241</v>
      </c>
      <c r="R48" s="20" t="n">
        <v>0.567633185373635</v>
      </c>
      <c r="S48" s="21" t="n">
        <v>9.85451408784513</v>
      </c>
      <c r="T48" s="20" t="n">
        <v>0.633791156060645</v>
      </c>
      <c r="U48" s="20" t="n">
        <v>0.515233951615396</v>
      </c>
      <c r="V48" s="21" t="n">
        <v>6.38003894570315</v>
      </c>
      <c r="W48" s="20" t="n">
        <v>0.871140798662822</v>
      </c>
      <c r="X48" s="20" t="n">
        <v>0.753211546849083</v>
      </c>
      <c r="Y48" s="19" t="s">
        <v>100</v>
      </c>
      <c r="Z48" s="20" t="n">
        <v>0.824713901131381</v>
      </c>
    </row>
    <row r="49" customFormat="false" ht="15" hidden="false" customHeight="false" outlineLevel="0" collapsed="false">
      <c r="A49" s="18" t="n">
        <v>48</v>
      </c>
      <c r="B49" s="18" t="s">
        <v>89</v>
      </c>
      <c r="C49" s="18" t="s">
        <v>73</v>
      </c>
      <c r="D49" s="19" t="s">
        <v>54</v>
      </c>
      <c r="E49" s="18" t="s">
        <v>75</v>
      </c>
      <c r="F49" s="20" t="n">
        <v>0.633817361932326</v>
      </c>
      <c r="G49" s="20" t="n">
        <v>0.211700939793445</v>
      </c>
      <c r="H49" s="20" t="n">
        <v>0.154481698274229</v>
      </c>
      <c r="I49" s="20" t="n">
        <f aca="false">F49+G49</f>
        <v>0.845518301725771</v>
      </c>
      <c r="J49" s="20" t="n">
        <f aca="false">F49+H49</f>
        <v>0.788299060206555</v>
      </c>
      <c r="K49" s="20" t="n">
        <f aca="false">G49+H49</f>
        <v>0.366182638067674</v>
      </c>
      <c r="L49" s="21" t="n">
        <v>2.73767907722122</v>
      </c>
      <c r="M49" s="20" t="n">
        <v>0.756909337624747</v>
      </c>
      <c r="N49" s="20" t="n">
        <v>0.515569988483493</v>
      </c>
      <c r="O49" s="20" t="n">
        <v>0.294239069373061</v>
      </c>
      <c r="P49" s="20" t="n">
        <v>0.475883683960431</v>
      </c>
      <c r="Q49" s="20" t="n">
        <v>0.642238144195795</v>
      </c>
      <c r="R49" s="20" t="n">
        <v>0.614156428912542</v>
      </c>
      <c r="S49" s="21" t="n">
        <v>10.8128000813731</v>
      </c>
      <c r="T49" s="20" t="n">
        <v>0.728404758424699</v>
      </c>
      <c r="U49" s="20" t="n">
        <v>0.621586989847524</v>
      </c>
      <c r="V49" s="21" t="n">
        <v>5.42093151762591</v>
      </c>
      <c r="W49" s="20" t="n">
        <v>0.780973646085876</v>
      </c>
      <c r="X49" s="20" t="n">
        <v>0.623555729765875</v>
      </c>
      <c r="Y49" s="19" t="s">
        <v>80</v>
      </c>
      <c r="Z49" s="20" t="n">
        <v>0.845518301725771</v>
      </c>
    </row>
    <row r="50" customFormat="false" ht="15" hidden="false" customHeight="false" outlineLevel="0" collapsed="false">
      <c r="A50" s="18" t="n">
        <v>49</v>
      </c>
      <c r="B50" s="18" t="s">
        <v>89</v>
      </c>
      <c r="C50" s="18" t="s">
        <v>74</v>
      </c>
      <c r="D50" s="19" t="s">
        <v>54</v>
      </c>
      <c r="E50" s="18" t="s">
        <v>75</v>
      </c>
      <c r="F50" s="20" t="n">
        <v>0.629029529027885</v>
      </c>
      <c r="G50" s="20" t="n">
        <v>0.212404248719823</v>
      </c>
      <c r="H50" s="20" t="n">
        <v>0.158566222252292</v>
      </c>
      <c r="I50" s="20" t="n">
        <f aca="false">F50+G50</f>
        <v>0.841433777747708</v>
      </c>
      <c r="J50" s="20" t="n">
        <f aca="false">F50+H50</f>
        <v>0.787595751280177</v>
      </c>
      <c r="K50" s="20" t="n">
        <f aca="false">G50+H50</f>
        <v>0.370970470972116</v>
      </c>
      <c r="L50" s="21" t="n">
        <v>2.75620511028053</v>
      </c>
      <c r="M50" s="20" t="n">
        <v>0.760167634125815</v>
      </c>
      <c r="N50" s="20" t="n">
        <v>0.520051900177917</v>
      </c>
      <c r="O50" s="20" t="n">
        <v>0.298342989016414</v>
      </c>
      <c r="P50" s="20" t="n">
        <v>0.482877171661068</v>
      </c>
      <c r="Q50" s="20" t="n">
        <v>0.639327000813035</v>
      </c>
      <c r="R50" s="20" t="n">
        <v>0.614596358258334</v>
      </c>
      <c r="S50" s="21" t="n">
        <v>10.3522229878931</v>
      </c>
      <c r="T50" s="20" t="n">
        <v>0.685257959668208</v>
      </c>
      <c r="U50" s="20" t="n">
        <v>0.572047996217835</v>
      </c>
      <c r="V50" s="21" t="n">
        <v>5.51314219658189</v>
      </c>
      <c r="W50" s="20" t="n">
        <v>0.791472582730527</v>
      </c>
      <c r="X50" s="20" t="n">
        <v>0.637687898826962</v>
      </c>
      <c r="Y50" s="19" t="s">
        <v>80</v>
      </c>
      <c r="Z50" s="20" t="n">
        <v>0.841433777747708</v>
      </c>
    </row>
    <row r="51" customFormat="false" ht="15" hidden="false" customHeight="false" outlineLevel="0" collapsed="false">
      <c r="A51" s="18" t="n">
        <v>50</v>
      </c>
      <c r="B51" s="18" t="s">
        <v>89</v>
      </c>
      <c r="C51" s="18" t="s">
        <v>92</v>
      </c>
      <c r="D51" s="19" t="s">
        <v>54</v>
      </c>
      <c r="E51" s="18" t="s">
        <v>93</v>
      </c>
      <c r="F51" s="20" t="n">
        <v>0.834156029199319</v>
      </c>
      <c r="G51" s="20" t="n">
        <v>0.111137751182224</v>
      </c>
      <c r="H51" s="20" t="n">
        <v>0.0547062196184578</v>
      </c>
      <c r="I51" s="20" t="n">
        <f aca="false">F51+G51</f>
        <v>0.945293780381542</v>
      </c>
      <c r="J51" s="20" t="n">
        <f aca="false">F51+H51</f>
        <v>0.888862248817777</v>
      </c>
      <c r="K51" s="20" t="n">
        <f aca="false">G51+H51</f>
        <v>0.165843970800681</v>
      </c>
      <c r="L51" s="21" t="n">
        <v>3.55272521453814</v>
      </c>
      <c r="M51" s="20" t="n">
        <v>0.869122020089349</v>
      </c>
      <c r="N51" s="20" t="n">
        <v>0.689072829744096</v>
      </c>
      <c r="O51" s="20" t="n">
        <v>0.474993919307705</v>
      </c>
      <c r="P51" s="20" t="n">
        <v>0.445685813158527</v>
      </c>
      <c r="Q51" s="20" t="n">
        <v>0.497033756050668</v>
      </c>
      <c r="R51" s="20" t="n">
        <v>0.584372603241841</v>
      </c>
      <c r="S51" s="21" t="n">
        <v>11.4359340747785</v>
      </c>
      <c r="T51" s="20" t="n">
        <v>0.779795383353858</v>
      </c>
      <c r="U51" s="20" t="n">
        <v>0.683103864685817</v>
      </c>
      <c r="V51" s="21" t="n">
        <v>4.56139330928961</v>
      </c>
      <c r="W51" s="20" t="n">
        <v>0.661700744301178</v>
      </c>
      <c r="X51" s="20" t="n">
        <v>0.476936286108921</v>
      </c>
      <c r="Y51" s="19" t="s">
        <v>80</v>
      </c>
      <c r="Z51" s="20" t="n">
        <v>0.945293780381542</v>
      </c>
    </row>
    <row r="52" customFormat="false" ht="15" hidden="false" customHeight="false" outlineLevel="0" collapsed="false">
      <c r="A52" s="18" t="n">
        <v>51</v>
      </c>
      <c r="B52" s="18" t="s">
        <v>89</v>
      </c>
      <c r="C52" s="18" t="s">
        <v>94</v>
      </c>
      <c r="D52" s="19" t="s">
        <v>54</v>
      </c>
      <c r="E52" s="18" t="s">
        <v>75</v>
      </c>
      <c r="F52" s="20" t="n">
        <v>0.621240755764678</v>
      </c>
      <c r="G52" s="20" t="n">
        <v>0.216805911128329</v>
      </c>
      <c r="H52" s="20" t="n">
        <v>0.161953333106993</v>
      </c>
      <c r="I52" s="20" t="n">
        <f aca="false">F52+G52</f>
        <v>0.838046666893007</v>
      </c>
      <c r="J52" s="20" t="n">
        <f aca="false">F52+H52</f>
        <v>0.783194088871671</v>
      </c>
      <c r="K52" s="20" t="n">
        <f aca="false">G52+H52</f>
        <v>0.378759244235322</v>
      </c>
      <c r="L52" s="21" t="n">
        <v>2.70551332936896</v>
      </c>
      <c r="M52" s="20" t="n">
        <v>0.751121924061847</v>
      </c>
      <c r="N52" s="20" t="n">
        <v>0.507733248501614</v>
      </c>
      <c r="O52" s="20" t="n">
        <v>0.287129817993427</v>
      </c>
      <c r="P52" s="20" t="n">
        <v>0.476609776803223</v>
      </c>
      <c r="Q52" s="20" t="n">
        <v>0.647259618956234</v>
      </c>
      <c r="R52" s="20" t="n">
        <v>0.613205827773288</v>
      </c>
      <c r="S52" s="21" t="n">
        <v>10.7061533567129</v>
      </c>
      <c r="T52" s="20" t="n">
        <v>0.718804746773969</v>
      </c>
      <c r="U52" s="20" t="n">
        <v>0.610405933769913</v>
      </c>
      <c r="V52" s="21" t="n">
        <v>5.62202603425931</v>
      </c>
      <c r="W52" s="20" t="n">
        <v>0.803332852340501</v>
      </c>
      <c r="X52" s="20" t="n">
        <v>0.65392896257267</v>
      </c>
      <c r="Y52" s="19" t="s">
        <v>80</v>
      </c>
      <c r="Z52" s="20" t="n">
        <v>0.838046666893007</v>
      </c>
    </row>
    <row r="53" customFormat="false" ht="15" hidden="false" customHeight="false" outlineLevel="0" collapsed="false">
      <c r="A53" s="18" t="n">
        <v>52</v>
      </c>
      <c r="B53" s="18" t="s">
        <v>89</v>
      </c>
      <c r="C53" s="18" t="s">
        <v>97</v>
      </c>
      <c r="D53" s="19" t="s">
        <v>54</v>
      </c>
      <c r="E53" s="18" t="s">
        <v>93</v>
      </c>
      <c r="F53" s="20" t="n">
        <v>0.684039405587102</v>
      </c>
      <c r="G53" s="20" t="n">
        <v>0.186901425211006</v>
      </c>
      <c r="H53" s="20" t="n">
        <v>0.129059169201892</v>
      </c>
      <c r="I53" s="20" t="n">
        <f aca="false">F53+G53</f>
        <v>0.870940830798108</v>
      </c>
      <c r="J53" s="20" t="n">
        <f aca="false">F53+H53</f>
        <v>0.813098574788994</v>
      </c>
      <c r="K53" s="20" t="n">
        <f aca="false">G53+H53</f>
        <v>0.315960594412898</v>
      </c>
      <c r="L53" s="21" t="n">
        <v>2.97003562737953</v>
      </c>
      <c r="M53" s="20" t="n">
        <v>0.795295805238504</v>
      </c>
      <c r="N53" s="20" t="n">
        <v>0.57009025941437</v>
      </c>
      <c r="O53" s="20" t="n">
        <v>0.346078118978823</v>
      </c>
      <c r="P53" s="20" t="n">
        <v>0.490456907670505</v>
      </c>
      <c r="Q53" s="20" t="n">
        <v>0.603682409392504</v>
      </c>
      <c r="R53" s="20" t="n">
        <v>0.615557161823028</v>
      </c>
      <c r="S53" s="21" t="n">
        <v>10.9039413722999</v>
      </c>
      <c r="T53" s="20" t="n">
        <v>0.736421820753226</v>
      </c>
      <c r="U53" s="20" t="n">
        <v>0.630996646949142</v>
      </c>
      <c r="V53" s="21" t="n">
        <v>5.6167373865406</v>
      </c>
      <c r="W53" s="20" t="n">
        <v>0.802770005694296</v>
      </c>
      <c r="X53" s="20" t="n">
        <v>0.653151403116942</v>
      </c>
      <c r="Y53" s="19" t="s">
        <v>80</v>
      </c>
      <c r="Z53" s="20" t="n">
        <v>0.870940830798108</v>
      </c>
    </row>
    <row r="54" customFormat="false" ht="15" hidden="false" customHeight="false" outlineLevel="0" collapsed="false">
      <c r="A54" s="18" t="n">
        <v>53</v>
      </c>
      <c r="B54" s="18" t="s">
        <v>94</v>
      </c>
      <c r="C54" s="18" t="s">
        <v>85</v>
      </c>
      <c r="D54" s="19" t="s">
        <v>54</v>
      </c>
      <c r="E54" s="18" t="s">
        <v>75</v>
      </c>
      <c r="F54" s="20" t="n">
        <v>0.627227752522016</v>
      </c>
      <c r="G54" s="20" t="n">
        <v>0.210393608813374</v>
      </c>
      <c r="H54" s="20" t="n">
        <v>0.16237863866461</v>
      </c>
      <c r="I54" s="20" t="n">
        <f aca="false">F54+G54</f>
        <v>0.83762136133539</v>
      </c>
      <c r="J54" s="20" t="n">
        <f aca="false">F54+H54</f>
        <v>0.789606391186626</v>
      </c>
      <c r="K54" s="20" t="n">
        <f aca="false">G54+H54</f>
        <v>0.372772247477984</v>
      </c>
      <c r="L54" s="21" t="n">
        <v>2.82064264752163</v>
      </c>
      <c r="M54" s="20" t="n">
        <v>0.771233444634423</v>
      </c>
      <c r="N54" s="20" t="n">
        <v>0.535463747849238</v>
      </c>
      <c r="O54" s="20" t="n">
        <v>0.312667468439079</v>
      </c>
      <c r="P54" s="20" t="n">
        <v>0.497700426210343</v>
      </c>
      <c r="Q54" s="20" t="n">
        <v>0.628956632388253</v>
      </c>
      <c r="R54" s="20" t="n">
        <v>0.615676520170242</v>
      </c>
      <c r="S54" s="21" t="n">
        <v>11.1239723140906</v>
      </c>
      <c r="T54" s="20" t="n">
        <v>0.755066699832809</v>
      </c>
      <c r="U54" s="20" t="n">
        <v>0.653141955775733</v>
      </c>
      <c r="V54" s="21" t="n">
        <v>6.00150278653946</v>
      </c>
      <c r="W54" s="20" t="n">
        <v>0.840346954197746</v>
      </c>
      <c r="X54" s="20" t="n">
        <v>0.706660711054638</v>
      </c>
      <c r="Y54" s="19" t="s">
        <v>80</v>
      </c>
      <c r="Z54" s="20" t="n">
        <v>0.83762136133539</v>
      </c>
    </row>
    <row r="55" customFormat="false" ht="15" hidden="false" customHeight="false" outlineLevel="0" collapsed="false">
      <c r="A55" s="18" t="n">
        <v>54</v>
      </c>
      <c r="B55" s="18" t="s">
        <v>94</v>
      </c>
      <c r="C55" s="18" t="s">
        <v>86</v>
      </c>
      <c r="D55" s="19" t="s">
        <v>54</v>
      </c>
      <c r="E55" s="18" t="s">
        <v>75</v>
      </c>
      <c r="F55" s="20" t="n">
        <v>0.440231034863097</v>
      </c>
      <c r="G55" s="20" t="n">
        <v>0.280404026988705</v>
      </c>
      <c r="H55" s="20" t="n">
        <v>0.279364938148197</v>
      </c>
      <c r="I55" s="20" t="n">
        <f aca="false">F55+G55</f>
        <v>0.720635061851803</v>
      </c>
      <c r="J55" s="20" t="n">
        <f aca="false">F55+H55</f>
        <v>0.719595973011295</v>
      </c>
      <c r="K55" s="20" t="n">
        <f aca="false">G55+H55</f>
        <v>0.559768965136903</v>
      </c>
      <c r="L55" s="21" t="n">
        <v>2.23747587183696</v>
      </c>
      <c r="M55" s="20" t="n">
        <v>0.652936224767377</v>
      </c>
      <c r="N55" s="20" t="n">
        <v>0.387317358672917</v>
      </c>
      <c r="O55" s="20" t="n">
        <v>0.188066297529952</v>
      </c>
      <c r="P55" s="20" t="n">
        <v>0.443247118714511</v>
      </c>
      <c r="Q55" s="20" t="n">
        <v>0.706742390451711</v>
      </c>
      <c r="R55" s="20" t="n">
        <v>0.576324848794648</v>
      </c>
      <c r="S55" s="21" t="n">
        <v>10.2020653886377</v>
      </c>
      <c r="T55" s="20" t="n">
        <v>0.670250122350182</v>
      </c>
      <c r="U55" s="20" t="n">
        <v>0.555233638127947</v>
      </c>
      <c r="V55" s="21" t="n">
        <v>6.04164128801343</v>
      </c>
      <c r="W55" s="20" t="n">
        <v>0.843889092463249</v>
      </c>
      <c r="X55" s="20" t="n">
        <v>0.711882694559829</v>
      </c>
      <c r="Y55" s="19" t="s">
        <v>76</v>
      </c>
      <c r="Z55" s="20" t="n">
        <v>0.818197312008934</v>
      </c>
    </row>
    <row r="56" customFormat="false" ht="15" hidden="false" customHeight="false" outlineLevel="0" collapsed="false">
      <c r="A56" s="18" t="n">
        <v>55</v>
      </c>
      <c r="B56" s="18" t="s">
        <v>94</v>
      </c>
      <c r="C56" s="18" t="s">
        <v>99</v>
      </c>
      <c r="D56" s="19" t="s">
        <v>54</v>
      </c>
      <c r="E56" s="18" t="s">
        <v>75</v>
      </c>
      <c r="F56" s="20" t="n">
        <v>0.488756030674576</v>
      </c>
      <c r="G56" s="20" t="n">
        <v>0.264725942875028</v>
      </c>
      <c r="H56" s="20" t="n">
        <v>0.246518026450396</v>
      </c>
      <c r="I56" s="20" t="n">
        <f aca="false">F56+G56</f>
        <v>0.753481973549605</v>
      </c>
      <c r="J56" s="20" t="n">
        <f aca="false">F56+H56</f>
        <v>0.735274057124972</v>
      </c>
      <c r="K56" s="20" t="n">
        <f aca="false">G56+H56</f>
        <v>0.511243969325424</v>
      </c>
      <c r="L56" s="21" t="n">
        <v>2.37050716654742</v>
      </c>
      <c r="M56" s="20" t="n">
        <v>0.683610552188671</v>
      </c>
      <c r="N56" s="20" t="n">
        <v>0.422567875865997</v>
      </c>
      <c r="O56" s="20" t="n">
        <v>0.215136256665596</v>
      </c>
      <c r="P56" s="20" t="n">
        <v>0.461237576053878</v>
      </c>
      <c r="Q56" s="20" t="n">
        <v>0.692903135855882</v>
      </c>
      <c r="R56" s="20" t="n">
        <v>0.591404015688743</v>
      </c>
      <c r="S56" s="21" t="n">
        <v>9.96590438253885</v>
      </c>
      <c r="T56" s="20" t="n">
        <v>0.645733346626129</v>
      </c>
      <c r="U56" s="20" t="n">
        <v>0.528206308194751</v>
      </c>
      <c r="V56" s="21" t="n">
        <v>5.93057700072344</v>
      </c>
      <c r="W56" s="20" t="n">
        <v>0.833919012883988</v>
      </c>
      <c r="X56" s="20" t="n">
        <v>0.697266605336133</v>
      </c>
      <c r="Y56" s="19" t="s">
        <v>76</v>
      </c>
      <c r="Z56" s="20" t="n">
        <v>0.815832856021549</v>
      </c>
    </row>
    <row r="57" customFormat="false" ht="15" hidden="false" customHeight="false" outlineLevel="0" collapsed="false">
      <c r="A57" s="18" t="n">
        <v>56</v>
      </c>
      <c r="B57" s="18" t="s">
        <v>94</v>
      </c>
      <c r="C57" s="18" t="s">
        <v>90</v>
      </c>
      <c r="D57" s="19" t="s">
        <v>54</v>
      </c>
      <c r="E57" s="18" t="s">
        <v>78</v>
      </c>
      <c r="F57" s="20" t="n">
        <v>0.476039001962594</v>
      </c>
      <c r="G57" s="20" t="n">
        <v>0.254996214901869</v>
      </c>
      <c r="H57" s="20" t="n">
        <v>0.268964783135538</v>
      </c>
      <c r="I57" s="20" t="n">
        <f aca="false">F57+G57</f>
        <v>0.731035216864463</v>
      </c>
      <c r="J57" s="20" t="n">
        <f aca="false">F57+H57</f>
        <v>0.745003785098131</v>
      </c>
      <c r="K57" s="20" t="n">
        <f aca="false">G57+H57</f>
        <v>0.523960998037407</v>
      </c>
      <c r="L57" s="21" t="n">
        <v>2.57101564696522</v>
      </c>
      <c r="M57" s="20" t="n">
        <v>0.725528936761751</v>
      </c>
      <c r="N57" s="20" t="n">
        <v>0.474271112347176</v>
      </c>
      <c r="O57" s="20" t="n">
        <v>0.257707405408859</v>
      </c>
      <c r="P57" s="20" t="n">
        <v>0.508346551426494</v>
      </c>
      <c r="Q57" s="20" t="n">
        <v>0.667274983930347</v>
      </c>
      <c r="R57" s="20" t="n">
        <v>0.607019012754501</v>
      </c>
      <c r="S57" s="21" t="n">
        <v>10.6036535138511</v>
      </c>
      <c r="T57" s="20" t="n">
        <v>0.709355576269468</v>
      </c>
      <c r="U57" s="20" t="n">
        <v>0.599490801927187</v>
      </c>
      <c r="V57" s="21" t="n">
        <v>5.44881001274916</v>
      </c>
      <c r="W57" s="20" t="n">
        <v>0.7841924316289</v>
      </c>
      <c r="X57" s="20" t="n">
        <v>0.627864546901708</v>
      </c>
      <c r="Y57" s="19" t="s">
        <v>76</v>
      </c>
      <c r="Z57" s="20" t="n">
        <v>0.806472465331955</v>
      </c>
    </row>
    <row r="58" customFormat="false" ht="15" hidden="false" customHeight="false" outlineLevel="0" collapsed="false">
      <c r="A58" s="18" t="n">
        <v>57</v>
      </c>
      <c r="B58" s="18" t="s">
        <v>94</v>
      </c>
      <c r="C58" s="18" t="s">
        <v>87</v>
      </c>
      <c r="D58" s="19" t="s">
        <v>54</v>
      </c>
      <c r="E58" s="18" t="s">
        <v>75</v>
      </c>
      <c r="F58" s="20" t="n">
        <v>0.531355529264127</v>
      </c>
      <c r="G58" s="20" t="n">
        <v>0.245965059707496</v>
      </c>
      <c r="H58" s="20" t="n">
        <v>0.222679411028377</v>
      </c>
      <c r="I58" s="20" t="n">
        <f aca="false">F58+G58</f>
        <v>0.777320588971623</v>
      </c>
      <c r="J58" s="20" t="n">
        <f aca="false">F58+H58</f>
        <v>0.754034940292504</v>
      </c>
      <c r="K58" s="20" t="n">
        <f aca="false">G58+H58</f>
        <v>0.468644470735873</v>
      </c>
      <c r="L58" s="21" t="n">
        <v>2.56220252720489</v>
      </c>
      <c r="M58" s="20" t="n">
        <v>0.723846444372647</v>
      </c>
      <c r="N58" s="20" t="n">
        <v>0.472042864755615</v>
      </c>
      <c r="O58" s="20" t="n">
        <v>0.255800899233407</v>
      </c>
      <c r="P58" s="20" t="n">
        <v>0.489094793156981</v>
      </c>
      <c r="Q58" s="20" t="n">
        <v>0.668451257510517</v>
      </c>
      <c r="R58" s="20" t="n">
        <v>0.606560052539634</v>
      </c>
      <c r="S58" s="21" t="n">
        <v>10.6917923438616</v>
      </c>
      <c r="T58" s="20" t="n">
        <v>0.717493971253084</v>
      </c>
      <c r="U58" s="20" t="n">
        <v>0.60888649634488</v>
      </c>
      <c r="V58" s="21" t="n">
        <v>5.88779700468948</v>
      </c>
      <c r="W58" s="20" t="n">
        <v>0.82993587596127</v>
      </c>
      <c r="X58" s="20" t="n">
        <v>0.691497452687923</v>
      </c>
      <c r="Y58" s="19" t="s">
        <v>76</v>
      </c>
      <c r="Z58" s="20" t="n">
        <v>0.806965764910911</v>
      </c>
    </row>
    <row r="59" customFormat="false" ht="15" hidden="false" customHeight="false" outlineLevel="0" collapsed="false">
      <c r="A59" s="18" t="n">
        <v>58</v>
      </c>
      <c r="B59" s="18" t="s">
        <v>97</v>
      </c>
      <c r="C59" s="18" t="s">
        <v>73</v>
      </c>
      <c r="D59" s="19" t="s">
        <v>54</v>
      </c>
      <c r="E59" s="18" t="s">
        <v>78</v>
      </c>
      <c r="F59" s="20" t="n">
        <v>0.428918087517414</v>
      </c>
      <c r="G59" s="20" t="n">
        <v>0.265920880638504</v>
      </c>
      <c r="H59" s="20" t="n">
        <v>0.305161031844082</v>
      </c>
      <c r="I59" s="20" t="n">
        <f aca="false">F59+G59</f>
        <v>0.694838968155918</v>
      </c>
      <c r="J59" s="20" t="n">
        <f aca="false">F59+H59</f>
        <v>0.734079119361496</v>
      </c>
      <c r="K59" s="20" t="n">
        <f aca="false">G59+H59</f>
        <v>0.571081912482586</v>
      </c>
      <c r="L59" s="21" t="n">
        <v>2.47388343938105</v>
      </c>
      <c r="M59" s="20" t="n">
        <v>0.705803866062109</v>
      </c>
      <c r="N59" s="20" t="n">
        <v>0.449470793477639</v>
      </c>
      <c r="O59" s="20" t="n">
        <v>0.23685630321662</v>
      </c>
      <c r="P59" s="20" t="n">
        <v>0.497335239804342</v>
      </c>
      <c r="Q59" s="20" t="n">
        <v>0.680384388395483</v>
      </c>
      <c r="R59" s="20" t="n">
        <v>0.600443560238586</v>
      </c>
      <c r="S59" s="21" t="n">
        <v>10.7883828171871</v>
      </c>
      <c r="T59" s="20" t="n">
        <v>0.726227641255352</v>
      </c>
      <c r="U59" s="20" t="n">
        <v>0.619043116394093</v>
      </c>
      <c r="V59" s="21" t="n">
        <v>5.57608750725819</v>
      </c>
      <c r="W59" s="20" t="n">
        <v>0.798398991069554</v>
      </c>
      <c r="X59" s="20" t="n">
        <v>0.647136274594966</v>
      </c>
      <c r="Y59" s="19" t="s">
        <v>76</v>
      </c>
      <c r="Z59" s="20" t="n">
        <v>0.81188038578858</v>
      </c>
    </row>
    <row r="60" customFormat="false" ht="15" hidden="false" customHeight="false" outlineLevel="0" collapsed="false">
      <c r="A60" s="18" t="n">
        <v>59</v>
      </c>
      <c r="B60" s="18" t="s">
        <v>97</v>
      </c>
      <c r="C60" s="18" t="s">
        <v>88</v>
      </c>
      <c r="D60" s="19" t="s">
        <v>54</v>
      </c>
      <c r="E60" s="18" t="s">
        <v>78</v>
      </c>
      <c r="F60" s="20" t="n">
        <v>0.461009677352878</v>
      </c>
      <c r="G60" s="20" t="n">
        <v>0.250869873803684</v>
      </c>
      <c r="H60" s="20" t="n">
        <v>0.288120448843439</v>
      </c>
      <c r="I60" s="20" t="n">
        <f aca="false">F60+G60</f>
        <v>0.711879551156561</v>
      </c>
      <c r="J60" s="20" t="n">
        <f aca="false">F60+H60</f>
        <v>0.749130126196316</v>
      </c>
      <c r="K60" s="20" t="n">
        <f aca="false">G60+H60</f>
        <v>0.538990322647122</v>
      </c>
      <c r="L60" s="21" t="n">
        <v>2.68492191663363</v>
      </c>
      <c r="M60" s="20" t="n">
        <v>0.747175887144364</v>
      </c>
      <c r="N60" s="20" t="n">
        <v>0.502676063596337</v>
      </c>
      <c r="O60" s="20" t="n">
        <v>0.282587428900334</v>
      </c>
      <c r="P60" s="20" t="n">
        <v>0.535127577286278</v>
      </c>
      <c r="Q60" s="20" t="n">
        <v>0.650602257979452</v>
      </c>
      <c r="R60" s="20" t="n">
        <v>0.612319035725777</v>
      </c>
      <c r="S60" s="21" t="n">
        <v>10.599840220426</v>
      </c>
      <c r="T60" s="20" t="n">
        <v>0.708999838916174</v>
      </c>
      <c r="U60" s="20" t="n">
        <v>0.599081599315288</v>
      </c>
      <c r="V60" s="21" t="n">
        <v>5.38802792607484</v>
      </c>
      <c r="W60" s="20" t="n">
        <v>0.777124483236988</v>
      </c>
      <c r="X60" s="20" t="n">
        <v>0.618430279996782</v>
      </c>
      <c r="Y60" s="19" t="s">
        <v>76</v>
      </c>
      <c r="Z60" s="20" t="n">
        <v>0.798332835461199</v>
      </c>
    </row>
    <row r="61" customFormat="false" ht="15" hidden="false" customHeight="false" outlineLevel="0" collapsed="false">
      <c r="A61" s="18" t="n">
        <v>60</v>
      </c>
      <c r="B61" s="18" t="s">
        <v>97</v>
      </c>
      <c r="C61" s="18" t="s">
        <v>86</v>
      </c>
      <c r="D61" s="19" t="s">
        <v>54</v>
      </c>
      <c r="E61" s="18" t="s">
        <v>78</v>
      </c>
      <c r="F61" s="20" t="n">
        <v>0.398057052040988</v>
      </c>
      <c r="G61" s="20" t="n">
        <v>0.275904826469972</v>
      </c>
      <c r="H61" s="20" t="n">
        <v>0.32603812148904</v>
      </c>
      <c r="I61" s="20" t="n">
        <f aca="false">F61+G61</f>
        <v>0.67396187851096</v>
      </c>
      <c r="J61" s="20" t="n">
        <f aca="false">F61+H61</f>
        <v>0.724095173530028</v>
      </c>
      <c r="K61" s="20" t="n">
        <f aca="false">G61+H61</f>
        <v>0.601942947959012</v>
      </c>
      <c r="L61" s="21" t="n">
        <v>2.35201825261864</v>
      </c>
      <c r="M61" s="20" t="n">
        <v>0.679425637788126</v>
      </c>
      <c r="N61" s="20" t="n">
        <v>0.417706852250393</v>
      </c>
      <c r="O61" s="20" t="n">
        <v>0.211310290672288</v>
      </c>
      <c r="P61" s="20" t="n">
        <v>0.474947378010008</v>
      </c>
      <c r="Q61" s="20" t="n">
        <v>0.695052892672804</v>
      </c>
      <c r="R61" s="20" t="n">
        <v>0.589477528240992</v>
      </c>
      <c r="S61" s="21" t="n">
        <v>10.4168037893692</v>
      </c>
      <c r="T61" s="20" t="n">
        <v>0.691571528762167</v>
      </c>
      <c r="U61" s="20" t="n">
        <v>0.579184343375267</v>
      </c>
      <c r="V61" s="21" t="n">
        <v>6.06459499251387</v>
      </c>
      <c r="W61" s="20" t="n">
        <v>0.845884111472439</v>
      </c>
      <c r="X61" s="20" t="n">
        <v>0.714838318435645</v>
      </c>
      <c r="Y61" s="19" t="s">
        <v>76</v>
      </c>
      <c r="Z61" s="20" t="n">
        <v>0.816415073797958</v>
      </c>
    </row>
    <row r="62" customFormat="false" ht="15" hidden="false" customHeight="false" outlineLevel="0" collapsed="false">
      <c r="A62" s="18" t="n">
        <v>61</v>
      </c>
      <c r="B62" s="18" t="s">
        <v>97</v>
      </c>
      <c r="C62" s="18" t="s">
        <v>99</v>
      </c>
      <c r="D62" s="19" t="s">
        <v>54</v>
      </c>
      <c r="E62" s="18" t="s">
        <v>78</v>
      </c>
      <c r="F62" s="20" t="n">
        <v>0.445596013823509</v>
      </c>
      <c r="G62" s="20" t="n">
        <v>0.264075608958079</v>
      </c>
      <c r="H62" s="20" t="n">
        <v>0.290328377218412</v>
      </c>
      <c r="I62" s="20" t="n">
        <f aca="false">F62+G62</f>
        <v>0.709671622781588</v>
      </c>
      <c r="J62" s="20" t="n">
        <f aca="false">F62+H62</f>
        <v>0.735924391041921</v>
      </c>
      <c r="K62" s="20" t="n">
        <f aca="false">G62+H62</f>
        <v>0.554403986176491</v>
      </c>
      <c r="L62" s="21" t="n">
        <v>2.47781523740472</v>
      </c>
      <c r="M62" s="20" t="n">
        <v>0.706633263743484</v>
      </c>
      <c r="N62" s="20" t="n">
        <v>0.450484256514805</v>
      </c>
      <c r="O62" s="20" t="n">
        <v>0.237692680643583</v>
      </c>
      <c r="P62" s="20" t="n">
        <v>0.495324138928437</v>
      </c>
      <c r="Q62" s="20" t="n">
        <v>0.679867971118343</v>
      </c>
      <c r="R62" s="20" t="n">
        <v>0.600755294881677</v>
      </c>
      <c r="S62" s="21" t="n">
        <v>10.2083543079675</v>
      </c>
      <c r="T62" s="20" t="n">
        <v>0.670887827358673</v>
      </c>
      <c r="U62" s="20" t="n">
        <v>0.555943880910867</v>
      </c>
      <c r="V62" s="21" t="n">
        <v>5.97725648804678</v>
      </c>
      <c r="W62" s="20" t="n">
        <v>0.838173968819697</v>
      </c>
      <c r="X62" s="20" t="n">
        <v>0.703473251924923</v>
      </c>
      <c r="Y62" s="19" t="s">
        <v>76</v>
      </c>
      <c r="Z62" s="20" t="n">
        <v>0.811682682900119</v>
      </c>
    </row>
    <row r="63" customFormat="false" ht="15" hidden="false" customHeight="false" outlineLevel="0" collapsed="false">
      <c r="A63" s="18" t="n">
        <v>62</v>
      </c>
      <c r="B63" s="18" t="s">
        <v>97</v>
      </c>
      <c r="C63" s="18" t="s">
        <v>90</v>
      </c>
      <c r="D63" s="19" t="s">
        <v>54</v>
      </c>
      <c r="E63" s="18" t="s">
        <v>78</v>
      </c>
      <c r="F63" s="20" t="n">
        <v>0.429891761159277</v>
      </c>
      <c r="G63" s="20" t="n">
        <v>0.253264509069587</v>
      </c>
      <c r="H63" s="20" t="n">
        <v>0.316843729771136</v>
      </c>
      <c r="I63" s="20" t="n">
        <f aca="false">F63+G63</f>
        <v>0.683156270228864</v>
      </c>
      <c r="J63" s="20" t="n">
        <f aca="false">F63+H63</f>
        <v>0.746735490930413</v>
      </c>
      <c r="K63" s="20" t="n">
        <f aca="false">G63+H63</f>
        <v>0.570108238840723</v>
      </c>
      <c r="L63" s="21" t="n">
        <v>2.6963131452426</v>
      </c>
      <c r="M63" s="20" t="n">
        <v>0.749242639827518</v>
      </c>
      <c r="N63" s="20" t="n">
        <v>0.505472935553429</v>
      </c>
      <c r="O63" s="20" t="n">
        <v>0.285095918123128</v>
      </c>
      <c r="P63" s="20" t="n">
        <v>0.542662969232268</v>
      </c>
      <c r="Q63" s="20" t="n">
        <v>0.648878644300834</v>
      </c>
      <c r="R63" s="20" t="n">
        <v>0.61269836903679</v>
      </c>
      <c r="S63" s="21" t="n">
        <v>10.8593324558453</v>
      </c>
      <c r="T63" s="20" t="n">
        <v>0.732519438705319</v>
      </c>
      <c r="U63" s="20" t="n">
        <v>0.626408105226232</v>
      </c>
      <c r="V63" s="21" t="n">
        <v>5.4956716373862</v>
      </c>
      <c r="W63" s="20" t="n">
        <v>0.789515766242899</v>
      </c>
      <c r="X63" s="20" t="n">
        <v>0.635036786907515</v>
      </c>
      <c r="Y63" s="19" t="s">
        <v>76</v>
      </c>
      <c r="Z63" s="20" t="n">
        <v>0.797430291633234</v>
      </c>
    </row>
    <row r="64" customFormat="false" ht="15" hidden="false" customHeight="false" outlineLevel="0" collapsed="false">
      <c r="A64" s="18" t="n">
        <v>63</v>
      </c>
      <c r="B64" s="18" t="s">
        <v>99</v>
      </c>
      <c r="C64" s="18" t="s">
        <v>91</v>
      </c>
      <c r="D64" s="19" t="s">
        <v>54</v>
      </c>
      <c r="E64" s="18" t="s">
        <v>78</v>
      </c>
      <c r="F64" s="20" t="n">
        <v>0.424688896181804</v>
      </c>
      <c r="G64" s="20" t="n">
        <v>0.267687943243933</v>
      </c>
      <c r="H64" s="20" t="n">
        <v>0.307623160574263</v>
      </c>
      <c r="I64" s="20" t="n">
        <f aca="false">F64+G64</f>
        <v>0.692376839425737</v>
      </c>
      <c r="J64" s="20" t="n">
        <f aca="false">F64+H64</f>
        <v>0.732312056756067</v>
      </c>
      <c r="K64" s="20" t="n">
        <f aca="false">G64+H64</f>
        <v>0.575311103818196</v>
      </c>
      <c r="L64" s="21" t="n">
        <v>2.45092372936798</v>
      </c>
      <c r="M64" s="20" t="n">
        <v>0.700977161947578</v>
      </c>
      <c r="N64" s="20" t="n">
        <v>0.443538154956882</v>
      </c>
      <c r="O64" s="20" t="n">
        <v>0.231986807365407</v>
      </c>
      <c r="P64" s="20" t="n">
        <v>0.493083394256738</v>
      </c>
      <c r="Q64" s="20" t="n">
        <v>0.683305048697709</v>
      </c>
      <c r="R64" s="20" t="n">
        <v>0.598614524067112</v>
      </c>
      <c r="S64" s="21" t="n">
        <v>9.40985565731445</v>
      </c>
      <c r="T64" s="20" t="n">
        <v>0.583833228010931</v>
      </c>
      <c r="U64" s="20" t="n">
        <v>0.462283385335563</v>
      </c>
      <c r="V64" s="21" t="n">
        <v>5.76305972121183</v>
      </c>
      <c r="W64" s="20" t="n">
        <v>0.817855084037872</v>
      </c>
      <c r="X64" s="20" t="n">
        <v>0.674234431292367</v>
      </c>
      <c r="Y64" s="19" t="s">
        <v>76</v>
      </c>
      <c r="Z64" s="20" t="n">
        <v>0.81292921818265</v>
      </c>
    </row>
    <row r="65" customFormat="false" ht="15" hidden="false" customHeight="false" outlineLevel="0" collapsed="false">
      <c r="A65" s="18" t="n">
        <v>64</v>
      </c>
      <c r="B65" s="18" t="s">
        <v>99</v>
      </c>
      <c r="C65" s="18" t="s">
        <v>83</v>
      </c>
      <c r="D65" s="19" t="s">
        <v>54</v>
      </c>
      <c r="E65" s="18" t="s">
        <v>75</v>
      </c>
      <c r="F65" s="20" t="n">
        <v>0.48664916245173</v>
      </c>
      <c r="G65" s="20" t="n">
        <v>0.260249364276429</v>
      </c>
      <c r="H65" s="20" t="n">
        <v>0.253101473271841</v>
      </c>
      <c r="I65" s="20" t="n">
        <f aca="false">F65+G65</f>
        <v>0.746898526728159</v>
      </c>
      <c r="J65" s="20" t="n">
        <f aca="false">F65+H65</f>
        <v>0.739750635723571</v>
      </c>
      <c r="K65" s="20" t="n">
        <f aca="false">G65+H65</f>
        <v>0.51335083754827</v>
      </c>
      <c r="L65" s="21" t="n">
        <v>2.45037967354876</v>
      </c>
      <c r="M65" s="20" t="n">
        <v>0.700908406654697</v>
      </c>
      <c r="N65" s="20" t="n">
        <v>0.443397732230266</v>
      </c>
      <c r="O65" s="20" t="n">
        <v>0.231872022205417</v>
      </c>
      <c r="P65" s="20" t="n">
        <v>0.479611479914901</v>
      </c>
      <c r="Q65" s="20" t="n">
        <v>0.683327287871654</v>
      </c>
      <c r="R65" s="20" t="n">
        <v>0.598616196957068</v>
      </c>
      <c r="S65" s="21" t="n">
        <v>11.2085151055441</v>
      </c>
      <c r="T65" s="20" t="n">
        <v>0.761964856532384</v>
      </c>
      <c r="U65" s="20" t="n">
        <v>0.661430630175929</v>
      </c>
      <c r="V65" s="21" t="n">
        <v>5.81853235794347</v>
      </c>
      <c r="W65" s="20" t="n">
        <v>0.823314414055353</v>
      </c>
      <c r="X65" s="20" t="n">
        <v>0.681992615640939</v>
      </c>
      <c r="Y65" s="19" t="s">
        <v>76</v>
      </c>
      <c r="Z65" s="20" t="n">
        <v>0.812907100379441</v>
      </c>
    </row>
    <row r="66" customFormat="false" ht="15" hidden="false" customHeight="false" outlineLevel="0" collapsed="false">
      <c r="A66" s="18" t="n">
        <v>65</v>
      </c>
      <c r="B66" s="18" t="s">
        <v>99</v>
      </c>
      <c r="C66" s="18" t="s">
        <v>84</v>
      </c>
      <c r="D66" s="19" t="s">
        <v>54</v>
      </c>
      <c r="E66" s="18" t="s">
        <v>75</v>
      </c>
      <c r="F66" s="20" t="n">
        <v>0.461683183401895</v>
      </c>
      <c r="G66" s="20" t="n">
        <v>0.276778128596004</v>
      </c>
      <c r="H66" s="20" t="n">
        <v>0.2615386880021</v>
      </c>
      <c r="I66" s="20" t="n">
        <f aca="false">F66+G66</f>
        <v>0.7384613119979</v>
      </c>
      <c r="J66" s="20" t="n">
        <f aca="false">F66+H66</f>
        <v>0.723221871403996</v>
      </c>
      <c r="K66" s="20" t="n">
        <f aca="false">G66+H66</f>
        <v>0.538316816598104</v>
      </c>
      <c r="L66" s="21" t="n">
        <v>2.25013883106034</v>
      </c>
      <c r="M66" s="20" t="n">
        <v>0.655969647591675</v>
      </c>
      <c r="N66" s="20" t="n">
        <v>0.390698117785273</v>
      </c>
      <c r="O66" s="20" t="n">
        <v>0.19059487129436</v>
      </c>
      <c r="P66" s="20" t="n">
        <v>0.44128954688148</v>
      </c>
      <c r="Q66" s="20" t="n">
        <v>0.705536832662943</v>
      </c>
      <c r="R66" s="20" t="n">
        <v>0.577939882187782</v>
      </c>
      <c r="S66" s="21" t="n">
        <v>9.77420927896034</v>
      </c>
      <c r="T66" s="20" t="n">
        <v>0.625035087693308</v>
      </c>
      <c r="U66" s="20" t="n">
        <v>0.505801072716562</v>
      </c>
      <c r="V66" s="21" t="n">
        <v>5.09283989815206</v>
      </c>
      <c r="W66" s="20" t="n">
        <v>0.740103479552478</v>
      </c>
      <c r="X66" s="20" t="n">
        <v>0.570575814767835</v>
      </c>
      <c r="Y66" s="19" t="s">
        <v>76</v>
      </c>
      <c r="Z66" s="20" t="n">
        <v>0.818101938553411</v>
      </c>
    </row>
    <row r="67" customFormat="false" ht="15" hidden="false" customHeight="false" outlineLevel="0" collapsed="false">
      <c r="A67" s="18" t="n">
        <v>66</v>
      </c>
      <c r="B67" s="18" t="s">
        <v>99</v>
      </c>
      <c r="C67" s="18" t="s">
        <v>85</v>
      </c>
      <c r="D67" s="19" t="s">
        <v>54</v>
      </c>
      <c r="E67" s="18" t="s">
        <v>75</v>
      </c>
      <c r="F67" s="20" t="n">
        <v>0.598493345102832</v>
      </c>
      <c r="G67" s="20" t="n">
        <v>0.220000443716259</v>
      </c>
      <c r="H67" s="20" t="n">
        <v>0.181506211180909</v>
      </c>
      <c r="I67" s="20" t="n">
        <f aca="false">F67+G67</f>
        <v>0.818493788819091</v>
      </c>
      <c r="J67" s="20" t="n">
        <f aca="false">F67+H67</f>
        <v>0.779999556283741</v>
      </c>
      <c r="K67" s="20" t="n">
        <f aca="false">G67+H67</f>
        <v>0.401506654897168</v>
      </c>
      <c r="L67" s="21" t="n">
        <v>2.78156440588364</v>
      </c>
      <c r="M67" s="20" t="n">
        <v>0.764527412229029</v>
      </c>
      <c r="N67" s="20" t="n">
        <v>0.526147900307121</v>
      </c>
      <c r="O67" s="20" t="n">
        <v>0.303969756244684</v>
      </c>
      <c r="P67" s="20" t="n">
        <v>0.505599498703513</v>
      </c>
      <c r="Q67" s="20" t="n">
        <v>0.63533368308881</v>
      </c>
      <c r="R67" s="20" t="n">
        <v>0.615060628377104</v>
      </c>
      <c r="S67" s="21" t="n">
        <v>10.2987064778093</v>
      </c>
      <c r="T67" s="20" t="n">
        <v>0.67996156739269</v>
      </c>
      <c r="U67" s="20" t="n">
        <v>0.566090235464568</v>
      </c>
      <c r="V67" s="21" t="n">
        <v>6.22930398035696</v>
      </c>
      <c r="W67" s="20" t="n">
        <v>0.859563275747447</v>
      </c>
      <c r="X67" s="20" t="n">
        <v>0.735394963586668</v>
      </c>
      <c r="Y67" s="19" t="s">
        <v>80</v>
      </c>
      <c r="Z67" s="20" t="n">
        <v>0.818493788819091</v>
      </c>
    </row>
    <row r="68" customFormat="false" ht="15" hidden="false" customHeight="false" outlineLevel="0" collapsed="false">
      <c r="A68" s="18" t="n">
        <v>67</v>
      </c>
      <c r="B68" s="18" t="s">
        <v>99</v>
      </c>
      <c r="C68" s="18" t="s">
        <v>98</v>
      </c>
      <c r="D68" s="19" t="s">
        <v>54</v>
      </c>
      <c r="E68" s="18" t="s">
        <v>75</v>
      </c>
      <c r="F68" s="20" t="n">
        <v>0.561107830937974</v>
      </c>
      <c r="G68" s="20" t="n">
        <v>0.246092514258452</v>
      </c>
      <c r="H68" s="20" t="n">
        <v>0.192799654803574</v>
      </c>
      <c r="I68" s="20" t="n">
        <f aca="false">F68+G68</f>
        <v>0.807200345196426</v>
      </c>
      <c r="J68" s="20" t="n">
        <f aca="false">F68+H68</f>
        <v>0.753907485741548</v>
      </c>
      <c r="K68" s="20" t="n">
        <f aca="false">G68+H68</f>
        <v>0.438892169062026</v>
      </c>
      <c r="L68" s="21" t="n">
        <v>2.43436682135142</v>
      </c>
      <c r="M68" s="20" t="n">
        <v>0.697601852320267</v>
      </c>
      <c r="N68" s="20" t="n">
        <v>0.439246005560194</v>
      </c>
      <c r="O68" s="20" t="n">
        <v>0.228491799081158</v>
      </c>
      <c r="P68" s="20" t="n">
        <v>0.447973894068609</v>
      </c>
      <c r="Q68" s="20" t="n">
        <v>0.685222474903359</v>
      </c>
      <c r="R68" s="20" t="n">
        <v>0.597373861603785</v>
      </c>
      <c r="S68" s="21" t="n">
        <v>9.60772494782471</v>
      </c>
      <c r="T68" s="20" t="n">
        <v>0.606501709808455</v>
      </c>
      <c r="U68" s="20" t="n">
        <v>0.486050544055165</v>
      </c>
      <c r="V68" s="21" t="n">
        <v>6.11463834851449</v>
      </c>
      <c r="W68" s="20" t="n">
        <v>0.850157413989886</v>
      </c>
      <c r="X68" s="20" t="n">
        <v>0.721204939984345</v>
      </c>
      <c r="Y68" s="19" t="s">
        <v>76</v>
      </c>
      <c r="Z68" s="20" t="n">
        <v>0.813486283268034</v>
      </c>
    </row>
    <row r="69" customFormat="false" ht="15" hidden="false" customHeight="false" outlineLevel="0" collapsed="false">
      <c r="A69" s="18" t="n">
        <v>68</v>
      </c>
      <c r="B69" s="18" t="s">
        <v>90</v>
      </c>
      <c r="C69" s="18" t="s">
        <v>73</v>
      </c>
      <c r="D69" s="19" t="s">
        <v>54</v>
      </c>
      <c r="E69" s="18" t="s">
        <v>78</v>
      </c>
      <c r="F69" s="20" t="n">
        <v>0.48214574649626</v>
      </c>
      <c r="G69" s="20" t="n">
        <v>0.253305372164891</v>
      </c>
      <c r="H69" s="20" t="n">
        <v>0.264548881338849</v>
      </c>
      <c r="I69" s="20" t="n">
        <f aca="false">F69+G69</f>
        <v>0.735451118661151</v>
      </c>
      <c r="J69" s="20" t="n">
        <f aca="false">F69+H69</f>
        <v>0.746694627835109</v>
      </c>
      <c r="K69" s="20" t="n">
        <f aca="false">G69+H69</f>
        <v>0.51785425350374</v>
      </c>
      <c r="L69" s="21" t="n">
        <v>2.58618052367809</v>
      </c>
      <c r="M69" s="20" t="n">
        <v>0.728505530958109</v>
      </c>
      <c r="N69" s="20" t="n">
        <v>0.478096892671608</v>
      </c>
      <c r="O69" s="20" t="n">
        <v>0.260995768923087</v>
      </c>
      <c r="P69" s="20" t="n">
        <v>0.509962510421435</v>
      </c>
      <c r="Q69" s="20" t="n">
        <v>0.665128145612175</v>
      </c>
      <c r="R69" s="20" t="n">
        <v>0.607875788012174</v>
      </c>
      <c r="S69" s="21" t="n">
        <v>10.5618356915967</v>
      </c>
      <c r="T69" s="20" t="n">
        <v>0.705438001696561</v>
      </c>
      <c r="U69" s="20" t="n">
        <v>0.594991273720897</v>
      </c>
      <c r="V69" s="21" t="n">
        <v>5.26209677927019</v>
      </c>
      <c r="W69" s="20" t="n">
        <v>0.761884083192991</v>
      </c>
      <c r="X69" s="20" t="n">
        <v>0.598420285530303</v>
      </c>
      <c r="Y69" s="19" t="s">
        <v>76</v>
      </c>
      <c r="Z69" s="20" t="n">
        <v>0.805494171589327</v>
      </c>
    </row>
    <row r="70" customFormat="false" ht="15" hidden="false" customHeight="false" outlineLevel="0" collapsed="false">
      <c r="A70" s="18" t="n">
        <v>69</v>
      </c>
      <c r="B70" s="18" t="s">
        <v>90</v>
      </c>
      <c r="C70" s="18" t="s">
        <v>74</v>
      </c>
      <c r="D70" s="19" t="s">
        <v>54</v>
      </c>
      <c r="E70" s="18" t="s">
        <v>78</v>
      </c>
      <c r="F70" s="20" t="n">
        <v>0.47633065914055</v>
      </c>
      <c r="G70" s="20" t="n">
        <v>0.252837825049394</v>
      </c>
      <c r="H70" s="20" t="n">
        <v>0.270831515810055</v>
      </c>
      <c r="I70" s="20" t="n">
        <f aca="false">F70+G70</f>
        <v>0.729168484189945</v>
      </c>
      <c r="J70" s="20" t="n">
        <f aca="false">F70+H70</f>
        <v>0.747162174950606</v>
      </c>
      <c r="K70" s="20" t="n">
        <f aca="false">G70+H70</f>
        <v>0.52366934085945</v>
      </c>
      <c r="L70" s="21" t="n">
        <v>2.61030329598986</v>
      </c>
      <c r="M70" s="20" t="n">
        <v>0.733171162620756</v>
      </c>
      <c r="N70" s="20" t="n">
        <v>0.484155207711208</v>
      </c>
      <c r="O70" s="20" t="n">
        <v>0.266242747828279</v>
      </c>
      <c r="P70" s="20" t="n">
        <v>0.516465291965736</v>
      </c>
      <c r="Q70" s="20" t="n">
        <v>0.661673845834052</v>
      </c>
      <c r="R70" s="20" t="n">
        <v>0.609133172599996</v>
      </c>
      <c r="S70" s="21" t="n">
        <v>10.2003985637467</v>
      </c>
      <c r="T70" s="20" t="n">
        <v>0.670080970728574</v>
      </c>
      <c r="U70" s="20" t="n">
        <v>0.555045308189119</v>
      </c>
      <c r="V70" s="21" t="n">
        <v>5.37096619285257</v>
      </c>
      <c r="W70" s="20" t="n">
        <v>0.775107034701774</v>
      </c>
      <c r="X70" s="20" t="n">
        <v>0.615755612126732</v>
      </c>
      <c r="Y70" s="19" t="s">
        <v>76</v>
      </c>
      <c r="Z70" s="20" t="n">
        <v>0.803878603641571</v>
      </c>
    </row>
    <row r="71" customFormat="false" ht="15" hidden="false" customHeight="false" outlineLevel="0" collapsed="false">
      <c r="A71" s="18" t="n">
        <v>70</v>
      </c>
      <c r="B71" s="18" t="s">
        <v>90</v>
      </c>
      <c r="C71" s="18" t="s">
        <v>99</v>
      </c>
      <c r="D71" s="19" t="s">
        <v>54</v>
      </c>
      <c r="E71" s="18" t="s">
        <v>78</v>
      </c>
      <c r="F71" s="20" t="n">
        <v>0.499352864426719</v>
      </c>
      <c r="G71" s="20" t="n">
        <v>0.25012926221857</v>
      </c>
      <c r="H71" s="20" t="n">
        <v>0.250517873354711</v>
      </c>
      <c r="I71" s="20" t="n">
        <f aca="false">F71+G71</f>
        <v>0.749482126645289</v>
      </c>
      <c r="J71" s="20" t="n">
        <f aca="false">F71+H71</f>
        <v>0.74987073778143</v>
      </c>
      <c r="K71" s="20" t="n">
        <f aca="false">G71+H71</f>
        <v>0.500647135573281</v>
      </c>
      <c r="L71" s="21" t="n">
        <v>2.59562425812747</v>
      </c>
      <c r="M71" s="20" t="n">
        <v>0.730357763392843</v>
      </c>
      <c r="N71" s="20" t="n">
        <v>0.480472970183316</v>
      </c>
      <c r="O71" s="20" t="n">
        <v>0.263047783860416</v>
      </c>
      <c r="P71" s="20" t="n">
        <v>0.507105364735342</v>
      </c>
      <c r="Q71" s="20" t="n">
        <v>0.663766030240438</v>
      </c>
      <c r="R71" s="20" t="n">
        <v>0.608398944586483</v>
      </c>
      <c r="S71" s="21" t="n">
        <v>9.93485401333833</v>
      </c>
      <c r="T71" s="20" t="n">
        <v>0.642428434367044</v>
      </c>
      <c r="U71" s="20" t="n">
        <v>0.524603840610751</v>
      </c>
      <c r="V71" s="21" t="n">
        <v>5.64255639023847</v>
      </c>
      <c r="W71" s="20" t="n">
        <v>0.805505151191084</v>
      </c>
      <c r="X71" s="20" t="n">
        <v>0.65693643033247</v>
      </c>
      <c r="Y71" s="19" t="s">
        <v>76</v>
      </c>
      <c r="Z71" s="20" t="n">
        <v>0.804854995294494</v>
      </c>
    </row>
    <row r="72" customFormat="false" ht="15" hidden="false" customHeight="false" outlineLevel="0" collapsed="false">
      <c r="A72" s="18" t="n">
        <v>71</v>
      </c>
      <c r="B72" s="18" t="s">
        <v>90</v>
      </c>
      <c r="C72" s="18" t="s">
        <v>81</v>
      </c>
      <c r="D72" s="19" t="s">
        <v>54</v>
      </c>
      <c r="E72" s="18" t="s">
        <v>75</v>
      </c>
      <c r="F72" s="20" t="n">
        <v>0.48396440421835</v>
      </c>
      <c r="G72" s="20" t="n">
        <v>0.259502081945547</v>
      </c>
      <c r="H72" s="20" t="n">
        <v>0.256533513836103</v>
      </c>
      <c r="I72" s="20" t="n">
        <f aca="false">F72+G72</f>
        <v>0.743466486163897</v>
      </c>
      <c r="J72" s="20" t="n">
        <f aca="false">F72+H72</f>
        <v>0.740497918054453</v>
      </c>
      <c r="K72" s="20" t="n">
        <f aca="false">G72+H72</f>
        <v>0.51603559578165</v>
      </c>
      <c r="L72" s="21" t="n">
        <v>2.47036904628869</v>
      </c>
      <c r="M72" s="20" t="n">
        <v>0.705110382497029</v>
      </c>
      <c r="N72" s="20" t="n">
        <v>0.448564804931194</v>
      </c>
      <c r="O72" s="20" t="n">
        <v>0.236109659233399</v>
      </c>
      <c r="P72" s="20" t="n">
        <v>0.484739135333548</v>
      </c>
      <c r="Q72" s="20" t="n">
        <v>0.68079511998306</v>
      </c>
      <c r="R72" s="20" t="n">
        <v>0.600211622985516</v>
      </c>
      <c r="S72" s="21" t="n">
        <v>9.9118100066534</v>
      </c>
      <c r="T72" s="20" t="n">
        <v>0.639963655524684</v>
      </c>
      <c r="U72" s="20" t="n">
        <v>0.521923374830666</v>
      </c>
      <c r="V72" s="21" t="n">
        <v>5.74725318848055</v>
      </c>
      <c r="W72" s="20" t="n">
        <v>0.816273677848373</v>
      </c>
      <c r="X72" s="20" t="n">
        <v>0.672000089225513</v>
      </c>
      <c r="Y72" s="19" t="s">
        <v>76</v>
      </c>
      <c r="Z72" s="20" t="n">
        <v>0.812006019704946</v>
      </c>
    </row>
    <row r="73" customFormat="false" ht="15" hidden="false" customHeight="false" outlineLevel="0" collapsed="false">
      <c r="A73" s="18" t="n">
        <v>72</v>
      </c>
      <c r="B73" s="18" t="s">
        <v>77</v>
      </c>
      <c r="C73" s="18" t="s">
        <v>88</v>
      </c>
      <c r="D73" s="19" t="s">
        <v>54</v>
      </c>
      <c r="E73" s="18" t="s">
        <v>75</v>
      </c>
      <c r="F73" s="20" t="n">
        <v>0.656706758754522</v>
      </c>
      <c r="G73" s="20" t="n">
        <v>0.203863112994046</v>
      </c>
      <c r="H73" s="20" t="n">
        <v>0.139430128251431</v>
      </c>
      <c r="I73" s="20" t="n">
        <f aca="false">F73+G73</f>
        <v>0.860569871748569</v>
      </c>
      <c r="J73" s="20" t="n">
        <f aca="false">F73+H73</f>
        <v>0.796136887005953</v>
      </c>
      <c r="K73" s="20" t="n">
        <f aca="false">G73+H73</f>
        <v>0.343293241245477</v>
      </c>
      <c r="L73" s="21" t="n">
        <v>2.75170859087279</v>
      </c>
      <c r="M73" s="20" t="n">
        <v>0.759432033169033</v>
      </c>
      <c r="N73" s="20" t="n">
        <v>0.518969190642772</v>
      </c>
      <c r="O73" s="20" t="n">
        <v>0.297348590727448</v>
      </c>
      <c r="P73" s="20" t="n">
        <v>0.463688511809297</v>
      </c>
      <c r="Q73" s="20" t="n">
        <v>0.639985529269145</v>
      </c>
      <c r="R73" s="20" t="n">
        <v>0.614546066071358</v>
      </c>
      <c r="S73" s="21" t="n">
        <v>10.5252322652774</v>
      </c>
      <c r="T73" s="20" t="n">
        <v>0.70197925317048</v>
      </c>
      <c r="U73" s="20" t="n">
        <v>0.591031167796861</v>
      </c>
      <c r="V73" s="21" t="n">
        <v>5.29767275490103</v>
      </c>
      <c r="W73" s="20" t="n">
        <v>0.766271957502544</v>
      </c>
      <c r="X73" s="20" t="n">
        <v>0.604135694880758</v>
      </c>
      <c r="Y73" s="19" t="s">
        <v>80</v>
      </c>
      <c r="Z73" s="20" t="n">
        <v>0.860569871748569</v>
      </c>
    </row>
    <row r="74" customFormat="false" ht="15" hidden="false" customHeight="false" outlineLevel="0" collapsed="false">
      <c r="A74" s="18" t="n">
        <v>73</v>
      </c>
      <c r="B74" s="18" t="s">
        <v>77</v>
      </c>
      <c r="C74" s="18" t="s">
        <v>83</v>
      </c>
      <c r="D74" s="19" t="s">
        <v>54</v>
      </c>
      <c r="E74" s="18" t="s">
        <v>75</v>
      </c>
      <c r="F74" s="20" t="n">
        <v>0.661764499713578</v>
      </c>
      <c r="G74" s="20" t="n">
        <v>0.205916025561594</v>
      </c>
      <c r="H74" s="20" t="n">
        <v>0.132319474724828</v>
      </c>
      <c r="I74" s="20" t="n">
        <f aca="false">F74+G74</f>
        <v>0.867680525275172</v>
      </c>
      <c r="J74" s="20" t="n">
        <f aca="false">F74+H74</f>
        <v>0.794083974438406</v>
      </c>
      <c r="K74" s="20" t="n">
        <f aca="false">G74+H74</f>
        <v>0.338235500286423</v>
      </c>
      <c r="L74" s="21" t="n">
        <v>2.65728379368933</v>
      </c>
      <c r="M74" s="20" t="n">
        <v>0.742341381195933</v>
      </c>
      <c r="N74" s="20" t="n">
        <v>0.495865253059697</v>
      </c>
      <c r="O74" s="20" t="n">
        <v>0.276521780529985</v>
      </c>
      <c r="P74" s="20" t="n">
        <v>0.438918074144141</v>
      </c>
      <c r="Q74" s="20" t="n">
        <v>0.654494602234422</v>
      </c>
      <c r="R74" s="20" t="n">
        <v>0.611537173355255</v>
      </c>
      <c r="S74" s="21" t="n">
        <v>11.9534560301326</v>
      </c>
      <c r="T74" s="20" t="n">
        <v>0.816521308268093</v>
      </c>
      <c r="U74" s="20" t="n">
        <v>0.728948119371647</v>
      </c>
      <c r="V74" s="21" t="n">
        <v>5.58298984287941</v>
      </c>
      <c r="W74" s="20" t="n">
        <v>0.799146799040523</v>
      </c>
      <c r="X74" s="20" t="n">
        <v>0.648162448808867</v>
      </c>
      <c r="Y74" s="19" t="s">
        <v>80</v>
      </c>
      <c r="Z74" s="20" t="n">
        <v>0.867680525275172</v>
      </c>
    </row>
    <row r="75" customFormat="false" ht="15" hidden="false" customHeight="false" outlineLevel="0" collapsed="false">
      <c r="A75" s="18" t="n">
        <v>74</v>
      </c>
      <c r="B75" s="18" t="s">
        <v>77</v>
      </c>
      <c r="C75" s="18" t="s">
        <v>84</v>
      </c>
      <c r="D75" s="19" t="s">
        <v>54</v>
      </c>
      <c r="E75" s="18" t="s">
        <v>75</v>
      </c>
      <c r="F75" s="20" t="n">
        <v>0.63159117064212</v>
      </c>
      <c r="G75" s="20" t="n">
        <v>0.22640729277741</v>
      </c>
      <c r="H75" s="20" t="n">
        <v>0.14200153658047</v>
      </c>
      <c r="I75" s="20" t="n">
        <f aca="false">F75+G75</f>
        <v>0.85799846341953</v>
      </c>
      <c r="J75" s="20" t="n">
        <f aca="false">F75+H75</f>
        <v>0.77359270722259</v>
      </c>
      <c r="K75" s="20" t="n">
        <f aca="false">G75+H75</f>
        <v>0.36840882935788</v>
      </c>
      <c r="L75" s="21" t="n">
        <v>2.42673954317875</v>
      </c>
      <c r="M75" s="20" t="n">
        <v>0.696106950933686</v>
      </c>
      <c r="N75" s="20" t="n">
        <v>0.437266039805861</v>
      </c>
      <c r="O75" s="20" t="n">
        <v>0.226887250273797</v>
      </c>
      <c r="P75" s="20" t="n">
        <v>0.406249530445393</v>
      </c>
      <c r="Q75" s="20" t="n">
        <v>0.686022729923154</v>
      </c>
      <c r="R75" s="20" t="n">
        <v>0.59685449772634</v>
      </c>
      <c r="S75" s="21" t="n">
        <v>10.9453081227564</v>
      </c>
      <c r="T75" s="20" t="n">
        <v>0.74000367122085</v>
      </c>
      <c r="U75" s="20" t="n">
        <v>0.635222283924683</v>
      </c>
      <c r="V75" s="21" t="n">
        <v>4.85524984192949</v>
      </c>
      <c r="W75" s="20" t="n">
        <v>0.706952360936069</v>
      </c>
      <c r="X75" s="20" t="n">
        <v>0.529781770636889</v>
      </c>
      <c r="Y75" s="19" t="s">
        <v>80</v>
      </c>
      <c r="Z75" s="20" t="n">
        <v>0.85799846341953</v>
      </c>
    </row>
    <row r="76" customFormat="false" ht="15" hidden="false" customHeight="false" outlineLevel="0" collapsed="false">
      <c r="A76" s="18" t="n">
        <v>75</v>
      </c>
      <c r="B76" s="18" t="s">
        <v>77</v>
      </c>
      <c r="C76" s="18" t="s">
        <v>85</v>
      </c>
      <c r="D76" s="19" t="s">
        <v>54</v>
      </c>
      <c r="E76" s="18" t="s">
        <v>93</v>
      </c>
      <c r="F76" s="20" t="n">
        <v>0.766284499267028</v>
      </c>
      <c r="G76" s="20" t="n">
        <v>0.150542257692616</v>
      </c>
      <c r="H76" s="20" t="n">
        <v>0.0831732430403562</v>
      </c>
      <c r="I76" s="20" t="n">
        <f aca="false">F76+G76</f>
        <v>0.916826756959643</v>
      </c>
      <c r="J76" s="20" t="n">
        <f aca="false">F76+H76</f>
        <v>0.849457742307384</v>
      </c>
      <c r="K76" s="20" t="n">
        <f aca="false">G76+H76</f>
        <v>0.233715500732972</v>
      </c>
      <c r="L76" s="21" t="n">
        <v>3.12997718506213</v>
      </c>
      <c r="M76" s="20" t="n">
        <v>0.81864572848337</v>
      </c>
      <c r="N76" s="20" t="n">
        <v>0.605369542372554</v>
      </c>
      <c r="O76" s="20" t="n">
        <v>0.38193261084985</v>
      </c>
      <c r="P76" s="20" t="n">
        <v>0.447760686849764</v>
      </c>
      <c r="Q76" s="20" t="n">
        <v>0.575217030829068</v>
      </c>
      <c r="R76" s="20" t="n">
        <v>0.611577110212535</v>
      </c>
      <c r="S76" s="21" t="n">
        <v>11.7481042850753</v>
      </c>
      <c r="T76" s="20" t="n">
        <v>0.802576788712554</v>
      </c>
      <c r="U76" s="20" t="n">
        <v>0.711341945078331</v>
      </c>
      <c r="V76" s="21" t="n">
        <v>6.01470380931423</v>
      </c>
      <c r="W76" s="20" t="n">
        <v>0.841519471189695</v>
      </c>
      <c r="X76" s="20" t="n">
        <v>0.708385676736845</v>
      </c>
      <c r="Y76" s="19" t="s">
        <v>80</v>
      </c>
      <c r="Z76" s="20" t="n">
        <v>0.916826756959643</v>
      </c>
    </row>
    <row r="77" customFormat="false" ht="15" hidden="false" customHeight="false" outlineLevel="0" collapsed="false">
      <c r="A77" s="18" t="n">
        <v>76</v>
      </c>
      <c r="B77" s="18" t="s">
        <v>77</v>
      </c>
      <c r="C77" s="18" t="s">
        <v>89</v>
      </c>
      <c r="D77" s="19" t="s">
        <v>54</v>
      </c>
      <c r="E77" s="18" t="s">
        <v>78</v>
      </c>
      <c r="F77" s="20" t="n">
        <v>0.472840254933894</v>
      </c>
      <c r="G77" s="20" t="n">
        <v>0.259237381684227</v>
      </c>
      <c r="H77" s="20" t="n">
        <v>0.267922363381879</v>
      </c>
      <c r="I77" s="20" t="n">
        <f aca="false">F77+G77</f>
        <v>0.732077636618121</v>
      </c>
      <c r="J77" s="20" t="n">
        <f aca="false">F77+H77</f>
        <v>0.740762618315773</v>
      </c>
      <c r="K77" s="20" t="n">
        <f aca="false">G77+H77</f>
        <v>0.527159745066105</v>
      </c>
      <c r="L77" s="21" t="n">
        <v>2.50319753705225</v>
      </c>
      <c r="M77" s="20" t="n">
        <v>0.711898568986548</v>
      </c>
      <c r="N77" s="20" t="n">
        <v>0.457007738244829</v>
      </c>
      <c r="O77" s="20" t="n">
        <v>0.243108209018052</v>
      </c>
      <c r="P77" s="20" t="n">
        <v>0.49476544140954</v>
      </c>
      <c r="Q77" s="20" t="n">
        <v>0.676529439583001</v>
      </c>
      <c r="R77" s="20" t="n">
        <v>0.602648793605207</v>
      </c>
      <c r="S77" s="21" t="n">
        <v>10.5578256473153</v>
      </c>
      <c r="T77" s="20" t="n">
        <v>0.705060432703891</v>
      </c>
      <c r="U77" s="20" t="n">
        <v>0.594558409303</v>
      </c>
      <c r="V77" s="21" t="n">
        <v>5.45631825202114</v>
      </c>
      <c r="W77" s="20" t="n">
        <v>0.785052680828423</v>
      </c>
      <c r="X77" s="20" t="n">
        <v>0.629019660761983</v>
      </c>
      <c r="Y77" s="19" t="s">
        <v>76</v>
      </c>
      <c r="Z77" s="20" t="n">
        <v>0.810387873219712</v>
      </c>
    </row>
    <row r="78" customFormat="false" ht="15" hidden="false" customHeight="false" outlineLevel="0" collapsed="false">
      <c r="A78" s="18" t="n">
        <v>77</v>
      </c>
      <c r="B78" s="18" t="s">
        <v>77</v>
      </c>
      <c r="C78" s="18" t="s">
        <v>79</v>
      </c>
      <c r="D78" s="19" t="s">
        <v>54</v>
      </c>
      <c r="E78" s="18" t="s">
        <v>93</v>
      </c>
      <c r="F78" s="20" t="n">
        <v>0.770290783786222</v>
      </c>
      <c r="G78" s="20" t="n">
        <v>0.14852375044515</v>
      </c>
      <c r="H78" s="20" t="n">
        <v>0.081185465768628</v>
      </c>
      <c r="I78" s="20" t="n">
        <f aca="false">F78+G78</f>
        <v>0.918814534231372</v>
      </c>
      <c r="J78" s="20" t="n">
        <f aca="false">F78+H78</f>
        <v>0.851476249554851</v>
      </c>
      <c r="K78" s="20" t="n">
        <f aca="false">G78+H78</f>
        <v>0.229709216213778</v>
      </c>
      <c r="L78" s="21" t="n">
        <v>3.14205511113359</v>
      </c>
      <c r="M78" s="20" t="n">
        <v>0.820306063965283</v>
      </c>
      <c r="N78" s="20" t="n">
        <v>0.607955069493217</v>
      </c>
      <c r="O78" s="20" t="n">
        <v>0.384635055903891</v>
      </c>
      <c r="P78" s="20" t="n">
        <v>0.445792544492652</v>
      </c>
      <c r="Q78" s="20" t="n">
        <v>0.57302894801373</v>
      </c>
      <c r="R78" s="20" t="n">
        <v>0.611119467509732</v>
      </c>
      <c r="S78" s="21" t="n">
        <v>10.9584104081814</v>
      </c>
      <c r="T78" s="20" t="n">
        <v>0.741130765957815</v>
      </c>
      <c r="U78" s="20" t="n">
        <v>0.636554746194548</v>
      </c>
      <c r="V78" s="21" t="n">
        <v>5.41225199528248</v>
      </c>
      <c r="W78" s="20" t="n">
        <v>0.779963579638594</v>
      </c>
      <c r="X78" s="20" t="n">
        <v>0.622207895440067</v>
      </c>
      <c r="Y78" s="19" t="s">
        <v>80</v>
      </c>
      <c r="Z78" s="20" t="n">
        <v>0.918814534231372</v>
      </c>
    </row>
    <row r="79" customFormat="false" ht="15" hidden="false" customHeight="false" outlineLevel="0" collapsed="false">
      <c r="A79" s="18" t="n">
        <v>78</v>
      </c>
      <c r="B79" s="18" t="s">
        <v>79</v>
      </c>
      <c r="C79" s="18" t="s">
        <v>91</v>
      </c>
      <c r="D79" s="19" t="s">
        <v>56</v>
      </c>
      <c r="E79" s="18" t="s">
        <v>78</v>
      </c>
      <c r="F79" s="20" t="n">
        <v>0.315487972235046</v>
      </c>
      <c r="G79" s="20" t="n">
        <v>0.249894435047321</v>
      </c>
      <c r="H79" s="20" t="n">
        <v>0.434617592717633</v>
      </c>
      <c r="I79" s="20" t="n">
        <f aca="false">F79+G79</f>
        <v>0.565382407282367</v>
      </c>
      <c r="J79" s="20" t="n">
        <f aca="false">F79+H79</f>
        <v>0.750105564952679</v>
      </c>
      <c r="K79" s="20" t="n">
        <f aca="false">G79+H79</f>
        <v>0.684512027764954</v>
      </c>
      <c r="L79" s="21" t="n">
        <v>2.75468111347333</v>
      </c>
      <c r="M79" s="20" t="n">
        <v>0.759688236493</v>
      </c>
      <c r="N79" s="20" t="n">
        <v>0.519675369504936</v>
      </c>
      <c r="O79" s="20" t="n">
        <v>0.297998448923772</v>
      </c>
      <c r="P79" s="20" t="n">
        <v>0.553409569229142</v>
      </c>
      <c r="Q79" s="20" t="n">
        <v>0.639777598388487</v>
      </c>
      <c r="R79" s="20" t="n">
        <v>0.614352453991167</v>
      </c>
      <c r="S79" s="21" t="n">
        <v>10.0639452514816</v>
      </c>
      <c r="T79" s="20" t="n">
        <v>0.656045183620279</v>
      </c>
      <c r="U79" s="20" t="n">
        <v>0.539508532538913</v>
      </c>
      <c r="V79" s="21" t="n">
        <v>5.29379398531382</v>
      </c>
      <c r="W79" s="20" t="n">
        <v>0.765796728449879</v>
      </c>
      <c r="X79" s="20" t="n">
        <v>0.603514925417034</v>
      </c>
      <c r="Y79" s="19" t="s">
        <v>76</v>
      </c>
      <c r="Z79" s="20" t="n">
        <v>0.792440264810426</v>
      </c>
    </row>
    <row r="80" customFormat="false" ht="15" hidden="false" customHeight="false" outlineLevel="0" collapsed="false">
      <c r="A80" s="18" t="n">
        <v>79</v>
      </c>
      <c r="B80" s="18" t="s">
        <v>79</v>
      </c>
      <c r="C80" s="18" t="s">
        <v>83</v>
      </c>
      <c r="D80" s="19" t="s">
        <v>54</v>
      </c>
      <c r="E80" s="18" t="s">
        <v>78</v>
      </c>
      <c r="F80" s="20" t="n">
        <v>0.377280149274393</v>
      </c>
      <c r="G80" s="20" t="n">
        <v>0.255309996658155</v>
      </c>
      <c r="H80" s="20" t="n">
        <v>0.367409854067452</v>
      </c>
      <c r="I80" s="20" t="n">
        <f aca="false">F80+G80</f>
        <v>0.632590145932548</v>
      </c>
      <c r="J80" s="20" t="n">
        <f aca="false">F80+H80</f>
        <v>0.744690003341845</v>
      </c>
      <c r="K80" s="20" t="n">
        <f aca="false">G80+H80</f>
        <v>0.622719850725608</v>
      </c>
      <c r="L80" s="21" t="n">
        <v>2.69955802385597</v>
      </c>
      <c r="M80" s="20" t="n">
        <v>0.749821338309787</v>
      </c>
      <c r="N80" s="20" t="n">
        <v>0.50626798943668</v>
      </c>
      <c r="O80" s="20" t="n">
        <v>0.285810957498142</v>
      </c>
      <c r="P80" s="20" t="n">
        <v>0.547172390182232</v>
      </c>
      <c r="Q80" s="20" t="n">
        <v>0.648392714784873</v>
      </c>
      <c r="R80" s="20" t="n">
        <v>0.612794732149504</v>
      </c>
      <c r="S80" s="21" t="n">
        <v>11.9575334360271</v>
      </c>
      <c r="T80" s="20" t="n">
        <v>0.816789996648426</v>
      </c>
      <c r="U80" s="20" t="n">
        <v>0.729289869094868</v>
      </c>
      <c r="V80" s="21" t="n">
        <v>5.3394094371442</v>
      </c>
      <c r="W80" s="20" t="n">
        <v>0.771336694321199</v>
      </c>
      <c r="X80" s="20" t="n">
        <v>0.610778381643434</v>
      </c>
      <c r="Y80" s="19" t="s">
        <v>76</v>
      </c>
      <c r="Z80" s="20" t="n">
        <v>0.797177066122731</v>
      </c>
    </row>
    <row r="81" customFormat="false" ht="15" hidden="false" customHeight="false" outlineLevel="0" collapsed="false">
      <c r="A81" s="18" t="n">
        <v>80</v>
      </c>
      <c r="B81" s="18" t="s">
        <v>79</v>
      </c>
      <c r="C81" s="18" t="s">
        <v>92</v>
      </c>
      <c r="D81" s="19" t="s">
        <v>54</v>
      </c>
      <c r="E81" s="18" t="s">
        <v>78</v>
      </c>
      <c r="F81" s="20" t="n">
        <v>0.564030517973121</v>
      </c>
      <c r="G81" s="20" t="n">
        <v>0.221160150309844</v>
      </c>
      <c r="H81" s="20" t="n">
        <v>0.214809331717035</v>
      </c>
      <c r="I81" s="20" t="n">
        <f aca="false">F81+G81</f>
        <v>0.785190668282965</v>
      </c>
      <c r="J81" s="20" t="n">
        <f aca="false">F81+H81</f>
        <v>0.778839849690156</v>
      </c>
      <c r="K81" s="20" t="n">
        <f aca="false">G81+H81</f>
        <v>0.435969482026879</v>
      </c>
      <c r="L81" s="21" t="n">
        <v>2.96058587347899</v>
      </c>
      <c r="M81" s="20" t="n">
        <v>0.793659691646755</v>
      </c>
      <c r="N81" s="20" t="n">
        <v>0.567929871254082</v>
      </c>
      <c r="O81" s="20" t="n">
        <v>0.343945360008054</v>
      </c>
      <c r="P81" s="20" t="n">
        <v>0.557594923433604</v>
      </c>
      <c r="Q81" s="20" t="n">
        <v>0.605501290430943</v>
      </c>
      <c r="R81" s="20" t="n">
        <v>0.615498192627999</v>
      </c>
      <c r="S81" s="21" t="n">
        <v>10.9864926824723</v>
      </c>
      <c r="T81" s="20" t="n">
        <v>0.743534493255417</v>
      </c>
      <c r="U81" s="20" t="n">
        <v>0.639400940698684</v>
      </c>
      <c r="V81" s="21" t="n">
        <v>4.43649376151424</v>
      </c>
      <c r="W81" s="20" t="n">
        <v>0.641040070000699</v>
      </c>
      <c r="X81" s="20" t="n">
        <v>0.453821122496361</v>
      </c>
      <c r="Y81" s="19" t="s">
        <v>101</v>
      </c>
      <c r="Z81" s="20" t="n">
        <v>0.793659691646755</v>
      </c>
    </row>
    <row r="82" customFormat="false" ht="15" hidden="false" customHeight="false" outlineLevel="0" collapsed="false">
      <c r="A82" s="18" t="n">
        <v>81</v>
      </c>
      <c r="B82" s="18" t="s">
        <v>79</v>
      </c>
      <c r="C82" s="18" t="s">
        <v>84</v>
      </c>
      <c r="D82" s="19" t="s">
        <v>56</v>
      </c>
      <c r="E82" s="18" t="s">
        <v>78</v>
      </c>
      <c r="F82" s="20" t="n">
        <v>0.358165842035266</v>
      </c>
      <c r="G82" s="20" t="n">
        <v>0.26766886775378</v>
      </c>
      <c r="H82" s="20" t="n">
        <v>0.374165290210954</v>
      </c>
      <c r="I82" s="20" t="n">
        <f aca="false">F82+G82</f>
        <v>0.625834709789046</v>
      </c>
      <c r="J82" s="20" t="n">
        <f aca="false">F82+H82</f>
        <v>0.73233113224622</v>
      </c>
      <c r="K82" s="20" t="n">
        <f aca="false">G82+H82</f>
        <v>0.641834157964734</v>
      </c>
      <c r="L82" s="21" t="n">
        <v>2.48920153408991</v>
      </c>
      <c r="M82" s="20" t="n">
        <v>0.70897027197283</v>
      </c>
      <c r="N82" s="20" t="n">
        <v>0.45341429103273</v>
      </c>
      <c r="O82" s="20" t="n">
        <v>0.240118308590107</v>
      </c>
      <c r="P82" s="20" t="n">
        <v>0.505274516714766</v>
      </c>
      <c r="Q82" s="20" t="n">
        <v>0.678415010040547</v>
      </c>
      <c r="R82" s="20" t="n">
        <v>0.601586229750009</v>
      </c>
      <c r="S82" s="21" t="n">
        <v>10.4553067590914</v>
      </c>
      <c r="T82" s="20" t="n">
        <v>0.695295002961333</v>
      </c>
      <c r="U82" s="20" t="n">
        <v>0.583410757887991</v>
      </c>
      <c r="V82" s="21" t="n">
        <v>4.67704061165003</v>
      </c>
      <c r="W82" s="20" t="n">
        <v>0.680073210435613</v>
      </c>
      <c r="X82" s="20" t="n">
        <v>0.498014820465288</v>
      </c>
      <c r="Y82" s="19" t="s">
        <v>76</v>
      </c>
      <c r="Z82" s="20" t="n">
        <v>0.811149276407833</v>
      </c>
    </row>
    <row r="83" customFormat="false" ht="15" hidden="false" customHeight="false" outlineLevel="0" collapsed="false">
      <c r="A83" s="18" t="n">
        <v>82</v>
      </c>
      <c r="B83" s="18" t="s">
        <v>79</v>
      </c>
      <c r="C83" s="18" t="s">
        <v>97</v>
      </c>
      <c r="D83" s="19" t="s">
        <v>54</v>
      </c>
      <c r="E83" s="18" t="s">
        <v>78</v>
      </c>
      <c r="F83" s="20" t="n">
        <v>0.38071817580899</v>
      </c>
      <c r="G83" s="20" t="n">
        <v>0.251940433053161</v>
      </c>
      <c r="H83" s="20" t="n">
        <v>0.367341391137849</v>
      </c>
      <c r="I83" s="20" t="n">
        <f aca="false">F83+G83</f>
        <v>0.632658608862152</v>
      </c>
      <c r="J83" s="20" t="n">
        <f aca="false">F83+H83</f>
        <v>0.748059566946839</v>
      </c>
      <c r="K83" s="20" t="n">
        <f aca="false">G83+H83</f>
        <v>0.61928182419101</v>
      </c>
      <c r="L83" s="21" t="n">
        <v>2.76212234300787</v>
      </c>
      <c r="M83" s="20" t="n">
        <v>0.760979465588912</v>
      </c>
      <c r="N83" s="20" t="n">
        <v>0.521469668631917</v>
      </c>
      <c r="O83" s="20" t="n">
        <v>0.299648296144979</v>
      </c>
      <c r="P83" s="20" t="n">
        <v>0.55906624068683</v>
      </c>
      <c r="Q83" s="20" t="n">
        <v>0.638609099437907</v>
      </c>
      <c r="R83" s="20" t="n">
        <v>0.61450588072649</v>
      </c>
      <c r="S83" s="21" t="n">
        <v>10.6604113781401</v>
      </c>
      <c r="T83" s="20" t="n">
        <v>0.714614838796559</v>
      </c>
      <c r="U83" s="20" t="n">
        <v>0.605555058228443</v>
      </c>
      <c r="V83" s="21" t="n">
        <v>5.47534795063505</v>
      </c>
      <c r="W83" s="20" t="n">
        <v>0.787220431188985</v>
      </c>
      <c r="X83" s="20" t="n">
        <v>0.631937122874124</v>
      </c>
      <c r="Y83" s="19" t="s">
        <v>76</v>
      </c>
      <c r="Z83" s="20" t="n">
        <v>0.791783810720465</v>
      </c>
    </row>
    <row r="84" customFormat="false" ht="15" hidden="false" customHeight="false" outlineLevel="0" collapsed="false">
      <c r="A84" s="18" t="n">
        <v>83</v>
      </c>
      <c r="B84" s="18" t="s">
        <v>87</v>
      </c>
      <c r="C84" s="18" t="s">
        <v>88</v>
      </c>
      <c r="D84" s="19" t="s">
        <v>54</v>
      </c>
      <c r="E84" s="18" t="s">
        <v>78</v>
      </c>
      <c r="F84" s="20" t="n">
        <v>0.452673038785135</v>
      </c>
      <c r="G84" s="20" t="n">
        <v>0.250690833200746</v>
      </c>
      <c r="H84" s="20" t="n">
        <v>0.296636128014119</v>
      </c>
      <c r="I84" s="20" t="n">
        <f aca="false">F84+G84</f>
        <v>0.703363871985881</v>
      </c>
      <c r="J84" s="20" t="n">
        <f aca="false">F84+H84</f>
        <v>0.749309166799254</v>
      </c>
      <c r="K84" s="20" t="n">
        <f aca="false">G84+H84</f>
        <v>0.547326961214866</v>
      </c>
      <c r="L84" s="21" t="n">
        <v>2.70625491000414</v>
      </c>
      <c r="M84" s="20" t="n">
        <v>0.751059887868693</v>
      </c>
      <c r="N84" s="20" t="n">
        <v>0.507907788698148</v>
      </c>
      <c r="O84" s="20" t="n">
        <v>0.28728828781618</v>
      </c>
      <c r="P84" s="20" t="n">
        <v>0.541001846704999</v>
      </c>
      <c r="Q84" s="20" t="n">
        <v>0.647339157008063</v>
      </c>
      <c r="R84" s="20" t="n">
        <v>0.613035121232528</v>
      </c>
      <c r="S84" s="21" t="n">
        <v>10.4879446138313</v>
      </c>
      <c r="T84" s="20" t="n">
        <v>0.698427422353936</v>
      </c>
      <c r="U84" s="20" t="n">
        <v>0.586976537993729</v>
      </c>
      <c r="V84" s="21" t="n">
        <v>5.50934379178574</v>
      </c>
      <c r="W84" s="20" t="n">
        <v>0.791048414401156</v>
      </c>
      <c r="X84" s="20" t="n">
        <v>0.637112557580427</v>
      </c>
      <c r="Y84" s="19" t="s">
        <v>76</v>
      </c>
      <c r="Z84" s="20" t="n">
        <v>0.796602678188079</v>
      </c>
    </row>
    <row r="85" customFormat="false" ht="15" hidden="false" customHeight="false" outlineLevel="0" collapsed="false">
      <c r="A85" s="18" t="n">
        <v>84</v>
      </c>
      <c r="B85" s="18" t="s">
        <v>87</v>
      </c>
      <c r="C85" s="18" t="s">
        <v>91</v>
      </c>
      <c r="D85" s="19" t="s">
        <v>54</v>
      </c>
      <c r="E85" s="18" t="s">
        <v>78</v>
      </c>
      <c r="F85" s="20" t="n">
        <v>0.399649821232921</v>
      </c>
      <c r="G85" s="20" t="n">
        <v>0.259920418305521</v>
      </c>
      <c r="H85" s="20" t="n">
        <v>0.340429760461558</v>
      </c>
      <c r="I85" s="20" t="n">
        <f aca="false">F85+G85</f>
        <v>0.659570239538442</v>
      </c>
      <c r="J85" s="20" t="n">
        <f aca="false">F85+H85</f>
        <v>0.740079581694479</v>
      </c>
      <c r="K85" s="20" t="n">
        <f aca="false">G85+H85</f>
        <v>0.600350178767079</v>
      </c>
      <c r="L85" s="21" t="n">
        <v>2.60724706417383</v>
      </c>
      <c r="M85" s="20" t="n">
        <v>0.732543643130822</v>
      </c>
      <c r="N85" s="20" t="n">
        <v>0.483388837144528</v>
      </c>
      <c r="O85" s="20" t="n">
        <v>0.265576421491937</v>
      </c>
      <c r="P85" s="20" t="n">
        <v>0.528088482207427</v>
      </c>
      <c r="Q85" s="20" t="n">
        <v>0.662154870267888</v>
      </c>
      <c r="R85" s="20" t="n">
        <v>0.608940082424423</v>
      </c>
      <c r="S85" s="21" t="n">
        <v>10.1622376771856</v>
      </c>
      <c r="T85" s="20" t="n">
        <v>0.666193102674682</v>
      </c>
      <c r="U85" s="20" t="n">
        <v>0.550723825224587</v>
      </c>
      <c r="V85" s="21" t="n">
        <v>5.72366315483567</v>
      </c>
      <c r="W85" s="20" t="n">
        <v>0.813892067433292</v>
      </c>
      <c r="X85" s="20" t="n">
        <v>0.668645998249648</v>
      </c>
      <c r="Y85" s="19" t="s">
        <v>76</v>
      </c>
      <c r="Z85" s="20" t="n">
        <v>0.804127731053426</v>
      </c>
    </row>
    <row r="86" customFormat="false" ht="15" hidden="false" customHeight="false" outlineLevel="0" collapsed="false">
      <c r="A86" s="18" t="n">
        <v>85</v>
      </c>
      <c r="B86" s="18" t="s">
        <v>87</v>
      </c>
      <c r="C86" s="18" t="s">
        <v>89</v>
      </c>
      <c r="D86" s="19" t="s">
        <v>56</v>
      </c>
      <c r="E86" s="18" t="s">
        <v>78</v>
      </c>
      <c r="F86" s="20" t="n">
        <v>0.274557353862132</v>
      </c>
      <c r="G86" s="20" t="n">
        <v>0.247493001913276</v>
      </c>
      <c r="H86" s="20" t="n">
        <v>0.477949644224592</v>
      </c>
      <c r="I86" s="20" t="n">
        <f aca="false">F86+G86</f>
        <v>0.522050355775408</v>
      </c>
      <c r="J86" s="20" t="n">
        <f aca="false">F86+H86</f>
        <v>0.752506998086724</v>
      </c>
      <c r="K86" s="20" t="n">
        <f aca="false">G86+H86</f>
        <v>0.725442646137868</v>
      </c>
      <c r="L86" s="21" t="n">
        <v>2.70985893209878</v>
      </c>
      <c r="M86" s="20" t="n">
        <v>0.751728308203922</v>
      </c>
      <c r="N86" s="20" t="n">
        <v>0.508789222653078</v>
      </c>
      <c r="O86" s="20" t="n">
        <v>0.288083884143802</v>
      </c>
      <c r="P86" s="20" t="n">
        <v>0.536357668838902</v>
      </c>
      <c r="Q86" s="20" t="n">
        <v>0.646766535621365</v>
      </c>
      <c r="R86" s="20" t="n">
        <v>0.613164999918697</v>
      </c>
      <c r="S86" s="21" t="n">
        <v>10.6589444244475</v>
      </c>
      <c r="T86" s="20" t="n">
        <v>0.714479749385983</v>
      </c>
      <c r="U86" s="20" t="n">
        <v>0.605398949210492</v>
      </c>
      <c r="V86" s="21" t="n">
        <v>5.72072123268064</v>
      </c>
      <c r="W86" s="20" t="n">
        <v>0.81359324433388</v>
      </c>
      <c r="X86" s="20" t="n">
        <v>0.668226071782555</v>
      </c>
      <c r="Y86" s="19" t="s">
        <v>76</v>
      </c>
      <c r="Z86" s="20" t="n">
        <v>0.796287111479944</v>
      </c>
    </row>
    <row r="87" customFormat="false" ht="15" hidden="false" customHeight="false" outlineLevel="0" collapsed="false">
      <c r="A87" s="18" t="n">
        <v>86</v>
      </c>
      <c r="B87" s="18" t="s">
        <v>87</v>
      </c>
      <c r="C87" s="18" t="s">
        <v>97</v>
      </c>
      <c r="D87" s="19" t="s">
        <v>54</v>
      </c>
      <c r="E87" s="18" t="s">
        <v>78</v>
      </c>
      <c r="F87" s="20" t="n">
        <v>0.467958923516958</v>
      </c>
      <c r="G87" s="20" t="n">
        <v>0.251622884044523</v>
      </c>
      <c r="H87" s="20" t="n">
        <v>0.28041819243852</v>
      </c>
      <c r="I87" s="20" t="n">
        <f aca="false">F87+G87</f>
        <v>0.71958180756148</v>
      </c>
      <c r="J87" s="20" t="n">
        <f aca="false">F87+H87</f>
        <v>0.748377115955477</v>
      </c>
      <c r="K87" s="20" t="n">
        <f aca="false">G87+H87</f>
        <v>0.532041076483043</v>
      </c>
      <c r="L87" s="21" t="n">
        <v>2.65424128520837</v>
      </c>
      <c r="M87" s="20" t="n">
        <v>0.741496020420697</v>
      </c>
      <c r="N87" s="20" t="n">
        <v>0.495101926078863</v>
      </c>
      <c r="O87" s="20" t="n">
        <v>0.2758475382803</v>
      </c>
      <c r="P87" s="20" t="n">
        <v>0.527447006264652</v>
      </c>
      <c r="Q87" s="20" t="n">
        <v>0.655221855631736</v>
      </c>
      <c r="R87" s="20" t="n">
        <v>0.611137364677023</v>
      </c>
      <c r="S87" s="21" t="n">
        <v>10.7597969059739</v>
      </c>
      <c r="T87" s="20" t="n">
        <v>0.723663099247687</v>
      </c>
      <c r="U87" s="20" t="n">
        <v>0.616052747307466</v>
      </c>
      <c r="V87" s="21" t="n">
        <v>5.92272938755742</v>
      </c>
      <c r="W87" s="20" t="n">
        <v>0.833194366356164</v>
      </c>
      <c r="X87" s="20" t="n">
        <v>0.696214105525942</v>
      </c>
      <c r="Y87" s="19" t="s">
        <v>76</v>
      </c>
      <c r="Z87" s="20" t="n">
        <v>0.800710738168361</v>
      </c>
    </row>
    <row r="88" customFormat="false" ht="15" hidden="false" customHeight="false" outlineLevel="0" collapsed="false">
      <c r="A88" s="18" t="n">
        <v>87</v>
      </c>
      <c r="B88" s="18" t="s">
        <v>87</v>
      </c>
      <c r="C88" s="18" t="s">
        <v>77</v>
      </c>
      <c r="D88" s="19" t="s">
        <v>56</v>
      </c>
      <c r="E88" s="18" t="s">
        <v>78</v>
      </c>
      <c r="F88" s="20" t="n">
        <v>0.269291234031585</v>
      </c>
      <c r="G88" s="20" t="n">
        <v>0.261058765675232</v>
      </c>
      <c r="H88" s="20" t="n">
        <v>0.469650000293183</v>
      </c>
      <c r="I88" s="20" t="n">
        <f aca="false">F88+G88</f>
        <v>0.530349999706817</v>
      </c>
      <c r="J88" s="20" t="n">
        <f aca="false">F88+H88</f>
        <v>0.738941234324768</v>
      </c>
      <c r="K88" s="20" t="n">
        <f aca="false">G88+H88</f>
        <v>0.730708765968416</v>
      </c>
      <c r="L88" s="21" t="n">
        <v>2.4793369072593</v>
      </c>
      <c r="M88" s="20" t="n">
        <v>0.706967833684001</v>
      </c>
      <c r="N88" s="20" t="n">
        <v>0.450876436744286</v>
      </c>
      <c r="O88" s="20" t="n">
        <v>0.238016664797945</v>
      </c>
      <c r="P88" s="20" t="n">
        <v>0.490426497242812</v>
      </c>
      <c r="Q88" s="20" t="n">
        <v>0.679653574853087</v>
      </c>
      <c r="R88" s="20" t="n">
        <v>0.600889154120035</v>
      </c>
      <c r="S88" s="21" t="n">
        <v>10.3297731406171</v>
      </c>
      <c r="T88" s="20" t="n">
        <v>0.68304325539008</v>
      </c>
      <c r="U88" s="20" t="n">
        <v>0.569553552521554</v>
      </c>
      <c r="V88" s="21" t="n">
        <v>5.77398790032851</v>
      </c>
      <c r="W88" s="20" t="n">
        <v>0.818941701105522</v>
      </c>
      <c r="X88" s="20" t="n">
        <v>0.675773050406308</v>
      </c>
      <c r="Y88" s="19" t="s">
        <v>76</v>
      </c>
      <c r="Z88" s="20" t="n">
        <v>0.811591560087066</v>
      </c>
    </row>
    <row r="89" customFormat="false" ht="15" hidden="false" customHeight="false" outlineLevel="0" collapsed="false">
      <c r="A89" s="18" t="n">
        <v>88</v>
      </c>
      <c r="B89" s="18" t="s">
        <v>81</v>
      </c>
      <c r="C89" s="18" t="s">
        <v>84</v>
      </c>
      <c r="D89" s="19" t="s">
        <v>54</v>
      </c>
      <c r="E89" s="18" t="s">
        <v>75</v>
      </c>
      <c r="F89" s="20" t="n">
        <v>0.462671613359736</v>
      </c>
      <c r="G89" s="20" t="n">
        <v>0.283663484857175</v>
      </c>
      <c r="H89" s="20" t="n">
        <v>0.253664901783089</v>
      </c>
      <c r="I89" s="20" t="n">
        <f aca="false">F89+G89</f>
        <v>0.746335098216911</v>
      </c>
      <c r="J89" s="20" t="n">
        <f aca="false">F89+H89</f>
        <v>0.716336515142825</v>
      </c>
      <c r="K89" s="20" t="n">
        <f aca="false">G89+H89</f>
        <v>0.537328386640264</v>
      </c>
      <c r="L89" s="21" t="n">
        <v>2.15268551101328</v>
      </c>
      <c r="M89" s="20" t="n">
        <v>0.632225165434741</v>
      </c>
      <c r="N89" s="20" t="n">
        <v>0.364574078032196</v>
      </c>
      <c r="O89" s="20" t="n">
        <v>0.171425579880949</v>
      </c>
      <c r="P89" s="20" t="n">
        <v>0.418258926774453</v>
      </c>
      <c r="Q89" s="20" t="n">
        <v>0.713924864310299</v>
      </c>
      <c r="R89" s="20" t="n">
        <v>0.564746637616404</v>
      </c>
      <c r="S89" s="21" t="n">
        <v>10.2453605377084</v>
      </c>
      <c r="T89" s="20" t="n">
        <v>0.674624176409485</v>
      </c>
      <c r="U89" s="20" t="n">
        <v>0.560112720203285</v>
      </c>
      <c r="V89" s="21" t="n">
        <v>5.19624354268512</v>
      </c>
      <c r="W89" s="20" t="n">
        <v>0.753588565622306</v>
      </c>
      <c r="X89" s="20" t="n">
        <v>0.587713390283449</v>
      </c>
      <c r="Y89" s="19" t="s">
        <v>100</v>
      </c>
      <c r="Z89" s="20" t="n">
        <v>0.828574420119051</v>
      </c>
    </row>
    <row r="90" customFormat="false" ht="15" hidden="false" customHeight="false" outlineLevel="0" collapsed="false">
      <c r="A90" s="18" t="n">
        <v>89</v>
      </c>
      <c r="B90" s="18" t="s">
        <v>81</v>
      </c>
      <c r="C90" s="18" t="s">
        <v>94</v>
      </c>
      <c r="D90" s="19" t="s">
        <v>54</v>
      </c>
      <c r="E90" s="18" t="s">
        <v>75</v>
      </c>
      <c r="F90" s="20" t="n">
        <v>0.43460291668005</v>
      </c>
      <c r="G90" s="20" t="n">
        <v>0.281465074144889</v>
      </c>
      <c r="H90" s="20" t="n">
        <v>0.283932009175062</v>
      </c>
      <c r="I90" s="20" t="n">
        <f aca="false">F90+G90</f>
        <v>0.716067990824938</v>
      </c>
      <c r="J90" s="20" t="n">
        <f aca="false">F90+H90</f>
        <v>0.718534925855111</v>
      </c>
      <c r="K90" s="20" t="n">
        <f aca="false">G90+H90</f>
        <v>0.56539708331995</v>
      </c>
      <c r="L90" s="21" t="n">
        <v>2.23138948258918</v>
      </c>
      <c r="M90" s="20" t="n">
        <v>0.651475373367409</v>
      </c>
      <c r="N90" s="20" t="n">
        <v>0.38569080586405</v>
      </c>
      <c r="O90" s="20" t="n">
        <v>0.18685482681029</v>
      </c>
      <c r="P90" s="20" t="n">
        <v>0.442958602803409</v>
      </c>
      <c r="Q90" s="20" t="n">
        <v>0.70730723607459</v>
      </c>
      <c r="R90" s="20" t="n">
        <v>0.575540730239827</v>
      </c>
      <c r="S90" s="21" t="n">
        <v>10.0835582248057</v>
      </c>
      <c r="T90" s="20" t="n">
        <v>0.658085381268623</v>
      </c>
      <c r="U90" s="20" t="n">
        <v>0.541755886741576</v>
      </c>
      <c r="V90" s="21" t="n">
        <v>6.07314306557324</v>
      </c>
      <c r="W90" s="20" t="n">
        <v>0.846621422339219</v>
      </c>
      <c r="X90" s="20" t="n">
        <v>0.715933314821298</v>
      </c>
      <c r="Y90" s="19" t="s">
        <v>76</v>
      </c>
      <c r="Z90" s="20" t="n">
        <v>0.818227419757298</v>
      </c>
    </row>
    <row r="91" customFormat="false" ht="15" hidden="false" customHeight="false" outlineLevel="0" collapsed="false">
      <c r="A91" s="18" t="n">
        <v>90</v>
      </c>
      <c r="B91" s="18" t="s">
        <v>81</v>
      </c>
      <c r="C91" s="18" t="s">
        <v>79</v>
      </c>
      <c r="D91" s="19" t="s">
        <v>54</v>
      </c>
      <c r="E91" s="18" t="s">
        <v>75</v>
      </c>
      <c r="F91" s="20" t="n">
        <v>0.602922415323591</v>
      </c>
      <c r="G91" s="20" t="n">
        <v>0.223455538268462</v>
      </c>
      <c r="H91" s="20" t="n">
        <v>0.173622046407947</v>
      </c>
      <c r="I91" s="20" t="n">
        <f aca="false">F91+G91</f>
        <v>0.826377953592053</v>
      </c>
      <c r="J91" s="20" t="n">
        <f aca="false">F91+H91</f>
        <v>0.776544461731538</v>
      </c>
      <c r="K91" s="20" t="n">
        <f aca="false">G91+H91</f>
        <v>0.39707758467641</v>
      </c>
      <c r="L91" s="21" t="n">
        <v>2.67261032705449</v>
      </c>
      <c r="M91" s="20" t="n">
        <v>0.745071409787627</v>
      </c>
      <c r="N91" s="20" t="n">
        <v>0.499648586698491</v>
      </c>
      <c r="O91" s="20" t="n">
        <v>0.279883367270595</v>
      </c>
      <c r="P91" s="20" t="n">
        <v>0.47995223338206</v>
      </c>
      <c r="Q91" s="20" t="n">
        <v>0.652307175638901</v>
      </c>
      <c r="R91" s="20" t="n">
        <v>0.612026507286573</v>
      </c>
      <c r="S91" s="21" t="n">
        <v>10.3032500839812</v>
      </c>
      <c r="T91" s="20" t="n">
        <v>0.680413499810673</v>
      </c>
      <c r="U91" s="20" t="n">
        <v>0.566597580944506</v>
      </c>
      <c r="V91" s="21" t="n">
        <v>5.77492470814029</v>
      </c>
      <c r="W91" s="20" t="n">
        <v>0.819034595289793</v>
      </c>
      <c r="X91" s="20" t="n">
        <v>0.675904713314156</v>
      </c>
      <c r="Y91" s="19" t="s">
        <v>80</v>
      </c>
      <c r="Z91" s="20" t="n">
        <v>0.826377953592053</v>
      </c>
    </row>
    <row r="92" customFormat="false" ht="15" hidden="false" customHeight="false" outlineLevel="0" collapsed="false">
      <c r="A92" s="18" t="n">
        <v>91</v>
      </c>
      <c r="B92" s="18" t="s">
        <v>81</v>
      </c>
      <c r="C92" s="18" t="s">
        <v>87</v>
      </c>
      <c r="D92" s="19" t="s">
        <v>54</v>
      </c>
      <c r="E92" s="18" t="s">
        <v>75</v>
      </c>
      <c r="F92" s="20" t="n">
        <v>0.503638893384442</v>
      </c>
      <c r="G92" s="20" t="n">
        <v>0.258438234314728</v>
      </c>
      <c r="H92" s="20" t="n">
        <v>0.237922872300829</v>
      </c>
      <c r="I92" s="20" t="n">
        <f aca="false">F92+G92</f>
        <v>0.762077127699171</v>
      </c>
      <c r="J92" s="20" t="n">
        <f aca="false">F92+H92</f>
        <v>0.741561765685272</v>
      </c>
      <c r="K92" s="20" t="n">
        <f aca="false">G92+H92</f>
        <v>0.496361106615558</v>
      </c>
      <c r="L92" s="21" t="n">
        <v>2.43225779465202</v>
      </c>
      <c r="M92" s="20" t="n">
        <v>0.697071938301797</v>
      </c>
      <c r="N92" s="20" t="n">
        <v>0.43869710859524</v>
      </c>
      <c r="O92" s="20" t="n">
        <v>0.228046757988991</v>
      </c>
      <c r="P92" s="20" t="n">
        <v>0.470377121587554</v>
      </c>
      <c r="Q92" s="20" t="n">
        <v>0.685560731059584</v>
      </c>
      <c r="R92" s="20" t="n">
        <v>0.597114444438287</v>
      </c>
      <c r="S92" s="21" t="n">
        <v>10.3848848199338</v>
      </c>
      <c r="T92" s="20" t="n">
        <v>0.688461719445413</v>
      </c>
      <c r="U92" s="20" t="n">
        <v>0.575664567909864</v>
      </c>
      <c r="V92" s="21" t="n">
        <v>6.2240354112604</v>
      </c>
      <c r="W92" s="20" t="n">
        <v>0.859142654737292</v>
      </c>
      <c r="X92" s="20" t="n">
        <v>0.734755079894967</v>
      </c>
      <c r="Y92" s="19" t="s">
        <v>76</v>
      </c>
      <c r="Z92" s="20" t="n">
        <v>0.813649995185065</v>
      </c>
    </row>
    <row r="93" customFormat="false" ht="15" hidden="false" customHeight="false" outlineLevel="0" collapsed="false">
      <c r="A93" s="18" t="n">
        <v>92</v>
      </c>
      <c r="B93" s="18" t="s">
        <v>81</v>
      </c>
      <c r="C93" s="18" t="s">
        <v>82</v>
      </c>
      <c r="D93" s="19" t="s">
        <v>54</v>
      </c>
      <c r="E93" s="18" t="s">
        <v>75</v>
      </c>
      <c r="F93" s="20" t="n">
        <v>0.543637274095709</v>
      </c>
      <c r="G93" s="20" t="n">
        <v>0.242975950374775</v>
      </c>
      <c r="H93" s="20" t="n">
        <v>0.213386775529516</v>
      </c>
      <c r="I93" s="20" t="n">
        <f aca="false">F93+G93</f>
        <v>0.786613224470484</v>
      </c>
      <c r="J93" s="20" t="n">
        <f aca="false">F93+H93</f>
        <v>0.757024049625225</v>
      </c>
      <c r="K93" s="20" t="n">
        <f aca="false">G93+H93</f>
        <v>0.456362725904291</v>
      </c>
      <c r="L93" s="21" t="n">
        <v>2.57003934336465</v>
      </c>
      <c r="M93" s="20" t="n">
        <v>0.725409109098347</v>
      </c>
      <c r="N93" s="20" t="n">
        <v>0.474025729061622</v>
      </c>
      <c r="O93" s="20" t="n">
        <v>0.257496936535539</v>
      </c>
      <c r="P93" s="20" t="n">
        <v>0.485956331360988</v>
      </c>
      <c r="Q93" s="20" t="n">
        <v>0.667340248025301</v>
      </c>
      <c r="R93" s="20" t="n">
        <v>0.607034735208725</v>
      </c>
      <c r="S93" s="21" t="n">
        <v>10.0834689361501</v>
      </c>
      <c r="T93" s="20" t="n">
        <v>0.658076110440591</v>
      </c>
      <c r="U93" s="20" t="n">
        <v>0.541745666150218</v>
      </c>
      <c r="V93" s="21" t="n">
        <v>5.84095930793751</v>
      </c>
      <c r="W93" s="20" t="n">
        <v>0.825481902482147</v>
      </c>
      <c r="X93" s="20" t="n">
        <v>0.685092336882546</v>
      </c>
      <c r="Y93" s="19" t="s">
        <v>76</v>
      </c>
      <c r="Z93" s="20" t="n">
        <v>0.806462810671217</v>
      </c>
    </row>
    <row r="94" customFormat="false" ht="15" hidden="false" customHeight="false" outlineLevel="0" collapsed="false">
      <c r="A94" s="18" t="n">
        <v>93</v>
      </c>
      <c r="B94" s="18" t="s">
        <v>81</v>
      </c>
      <c r="C94" s="18" t="s">
        <v>98</v>
      </c>
      <c r="D94" s="19" t="s">
        <v>54</v>
      </c>
      <c r="E94" s="18" t="s">
        <v>75</v>
      </c>
      <c r="F94" s="20" t="n">
        <v>0.560354063671756</v>
      </c>
      <c r="G94" s="20" t="n">
        <v>0.252012206393277</v>
      </c>
      <c r="H94" s="20" t="n">
        <v>0.187633729934967</v>
      </c>
      <c r="I94" s="20" t="n">
        <f aca="false">F94+G94</f>
        <v>0.812366270065033</v>
      </c>
      <c r="J94" s="20" t="n">
        <f aca="false">F94+H94</f>
        <v>0.747987793606723</v>
      </c>
      <c r="K94" s="20" t="n">
        <f aca="false">G94+H94</f>
        <v>0.439645936328245</v>
      </c>
      <c r="L94" s="21" t="n">
        <v>2.3333808062897</v>
      </c>
      <c r="M94" s="20" t="n">
        <v>0.675395405216618</v>
      </c>
      <c r="N94" s="20" t="n">
        <v>0.412794928246641</v>
      </c>
      <c r="O94" s="20" t="n">
        <v>0.207474345999895</v>
      </c>
      <c r="P94" s="20" t="n">
        <v>0.424801018335001</v>
      </c>
      <c r="Q94" s="20" t="n">
        <v>0.696935848605755</v>
      </c>
      <c r="R94" s="20" t="n">
        <v>0.587694224323411</v>
      </c>
      <c r="S94" s="21" t="n">
        <v>10.024517560869</v>
      </c>
      <c r="T94" s="20" t="n">
        <v>0.651920857447176</v>
      </c>
      <c r="U94" s="20" t="n">
        <v>0.534976775678928</v>
      </c>
      <c r="V94" s="21" t="n">
        <v>6.26708325234487</v>
      </c>
      <c r="W94" s="20" t="n">
        <v>0.862547408511214</v>
      </c>
      <c r="X94" s="20" t="n">
        <v>0.73994932622695</v>
      </c>
      <c r="Y94" s="19" t="s">
        <v>76</v>
      </c>
      <c r="Z94" s="20" t="n">
        <v>0.816709013712443</v>
      </c>
    </row>
    <row r="95" customFormat="false" ht="15" hidden="false" customHeight="false" outlineLevel="0" collapsed="false">
      <c r="A95" s="18" t="n">
        <v>94</v>
      </c>
      <c r="B95" s="18" t="s">
        <v>82</v>
      </c>
      <c r="C95" s="18" t="s">
        <v>84</v>
      </c>
      <c r="D95" s="19" t="s">
        <v>54</v>
      </c>
      <c r="E95" s="18" t="s">
        <v>78</v>
      </c>
      <c r="F95" s="20" t="n">
        <v>0.412156902484691</v>
      </c>
      <c r="G95" s="20" t="n">
        <v>0.267311110721739</v>
      </c>
      <c r="H95" s="20" t="n">
        <v>0.32053198679357</v>
      </c>
      <c r="I95" s="20" t="n">
        <f aca="false">F95+G95</f>
        <v>0.67946801320643</v>
      </c>
      <c r="J95" s="20" t="n">
        <f aca="false">F95+H95</f>
        <v>0.732688889278261</v>
      </c>
      <c r="K95" s="20" t="n">
        <f aca="false">G95+H95</f>
        <v>0.587843097515309</v>
      </c>
      <c r="L95" s="21" t="n">
        <v>2.47173979572159</v>
      </c>
      <c r="M95" s="20" t="n">
        <v>0.705348541338864</v>
      </c>
      <c r="N95" s="20" t="n">
        <v>0.448917905296588</v>
      </c>
      <c r="O95" s="20" t="n">
        <v>0.236400585897143</v>
      </c>
      <c r="P95" s="20" t="n">
        <v>0.499099930854435</v>
      </c>
      <c r="Q95" s="20" t="n">
        <v>0.680667411178072</v>
      </c>
      <c r="R95" s="20" t="n">
        <v>0.600269944434563</v>
      </c>
      <c r="S95" s="21" t="n">
        <v>10.4139151064982</v>
      </c>
      <c r="T95" s="20" t="n">
        <v>0.691290948498904</v>
      </c>
      <c r="U95" s="20" t="n">
        <v>0.578866398433271</v>
      </c>
      <c r="V95" s="21" t="n">
        <v>4.72007974146773</v>
      </c>
      <c r="W95" s="20" t="n">
        <v>0.686723871611025</v>
      </c>
      <c r="X95" s="20" t="n">
        <v>0.505770272911823</v>
      </c>
      <c r="Y95" s="19" t="s">
        <v>76</v>
      </c>
      <c r="Z95" s="20" t="n">
        <v>0.811989400170914</v>
      </c>
    </row>
    <row r="96" customFormat="false" ht="15" hidden="false" customHeight="false" outlineLevel="0" collapsed="false">
      <c r="A96" s="18" t="n">
        <v>95</v>
      </c>
      <c r="B96" s="18" t="s">
        <v>82</v>
      </c>
      <c r="C96" s="18" t="s">
        <v>89</v>
      </c>
      <c r="D96" s="19" t="s">
        <v>56</v>
      </c>
      <c r="E96" s="18" t="s">
        <v>78</v>
      </c>
      <c r="F96" s="20" t="n">
        <v>0.246718409100986</v>
      </c>
      <c r="G96" s="20" t="n">
        <v>0.234466675867208</v>
      </c>
      <c r="H96" s="20" t="n">
        <v>0.518814915031806</v>
      </c>
      <c r="I96" s="20" t="n">
        <f aca="false">F96+G96</f>
        <v>0.481185084968194</v>
      </c>
      <c r="J96" s="20" t="n">
        <f aca="false">F96+H96</f>
        <v>0.765533324132792</v>
      </c>
      <c r="K96" s="20" t="n">
        <f aca="false">G96+H96</f>
        <v>0.753281590899014</v>
      </c>
      <c r="L96" s="21" t="n">
        <v>2.85365494616413</v>
      </c>
      <c r="M96" s="20" t="n">
        <v>0.776589912540498</v>
      </c>
      <c r="N96" s="20" t="n">
        <v>0.543241188635287</v>
      </c>
      <c r="O96" s="20" t="n">
        <v>0.320023829367696</v>
      </c>
      <c r="P96" s="20" t="n">
        <v>0.553361531307425</v>
      </c>
      <c r="Q96" s="20" t="n">
        <v>0.623658210281365</v>
      </c>
      <c r="R96" s="20" t="n">
        <v>0.615813587786139</v>
      </c>
      <c r="S96" s="21" t="n">
        <v>10.4481941541573</v>
      </c>
      <c r="T96" s="20" t="n">
        <v>0.6946094628985</v>
      </c>
      <c r="U96" s="20" t="n">
        <v>0.582631627802034</v>
      </c>
      <c r="V96" s="21" t="n">
        <v>5.35735675446209</v>
      </c>
      <c r="W96" s="20" t="n">
        <v>0.773487217831021</v>
      </c>
      <c r="X96" s="20" t="n">
        <v>0.613613893741704</v>
      </c>
      <c r="Y96" s="19" t="s">
        <v>76</v>
      </c>
      <c r="Z96" s="20" t="n">
        <v>0.782905714894701</v>
      </c>
    </row>
    <row r="97" customFormat="false" ht="15" hidden="false" customHeight="false" outlineLevel="0" collapsed="false">
      <c r="A97" s="18" t="n">
        <v>96</v>
      </c>
      <c r="B97" s="18" t="s">
        <v>82</v>
      </c>
      <c r="C97" s="18" t="s">
        <v>99</v>
      </c>
      <c r="D97" s="19" t="s">
        <v>54</v>
      </c>
      <c r="E97" s="18" t="s">
        <v>78</v>
      </c>
      <c r="F97" s="20" t="n">
        <v>0.409262197705236</v>
      </c>
      <c r="G97" s="20" t="n">
        <v>0.260347362496456</v>
      </c>
      <c r="H97" s="20" t="n">
        <v>0.330390439798309</v>
      </c>
      <c r="I97" s="20" t="n">
        <f aca="false">F97+G97</f>
        <v>0.669609560201692</v>
      </c>
      <c r="J97" s="20" t="n">
        <f aca="false">F97+H97</f>
        <v>0.739652637503544</v>
      </c>
      <c r="K97" s="20" t="n">
        <f aca="false">G97+H97</f>
        <v>0.590737802294765</v>
      </c>
      <c r="L97" s="21" t="n">
        <v>2.59170805752595</v>
      </c>
      <c r="M97" s="20" t="n">
        <v>0.729539397144922</v>
      </c>
      <c r="N97" s="20" t="n">
        <v>0.479487399801998</v>
      </c>
      <c r="O97" s="20" t="n">
        <v>0.262195856125749</v>
      </c>
      <c r="P97" s="20" t="n">
        <v>0.524154698500133</v>
      </c>
      <c r="Q97" s="20" t="n">
        <v>0.664383215752</v>
      </c>
      <c r="R97" s="20" t="n">
        <v>0.608132769195506</v>
      </c>
      <c r="S97" s="21" t="n">
        <v>9.88524369486732</v>
      </c>
      <c r="T97" s="20" t="n">
        <v>0.63710946620046</v>
      </c>
      <c r="U97" s="20" t="n">
        <v>0.518826043466182</v>
      </c>
      <c r="V97" s="21" t="n">
        <v>5.69083110389043</v>
      </c>
      <c r="W97" s="20" t="n">
        <v>0.810534285291582</v>
      </c>
      <c r="X97" s="20" t="n">
        <v>0.663939049614131</v>
      </c>
      <c r="Y97" s="19" t="s">
        <v>76</v>
      </c>
      <c r="Z97" s="20" t="n">
        <v>0.805172443928332</v>
      </c>
    </row>
    <row r="98" customFormat="false" ht="15" hidden="false" customHeight="false" outlineLevel="0" collapsed="false">
      <c r="A98" s="18" t="n">
        <v>97</v>
      </c>
      <c r="B98" s="18" t="s">
        <v>82</v>
      </c>
      <c r="C98" s="18" t="s">
        <v>79</v>
      </c>
      <c r="D98" s="19" t="s">
        <v>54</v>
      </c>
      <c r="E98" s="18" t="s">
        <v>78</v>
      </c>
      <c r="F98" s="20" t="n">
        <v>0.55353873460418</v>
      </c>
      <c r="G98" s="20" t="n">
        <v>0.221590122629108</v>
      </c>
      <c r="H98" s="20" t="n">
        <v>0.224871142766712</v>
      </c>
      <c r="I98" s="20" t="n">
        <f aca="false">F98+G98</f>
        <v>0.775128857233288</v>
      </c>
      <c r="J98" s="20" t="n">
        <f aca="false">F98+H98</f>
        <v>0.778409877370892</v>
      </c>
      <c r="K98" s="20" t="n">
        <f aca="false">G98+H98</f>
        <v>0.44646126539582</v>
      </c>
      <c r="L98" s="21" t="n">
        <v>3.00706457823106</v>
      </c>
      <c r="M98" s="20" t="n">
        <v>0.800682581123056</v>
      </c>
      <c r="N98" s="20" t="n">
        <v>0.57839887539768</v>
      </c>
      <c r="O98" s="20" t="n">
        <v>0.354357862305691</v>
      </c>
      <c r="P98" s="20" t="n">
        <v>0.570580072753365</v>
      </c>
      <c r="Q98" s="20" t="n">
        <v>0.597435149548059</v>
      </c>
      <c r="R98" s="20" t="n">
        <v>0.614753701394534</v>
      </c>
      <c r="S98" s="21" t="n">
        <v>10.5208461771291</v>
      </c>
      <c r="T98" s="20" t="n">
        <v>0.701562944842026</v>
      </c>
      <c r="U98" s="20" t="n">
        <v>0.590555296519987</v>
      </c>
      <c r="V98" s="21" t="n">
        <v>5.22720411350233</v>
      </c>
      <c r="W98" s="20" t="n">
        <v>0.75751680766374</v>
      </c>
      <c r="X98" s="20" t="n">
        <v>0.592767613905239</v>
      </c>
      <c r="Y98" s="19" t="s">
        <v>101</v>
      </c>
      <c r="Z98" s="20" t="n">
        <v>0.800682581123056</v>
      </c>
    </row>
    <row r="99" customFormat="false" ht="15" hidden="false" customHeight="false" outlineLevel="0" collapsed="false">
      <c r="A99" s="18" t="n">
        <v>98</v>
      </c>
      <c r="B99" s="18" t="s">
        <v>82</v>
      </c>
      <c r="C99" s="18" t="s">
        <v>98</v>
      </c>
      <c r="D99" s="19" t="s">
        <v>54</v>
      </c>
      <c r="E99" s="18" t="s">
        <v>75</v>
      </c>
      <c r="F99" s="20" t="n">
        <v>0.513990690881838</v>
      </c>
      <c r="G99" s="20" t="n">
        <v>0.245637246967177</v>
      </c>
      <c r="H99" s="20" t="n">
        <v>0.240372062150985</v>
      </c>
      <c r="I99" s="20" t="n">
        <f aca="false">F99+G99</f>
        <v>0.759627937849015</v>
      </c>
      <c r="J99" s="20" t="n">
        <f aca="false">F99+H99</f>
        <v>0.754362753032823</v>
      </c>
      <c r="K99" s="20" t="n">
        <f aca="false">G99+H99</f>
        <v>0.486009309118162</v>
      </c>
      <c r="L99" s="21" t="n">
        <v>2.63380460841493</v>
      </c>
      <c r="M99" s="20" t="n">
        <v>0.737689637474587</v>
      </c>
      <c r="N99" s="20" t="n">
        <v>0.490025516971061</v>
      </c>
      <c r="O99" s="20" t="n">
        <v>0.271373370250557</v>
      </c>
      <c r="P99" s="20" t="n">
        <v>0.51050822722417</v>
      </c>
      <c r="Q99" s="20" t="n">
        <v>0.658210239705783</v>
      </c>
      <c r="R99" s="20" t="n">
        <v>0.610288615754816</v>
      </c>
      <c r="S99" s="21" t="n">
        <v>10.220941703139</v>
      </c>
      <c r="T99" s="20" t="n">
        <v>0.672161816075072</v>
      </c>
      <c r="U99" s="20" t="n">
        <v>0.557363897760308</v>
      </c>
      <c r="V99" s="21" t="n">
        <v>5.64706687977011</v>
      </c>
      <c r="W99" s="20" t="n">
        <v>0.805979713149992</v>
      </c>
      <c r="X99" s="20" t="n">
        <v>0.657594821443029</v>
      </c>
      <c r="Y99" s="19" t="s">
        <v>76</v>
      </c>
      <c r="Z99" s="20" t="n">
        <v>0.802182588236568</v>
      </c>
    </row>
    <row r="100" customFormat="false" ht="15" hidden="false" customHeight="false" outlineLevel="0" collapsed="false">
      <c r="A100" s="18" t="n">
        <v>99</v>
      </c>
      <c r="B100" s="18" t="s">
        <v>98</v>
      </c>
      <c r="C100" s="18" t="s">
        <v>73</v>
      </c>
      <c r="D100" s="19" t="s">
        <v>56</v>
      </c>
      <c r="E100" s="18" t="s">
        <v>78</v>
      </c>
      <c r="F100" s="20" t="n">
        <v>0.34677540710245</v>
      </c>
      <c r="G100" s="20" t="n">
        <v>0.279811780739644</v>
      </c>
      <c r="H100" s="20" t="n">
        <v>0.373412812157906</v>
      </c>
      <c r="I100" s="20" t="n">
        <f aca="false">F100+G100</f>
        <v>0.626587187842094</v>
      </c>
      <c r="J100" s="20" t="n">
        <f aca="false">F100+H100</f>
        <v>0.720188219260356</v>
      </c>
      <c r="K100" s="20" t="n">
        <f aca="false">G100+H100</f>
        <v>0.65322459289755</v>
      </c>
      <c r="L100" s="21" t="n">
        <v>2.30873821965801</v>
      </c>
      <c r="M100" s="20" t="n">
        <v>0.66960131787858</v>
      </c>
      <c r="N100" s="20" t="n">
        <v>0.406277261539216</v>
      </c>
      <c r="O100" s="20" t="n">
        <v>0.202431959005575</v>
      </c>
      <c r="P100" s="20" t="n">
        <v>0.467089364929079</v>
      </c>
      <c r="Q100" s="20" t="n">
        <v>0.699736228941476</v>
      </c>
      <c r="R100" s="20" t="n">
        <v>0.584825763049836</v>
      </c>
      <c r="S100" s="21" t="n">
        <v>10.2294465948906</v>
      </c>
      <c r="T100" s="20" t="n">
        <v>0.673020802085033</v>
      </c>
      <c r="U100" s="20" t="n">
        <v>0.558322182682537</v>
      </c>
      <c r="V100" s="21" t="n">
        <v>5.66971865491566</v>
      </c>
      <c r="W100" s="20" t="n">
        <v>0.808348387164285</v>
      </c>
      <c r="X100" s="20" t="n">
        <v>0.660888475840326</v>
      </c>
      <c r="Y100" s="19" t="s">
        <v>76</v>
      </c>
      <c r="Z100" s="20" t="n">
        <v>0.817392633118308</v>
      </c>
    </row>
    <row r="101" customFormat="false" ht="15" hidden="false" customHeight="false" outlineLevel="0" collapsed="false">
      <c r="A101" s="18" t="n">
        <v>100</v>
      </c>
      <c r="B101" s="18" t="s">
        <v>98</v>
      </c>
      <c r="C101" s="18" t="s">
        <v>83</v>
      </c>
      <c r="D101" s="19" t="s">
        <v>54</v>
      </c>
      <c r="E101" s="18" t="s">
        <v>78</v>
      </c>
      <c r="F101" s="20" t="n">
        <v>0.384725446429843</v>
      </c>
      <c r="G101" s="20" t="n">
        <v>0.274351942929105</v>
      </c>
      <c r="H101" s="20" t="n">
        <v>0.340922610641052</v>
      </c>
      <c r="I101" s="20" t="n">
        <f aca="false">F101+G101</f>
        <v>0.659077389358947</v>
      </c>
      <c r="J101" s="20" t="n">
        <f aca="false">F101+H101</f>
        <v>0.725648057070895</v>
      </c>
      <c r="K101" s="20" t="n">
        <f aca="false">G101+H101</f>
        <v>0.615274553570157</v>
      </c>
      <c r="L101" s="21" t="n">
        <v>2.38311631570531</v>
      </c>
      <c r="M101" s="20" t="n">
        <v>0.686328707758169</v>
      </c>
      <c r="N101" s="20" t="n">
        <v>0.425874202020864</v>
      </c>
      <c r="O101" s="20" t="n">
        <v>0.217755842051092</v>
      </c>
      <c r="P101" s="20" t="n">
        <v>0.482615294393247</v>
      </c>
      <c r="Q101" s="20" t="n">
        <v>0.691518031962547</v>
      </c>
      <c r="R101" s="20" t="n">
        <v>0.592565494063815</v>
      </c>
      <c r="S101" s="21" t="n">
        <v>11.5919745258413</v>
      </c>
      <c r="T101" s="20" t="n">
        <v>0.79142489651247</v>
      </c>
      <c r="U101" s="20" t="n">
        <v>0.697439820271864</v>
      </c>
      <c r="V101" s="21" t="n">
        <v>5.74701819387881</v>
      </c>
      <c r="W101" s="20" t="n">
        <v>0.816250080247071</v>
      </c>
      <c r="X101" s="20" t="n">
        <v>0.671966792246476</v>
      </c>
      <c r="Y101" s="19" t="s">
        <v>76</v>
      </c>
      <c r="Z101" s="20" t="n">
        <v>0.815510660319285</v>
      </c>
    </row>
    <row r="102" customFormat="false" ht="15" hidden="false" customHeight="false" outlineLevel="0" collapsed="false">
      <c r="A102" s="18" t="n">
        <v>101</v>
      </c>
      <c r="B102" s="18" t="s">
        <v>98</v>
      </c>
      <c r="C102" s="18" t="s">
        <v>92</v>
      </c>
      <c r="D102" s="19" t="s">
        <v>54</v>
      </c>
      <c r="E102" s="18" t="s">
        <v>75</v>
      </c>
      <c r="F102" s="20" t="n">
        <v>0.56202545739844</v>
      </c>
      <c r="G102" s="20" t="n">
        <v>0.23566021815145</v>
      </c>
      <c r="H102" s="20" t="n">
        <v>0.202314324450111</v>
      </c>
      <c r="I102" s="20" t="n">
        <f aca="false">F102+G102</f>
        <v>0.79768567554989</v>
      </c>
      <c r="J102" s="20" t="n">
        <f aca="false">F102+H102</f>
        <v>0.76433978184855</v>
      </c>
      <c r="K102" s="20" t="n">
        <f aca="false">G102+H102</f>
        <v>0.43797454260156</v>
      </c>
      <c r="L102" s="21" t="n">
        <v>2.63429225609773</v>
      </c>
      <c r="M102" s="20" t="n">
        <v>0.737840805557789</v>
      </c>
      <c r="N102" s="20" t="n">
        <v>0.490148478058131</v>
      </c>
      <c r="O102" s="20" t="n">
        <v>0.271481097324349</v>
      </c>
      <c r="P102" s="20" t="n">
        <v>0.491997213832433</v>
      </c>
      <c r="Q102" s="20" t="n">
        <v>0.658080319896419</v>
      </c>
      <c r="R102" s="20" t="n">
        <v>0.610369172999652</v>
      </c>
      <c r="S102" s="21" t="n">
        <v>10.6225251701669</v>
      </c>
      <c r="T102" s="20" t="n">
        <v>0.711111657103336</v>
      </c>
      <c r="U102" s="20" t="n">
        <v>0.601512635173634</v>
      </c>
      <c r="V102" s="21" t="n">
        <v>4.78503710920744</v>
      </c>
      <c r="W102" s="20" t="n">
        <v>0.696569504182629</v>
      </c>
      <c r="X102" s="20" t="n">
        <v>0.517376714640365</v>
      </c>
      <c r="Y102" s="19" t="s">
        <v>76</v>
      </c>
      <c r="Z102" s="20" t="n">
        <v>0.802089784662631</v>
      </c>
    </row>
    <row r="103" customFormat="false" ht="15" hidden="false" customHeight="false" outlineLevel="0" collapsed="false">
      <c r="A103" s="18" t="n">
        <v>102</v>
      </c>
      <c r="B103" s="18" t="s">
        <v>98</v>
      </c>
      <c r="C103" s="18" t="s">
        <v>94</v>
      </c>
      <c r="D103" s="19" t="s">
        <v>56</v>
      </c>
      <c r="E103" s="18" t="s">
        <v>78</v>
      </c>
      <c r="F103" s="20" t="n">
        <v>0.335892621237886</v>
      </c>
      <c r="G103" s="20" t="n">
        <v>0.280141945003855</v>
      </c>
      <c r="H103" s="20" t="n">
        <v>0.383965433758259</v>
      </c>
      <c r="I103" s="20" t="n">
        <f aca="false">F103+G103</f>
        <v>0.616034566241741</v>
      </c>
      <c r="J103" s="20" t="n">
        <f aca="false">F103+H103</f>
        <v>0.719858054996146</v>
      </c>
      <c r="K103" s="20" t="n">
        <f aca="false">G103+H103</f>
        <v>0.664107378762114</v>
      </c>
      <c r="L103" s="21" t="n">
        <v>2.30012060329465</v>
      </c>
      <c r="M103" s="20" t="n">
        <v>0.667619277250293</v>
      </c>
      <c r="N103" s="20" t="n">
        <v>0.403993335583998</v>
      </c>
      <c r="O103" s="20" t="n">
        <v>0.200677576457495</v>
      </c>
      <c r="P103" s="20" t="n">
        <v>0.464706683838156</v>
      </c>
      <c r="Q103" s="20" t="n">
        <v>0.700630270332421</v>
      </c>
      <c r="R103" s="20" t="n">
        <v>0.58385443692237</v>
      </c>
      <c r="S103" s="21" t="n">
        <v>10.1171569848579</v>
      </c>
      <c r="T103" s="20" t="n">
        <v>0.66156271699862</v>
      </c>
      <c r="U103" s="20" t="n">
        <v>0.545594904819521</v>
      </c>
      <c r="V103" s="21" t="n">
        <v>5.86932489364058</v>
      </c>
      <c r="W103" s="20" t="n">
        <v>0.828190979719472</v>
      </c>
      <c r="X103" s="20" t="n">
        <v>0.688982440631396</v>
      </c>
      <c r="Y103" s="19" t="s">
        <v>76</v>
      </c>
      <c r="Z103" s="20" t="n">
        <v>0.817543006461994</v>
      </c>
    </row>
    <row r="104" customFormat="false" ht="15" hidden="false" customHeight="false" outlineLevel="0" collapsed="false">
      <c r="A104" s="18" t="n">
        <v>103</v>
      </c>
      <c r="B104" s="18" t="s">
        <v>98</v>
      </c>
      <c r="C104" s="18" t="s">
        <v>87</v>
      </c>
      <c r="D104" s="19" t="s">
        <v>54</v>
      </c>
      <c r="E104" s="18" t="s">
        <v>78</v>
      </c>
      <c r="F104" s="20" t="n">
        <v>0.39824234144277</v>
      </c>
      <c r="G104" s="20" t="n">
        <v>0.268534544742998</v>
      </c>
      <c r="H104" s="20" t="n">
        <v>0.333223113814233</v>
      </c>
      <c r="I104" s="20" t="n">
        <f aca="false">F104+G104</f>
        <v>0.666776886185767</v>
      </c>
      <c r="J104" s="20" t="n">
        <f aca="false">F104+H104</f>
        <v>0.731465455257002</v>
      </c>
      <c r="K104" s="20" t="n">
        <f aca="false">G104+H104</f>
        <v>0.601757658557231</v>
      </c>
      <c r="L104" s="21" t="n">
        <v>2.46442380193085</v>
      </c>
      <c r="M104" s="20" t="n">
        <v>0.703811650737992</v>
      </c>
      <c r="N104" s="20" t="n">
        <v>0.447029478795471</v>
      </c>
      <c r="O104" s="20" t="n">
        <v>0.23484699677563</v>
      </c>
      <c r="P104" s="20" t="n">
        <v>0.498909604020243</v>
      </c>
      <c r="Q104" s="20" t="n">
        <v>0.68160757647971</v>
      </c>
      <c r="R104" s="20" t="n">
        <v>0.599691639482561</v>
      </c>
      <c r="S104" s="21" t="n">
        <v>10.3258749354634</v>
      </c>
      <c r="T104" s="20" t="n">
        <v>0.682657646392672</v>
      </c>
      <c r="U104" s="20" t="n">
        <v>0.569119706048016</v>
      </c>
      <c r="V104" s="21" t="n">
        <v>6.04577385994352</v>
      </c>
      <c r="W104" s="20" t="n">
        <v>0.844249909800643</v>
      </c>
      <c r="X104" s="20" t="n">
        <v>0.712416468081431</v>
      </c>
      <c r="Y104" s="19" t="s">
        <v>76</v>
      </c>
      <c r="Z104" s="20" t="n">
        <v>0.812334561999908</v>
      </c>
    </row>
    <row r="106" customFormat="false" ht="15" hidden="false" customHeight="false" outlineLevel="0" collapsed="false">
      <c r="A106" s="22" t="s">
        <v>102</v>
      </c>
    </row>
  </sheetData>
  <autoFilter ref="A1:Z104"/>
  <conditionalFormatting sqref="F2:F104">
    <cfRule type="colorScale" priority="2">
      <colorScale>
        <cfvo type="num" val="0"/>
        <cfvo type="num" val="1"/>
        <color rgb="FFFFFFFF"/>
        <color rgb="FFCDE2FB"/>
      </colorScale>
    </cfRule>
  </conditionalFormatting>
  <conditionalFormatting sqref="G2:G104">
    <cfRule type="colorScale" priority="3">
      <colorScale>
        <cfvo type="num" val="0"/>
        <cfvo type="num" val="1"/>
        <color rgb="FFFFFFFF"/>
        <color rgb="FFCDE2FB"/>
      </colorScale>
    </cfRule>
  </conditionalFormatting>
  <conditionalFormatting sqref="H2:H104">
    <cfRule type="colorScale" priority="4">
      <colorScale>
        <cfvo type="num" val="0"/>
        <cfvo type="num" val="1"/>
        <color rgb="FFFFFFFF"/>
        <color rgb="FFCDE2FB"/>
      </colorScale>
    </cfRule>
  </conditionalFormatting>
  <conditionalFormatting sqref="I2:I104">
    <cfRule type="colorScale" priority="5">
      <colorScale>
        <cfvo type="num" val="0"/>
        <cfvo type="num" val="1"/>
        <color rgb="FFFFFFFF"/>
        <color rgb="FFCDE2FB"/>
      </colorScale>
    </cfRule>
  </conditionalFormatting>
  <conditionalFormatting sqref="J2:J104">
    <cfRule type="colorScale" priority="6">
      <colorScale>
        <cfvo type="num" val="0"/>
        <cfvo type="num" val="1"/>
        <color rgb="FFFFFFFF"/>
        <color rgb="FFCDE2FB"/>
      </colorScale>
    </cfRule>
  </conditionalFormatting>
  <conditionalFormatting sqref="K2:K104">
    <cfRule type="colorScale" priority="7">
      <colorScale>
        <cfvo type="num" val="0"/>
        <cfvo type="num" val="1"/>
        <color rgb="FFFFFFFF"/>
        <color rgb="FFCDE2FB"/>
      </colorScale>
    </cfRule>
  </conditionalFormatting>
  <conditionalFormatting sqref="M2:M104">
    <cfRule type="colorScale" priority="8">
      <colorScale>
        <cfvo type="num" val="0"/>
        <cfvo type="num" val="1"/>
        <color rgb="FFFFFFFF"/>
        <color rgb="FFCDE2FB"/>
      </colorScale>
    </cfRule>
  </conditionalFormatting>
  <conditionalFormatting sqref="N2:N104">
    <cfRule type="colorScale" priority="9">
      <colorScale>
        <cfvo type="num" val="0"/>
        <cfvo type="num" val="1"/>
        <color rgb="FFFFFFFF"/>
        <color rgb="FFCDE2FB"/>
      </colorScale>
    </cfRule>
  </conditionalFormatting>
  <conditionalFormatting sqref="O2:O104">
    <cfRule type="colorScale" priority="10">
      <colorScale>
        <cfvo type="num" val="0"/>
        <cfvo type="num" val="1"/>
        <color rgb="FFFFFFFF"/>
        <color rgb="FFCDE2FB"/>
      </colorScale>
    </cfRule>
  </conditionalFormatting>
  <conditionalFormatting sqref="P2:P104">
    <cfRule type="colorScale" priority="11">
      <colorScale>
        <cfvo type="num" val="0"/>
        <cfvo type="num" val="1"/>
        <color rgb="FFFFFFFF"/>
        <color rgb="FFCDE2FB"/>
      </colorScale>
    </cfRule>
  </conditionalFormatting>
  <conditionalFormatting sqref="Q2:Q104">
    <cfRule type="colorScale" priority="12">
      <colorScale>
        <cfvo type="num" val="0"/>
        <cfvo type="num" val="1"/>
        <color rgb="FFFFFFFF"/>
        <color rgb="FFCDE2FB"/>
      </colorScale>
    </cfRule>
  </conditionalFormatting>
  <conditionalFormatting sqref="R2:R104">
    <cfRule type="colorScale" priority="13">
      <colorScale>
        <cfvo type="num" val="0"/>
        <cfvo type="num" val="1"/>
        <color rgb="FFFFFFFF"/>
        <color rgb="FFCDE2FB"/>
      </colorScale>
    </cfRule>
  </conditionalFormatting>
  <conditionalFormatting sqref="T2:T104">
    <cfRule type="colorScale" priority="14">
      <colorScale>
        <cfvo type="num" val="0"/>
        <cfvo type="num" val="1"/>
        <color rgb="FFFFFFFF"/>
        <color rgb="FFCDE2FB"/>
      </colorScale>
    </cfRule>
  </conditionalFormatting>
  <conditionalFormatting sqref="U2:U104">
    <cfRule type="colorScale" priority="15">
      <colorScale>
        <cfvo type="num" val="0"/>
        <cfvo type="num" val="1"/>
        <color rgb="FFFFFFFF"/>
        <color rgb="FFCDE2FB"/>
      </colorScale>
    </cfRule>
  </conditionalFormatting>
  <conditionalFormatting sqref="W2:W104">
    <cfRule type="colorScale" priority="16">
      <colorScale>
        <cfvo type="num" val="0"/>
        <cfvo type="num" val="1"/>
        <color rgb="FFFFFFFF"/>
        <color rgb="FFCDE2FB"/>
      </colorScale>
    </cfRule>
  </conditionalFormatting>
  <conditionalFormatting sqref="X2:X104">
    <cfRule type="colorScale" priority="17">
      <colorScale>
        <cfvo type="num" val="0"/>
        <cfvo type="num" val="1"/>
        <color rgb="FFFFFFFF"/>
        <color rgb="FFCDE2FB"/>
      </colorScale>
    </cfRule>
  </conditionalFormatting>
  <conditionalFormatting sqref="Z2:Z104">
    <cfRule type="colorScale" priority="18">
      <colorScale>
        <cfvo type="num" val="0"/>
        <cfvo type="num" val="1"/>
        <color rgb="FFFFFFFF"/>
        <color rgb="FFCDE2FB"/>
      </colorScale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7"/>
    <col collapsed="false" customWidth="true" hidden="false" outlineLevel="0" max="11" min="4" style="0" width="11"/>
  </cols>
  <sheetData>
    <row r="1" customFormat="false" ht="33.75" hidden="false" customHeight="true" outlineLevel="0" collapsed="false">
      <c r="A1" s="16" t="s">
        <v>49</v>
      </c>
      <c r="B1" s="16" t="s">
        <v>50</v>
      </c>
      <c r="C1" s="16" t="s">
        <v>51</v>
      </c>
      <c r="D1" s="16" t="s">
        <v>54</v>
      </c>
      <c r="E1" s="16" t="s">
        <v>55</v>
      </c>
      <c r="F1" s="16" t="s">
        <v>56</v>
      </c>
      <c r="G1" s="16" t="s">
        <v>57</v>
      </c>
      <c r="H1" s="16" t="s">
        <v>58</v>
      </c>
      <c r="I1" s="16" t="s">
        <v>59</v>
      </c>
      <c r="J1" s="16" t="s">
        <v>53</v>
      </c>
      <c r="K1" s="16" t="s">
        <v>103</v>
      </c>
    </row>
    <row r="2" customFormat="false" ht="15" hidden="false" customHeight="false" outlineLevel="0" collapsed="false">
      <c r="A2" s="18" t="n">
        <v>1</v>
      </c>
      <c r="B2" s="18" t="s">
        <v>73</v>
      </c>
      <c r="C2" s="18" t="s">
        <v>74</v>
      </c>
      <c r="D2" s="20" t="n">
        <v>0.45587463984214</v>
      </c>
      <c r="E2" s="20" t="n">
        <v>0.268513430487424</v>
      </c>
      <c r="F2" s="20" t="n">
        <v>0.275611929670436</v>
      </c>
      <c r="G2" s="20" t="n">
        <v>0.724388070329564</v>
      </c>
      <c r="H2" s="20" t="n">
        <v>0.731486569512576</v>
      </c>
      <c r="I2" s="20" t="n">
        <v>0.54412536015786</v>
      </c>
      <c r="J2" s="18" t="s">
        <v>75</v>
      </c>
      <c r="K2" s="20" t="n">
        <v>0.128379448561359</v>
      </c>
    </row>
    <row r="3" customFormat="false" ht="15" hidden="false" customHeight="false" outlineLevel="0" collapsed="false">
      <c r="A3" s="18" t="n">
        <v>2</v>
      </c>
      <c r="B3" s="18" t="s">
        <v>73</v>
      </c>
      <c r="C3" s="18" t="s">
        <v>77</v>
      </c>
      <c r="D3" s="20" t="n">
        <v>0.307972686723041</v>
      </c>
      <c r="E3" s="20" t="n">
        <v>0.278389639274704</v>
      </c>
      <c r="F3" s="20" t="n">
        <v>0.413637674002255</v>
      </c>
      <c r="G3" s="20" t="n">
        <v>0.586362325997745</v>
      </c>
      <c r="H3" s="20" t="n">
        <v>0.721610360725296</v>
      </c>
      <c r="I3" s="20" t="n">
        <v>0.692027313276959</v>
      </c>
      <c r="J3" s="18" t="s">
        <v>78</v>
      </c>
      <c r="K3" s="20" t="n">
        <v>0.12986984511848</v>
      </c>
    </row>
    <row r="4" customFormat="false" ht="15" hidden="false" customHeight="false" outlineLevel="0" collapsed="false">
      <c r="A4" s="18" t="n">
        <v>3</v>
      </c>
      <c r="B4" s="18" t="s">
        <v>73</v>
      </c>
      <c r="C4" s="18" t="s">
        <v>79</v>
      </c>
      <c r="D4" s="20" t="n">
        <v>0.621033556243381</v>
      </c>
      <c r="E4" s="20" t="n">
        <v>0.212247706539126</v>
      </c>
      <c r="F4" s="20" t="n">
        <v>0.166718737217494</v>
      </c>
      <c r="G4" s="20" t="n">
        <v>0.833281262782507</v>
      </c>
      <c r="H4" s="20" t="n">
        <v>0.787752293460875</v>
      </c>
      <c r="I4" s="20" t="n">
        <v>0.378966443756619</v>
      </c>
      <c r="J4" s="18" t="s">
        <v>75</v>
      </c>
      <c r="K4" s="20" t="n">
        <v>0.116604060559626</v>
      </c>
    </row>
    <row r="5" customFormat="false" ht="15" hidden="false" customHeight="false" outlineLevel="0" collapsed="false">
      <c r="A5" s="18" t="n">
        <v>4</v>
      </c>
      <c r="B5" s="18" t="s">
        <v>73</v>
      </c>
      <c r="C5" s="18" t="s">
        <v>81</v>
      </c>
      <c r="D5" s="20" t="n">
        <v>0.462807258596752</v>
      </c>
      <c r="E5" s="20" t="n">
        <v>0.276096933886394</v>
      </c>
      <c r="F5" s="20" t="n">
        <v>0.261095807516854</v>
      </c>
      <c r="G5" s="20" t="n">
        <v>0.738904192483146</v>
      </c>
      <c r="H5" s="20" t="n">
        <v>0.723903066113606</v>
      </c>
      <c r="I5" s="20" t="n">
        <v>0.537192741403248</v>
      </c>
      <c r="J5" s="18" t="s">
        <v>75</v>
      </c>
      <c r="K5" s="20" t="n">
        <v>0.140930900997639</v>
      </c>
    </row>
    <row r="6" customFormat="false" ht="15" hidden="false" customHeight="false" outlineLevel="0" collapsed="false">
      <c r="A6" s="18" t="n">
        <v>5</v>
      </c>
      <c r="B6" s="18" t="s">
        <v>73</v>
      </c>
      <c r="C6" s="18" t="s">
        <v>82</v>
      </c>
      <c r="D6" s="20" t="n">
        <v>0.560829226403294</v>
      </c>
      <c r="E6" s="20" t="n">
        <v>0.23249850589652</v>
      </c>
      <c r="F6" s="20" t="n">
        <v>0.206672267700187</v>
      </c>
      <c r="G6" s="20" t="n">
        <v>0.793327732299813</v>
      </c>
      <c r="H6" s="20" t="n">
        <v>0.767501494103481</v>
      </c>
      <c r="I6" s="20" t="n">
        <v>0.439170773596707</v>
      </c>
      <c r="J6" s="18" t="s">
        <v>75</v>
      </c>
      <c r="K6" s="20" t="n">
        <v>0.117896888222831</v>
      </c>
    </row>
    <row r="7" customFormat="false" ht="15" hidden="false" customHeight="false" outlineLevel="0" collapsed="false">
      <c r="A7" s="18" t="n">
        <v>6</v>
      </c>
      <c r="B7" s="18" t="s">
        <v>74</v>
      </c>
      <c r="C7" s="18" t="s">
        <v>83</v>
      </c>
      <c r="D7" s="20" t="n">
        <v>0.512882686211862</v>
      </c>
      <c r="E7" s="20" t="n">
        <v>0.252716665258713</v>
      </c>
      <c r="F7" s="20" t="n">
        <v>0.234400648529425</v>
      </c>
      <c r="G7" s="20" t="n">
        <v>0.765599351470575</v>
      </c>
      <c r="H7" s="20" t="n">
        <v>0.747283334741287</v>
      </c>
      <c r="I7" s="20" t="n">
        <v>0.487117313788138</v>
      </c>
      <c r="J7" s="18" t="s">
        <v>75</v>
      </c>
      <c r="K7" s="20" t="n">
        <v>0.128106495301332</v>
      </c>
    </row>
    <row r="8" customFormat="false" ht="15" hidden="false" customHeight="false" outlineLevel="0" collapsed="false">
      <c r="A8" s="18" t="n">
        <v>7</v>
      </c>
      <c r="B8" s="18" t="s">
        <v>74</v>
      </c>
      <c r="C8" s="18" t="s">
        <v>84</v>
      </c>
      <c r="D8" s="20" t="n">
        <v>0.4868461579774</v>
      </c>
      <c r="E8" s="20" t="n">
        <v>0.269734450064841</v>
      </c>
      <c r="F8" s="20" t="n">
        <v>0.243419391957759</v>
      </c>
      <c r="G8" s="20" t="n">
        <v>0.756580608042241</v>
      </c>
      <c r="H8" s="20" t="n">
        <v>0.730265549935159</v>
      </c>
      <c r="I8" s="20" t="n">
        <v>0.5131538420226</v>
      </c>
      <c r="J8" s="18" t="s">
        <v>75</v>
      </c>
      <c r="K8" s="20" t="n">
        <v>0.142027735111556</v>
      </c>
    </row>
    <row r="9" customFormat="false" ht="15" hidden="false" customHeight="false" outlineLevel="0" collapsed="false">
      <c r="A9" s="18" t="n">
        <v>8</v>
      </c>
      <c r="B9" s="18" t="s">
        <v>74</v>
      </c>
      <c r="C9" s="18" t="s">
        <v>85</v>
      </c>
      <c r="D9" s="20" t="n">
        <v>0.625594703486607</v>
      </c>
      <c r="E9" s="20" t="n">
        <v>0.209473972762562</v>
      </c>
      <c r="F9" s="20" t="n">
        <v>0.164931323750832</v>
      </c>
      <c r="G9" s="20" t="n">
        <v>0.835068676249169</v>
      </c>
      <c r="H9" s="20" t="n">
        <v>0.790526027237438</v>
      </c>
      <c r="I9" s="20" t="n">
        <v>0.374405296513394</v>
      </c>
      <c r="J9" s="18" t="s">
        <v>75</v>
      </c>
      <c r="K9" s="20" t="n">
        <v>0.114046689243923</v>
      </c>
    </row>
    <row r="10" customFormat="false" ht="15" hidden="false" customHeight="false" outlineLevel="0" collapsed="false">
      <c r="A10" s="18" t="n">
        <v>9</v>
      </c>
      <c r="B10" s="18" t="s">
        <v>74</v>
      </c>
      <c r="C10" s="18" t="s">
        <v>86</v>
      </c>
      <c r="D10" s="20" t="n">
        <v>0.437855750545641</v>
      </c>
      <c r="E10" s="20" t="n">
        <v>0.278339610453099</v>
      </c>
      <c r="F10" s="20" t="n">
        <v>0.28380463900126</v>
      </c>
      <c r="G10" s="20" t="n">
        <v>0.71619536099874</v>
      </c>
      <c r="H10" s="20" t="n">
        <v>0.721660389546901</v>
      </c>
      <c r="I10" s="20" t="n">
        <v>0.562144249454359</v>
      </c>
      <c r="J10" s="18" t="s">
        <v>75</v>
      </c>
      <c r="K10" s="20" t="n">
        <v>0.134852486940575</v>
      </c>
    </row>
    <row r="11" customFormat="false" ht="15" hidden="false" customHeight="false" outlineLevel="0" collapsed="false">
      <c r="A11" s="18" t="n">
        <v>10</v>
      </c>
      <c r="B11" s="18" t="s">
        <v>74</v>
      </c>
      <c r="C11" s="18" t="s">
        <v>87</v>
      </c>
      <c r="D11" s="20" t="n">
        <v>0.529167364969504</v>
      </c>
      <c r="E11" s="20" t="n">
        <v>0.244588057354094</v>
      </c>
      <c r="F11" s="20" t="n">
        <v>0.226244577676402</v>
      </c>
      <c r="G11" s="20" t="n">
        <v>0.773755422323598</v>
      </c>
      <c r="H11" s="20" t="n">
        <v>0.755411942645906</v>
      </c>
      <c r="I11" s="20" t="n">
        <v>0.470832635030496</v>
      </c>
      <c r="J11" s="18" t="s">
        <v>75</v>
      </c>
      <c r="K11" s="20" t="n">
        <v>0.122578676929154</v>
      </c>
    </row>
    <row r="12" customFormat="false" ht="15" hidden="false" customHeight="false" outlineLevel="0" collapsed="false">
      <c r="A12" s="18" t="n">
        <v>11</v>
      </c>
      <c r="B12" s="18" t="s">
        <v>74</v>
      </c>
      <c r="C12" s="18" t="s">
        <v>82</v>
      </c>
      <c r="D12" s="20" t="n">
        <v>0.570232177381576</v>
      </c>
      <c r="E12" s="20" t="n">
        <v>0.228519664863641</v>
      </c>
      <c r="F12" s="20" t="n">
        <v>0.201248157754783</v>
      </c>
      <c r="G12" s="20" t="n">
        <v>0.798751842245217</v>
      </c>
      <c r="H12" s="20" t="n">
        <v>0.771480335136359</v>
      </c>
      <c r="I12" s="20" t="n">
        <v>0.429767822618424</v>
      </c>
      <c r="J12" s="18" t="s">
        <v>75</v>
      </c>
      <c r="K12" s="20" t="n">
        <v>0.115870608347837</v>
      </c>
    </row>
    <row r="13" customFormat="false" ht="15" hidden="false" customHeight="false" outlineLevel="0" collapsed="false">
      <c r="A13" s="18" t="n">
        <v>12</v>
      </c>
      <c r="B13" s="18" t="s">
        <v>88</v>
      </c>
      <c r="C13" s="18" t="s">
        <v>74</v>
      </c>
      <c r="D13" s="20" t="n">
        <v>0.443281359843362</v>
      </c>
      <c r="E13" s="20" t="n">
        <v>0.25919933801004</v>
      </c>
      <c r="F13" s="20" t="n">
        <v>0.297519302146598</v>
      </c>
      <c r="G13" s="20" t="n">
        <v>0.702480697853402</v>
      </c>
      <c r="H13" s="20" t="n">
        <v>0.74080066198996</v>
      </c>
      <c r="I13" s="20" t="n">
        <v>0.556718640156638</v>
      </c>
      <c r="J13" s="18" t="s">
        <v>78</v>
      </c>
      <c r="K13" s="20" t="n">
        <v>0.123179096902329</v>
      </c>
    </row>
    <row r="14" customFormat="false" ht="15" hidden="false" customHeight="false" outlineLevel="0" collapsed="false">
      <c r="A14" s="18" t="n">
        <v>13</v>
      </c>
      <c r="B14" s="18" t="s">
        <v>88</v>
      </c>
      <c r="C14" s="18" t="s">
        <v>85</v>
      </c>
      <c r="D14" s="20" t="n">
        <v>0.607499625661995</v>
      </c>
      <c r="E14" s="20" t="n">
        <v>0.209152407511355</v>
      </c>
      <c r="F14" s="20" t="n">
        <v>0.18334796682665</v>
      </c>
      <c r="G14" s="20" t="n">
        <v>0.81665203317335</v>
      </c>
      <c r="H14" s="20" t="n">
        <v>0.790847592488645</v>
      </c>
      <c r="I14" s="20" t="n">
        <v>0.392500374338005</v>
      </c>
      <c r="J14" s="18" t="s">
        <v>75</v>
      </c>
      <c r="K14" s="20" t="n">
        <v>0.100697218846956</v>
      </c>
    </row>
    <row r="15" customFormat="false" ht="15" hidden="false" customHeight="false" outlineLevel="0" collapsed="false">
      <c r="A15" s="18" t="n">
        <v>14</v>
      </c>
      <c r="B15" s="18" t="s">
        <v>88</v>
      </c>
      <c r="C15" s="18" t="s">
        <v>89</v>
      </c>
      <c r="D15" s="20" t="n">
        <v>0.298687171929437</v>
      </c>
      <c r="E15" s="20" t="n">
        <v>0.24959390007113</v>
      </c>
      <c r="F15" s="20" t="n">
        <v>0.451718927999434</v>
      </c>
      <c r="G15" s="20" t="n">
        <v>0.548281072000567</v>
      </c>
      <c r="H15" s="20" t="n">
        <v>0.750406099928871</v>
      </c>
      <c r="I15" s="20" t="n">
        <v>0.701312828070563</v>
      </c>
      <c r="J15" s="18" t="s">
        <v>78</v>
      </c>
      <c r="K15" s="20" t="n">
        <v>0.118286300646693</v>
      </c>
    </row>
    <row r="16" customFormat="false" ht="15" hidden="false" customHeight="false" outlineLevel="0" collapsed="false">
      <c r="A16" s="18" t="n">
        <v>15</v>
      </c>
      <c r="B16" s="18" t="s">
        <v>88</v>
      </c>
      <c r="C16" s="18" t="s">
        <v>90</v>
      </c>
      <c r="D16" s="20" t="n">
        <v>0.450704071466609</v>
      </c>
      <c r="E16" s="20" t="n">
        <v>0.247793005350548</v>
      </c>
      <c r="F16" s="20" t="n">
        <v>0.301502923182843</v>
      </c>
      <c r="G16" s="20" t="n">
        <v>0.698497076817157</v>
      </c>
      <c r="H16" s="20" t="n">
        <v>0.752206994649452</v>
      </c>
      <c r="I16" s="20" t="n">
        <v>0.549295928533391</v>
      </c>
      <c r="J16" s="18" t="s">
        <v>78</v>
      </c>
      <c r="K16" s="20" t="n">
        <v>0.117177627391292</v>
      </c>
    </row>
    <row r="17" customFormat="false" ht="15" hidden="false" customHeight="false" outlineLevel="0" collapsed="false">
      <c r="A17" s="18" t="n">
        <v>16</v>
      </c>
      <c r="B17" s="18" t="s">
        <v>88</v>
      </c>
      <c r="C17" s="18" t="s">
        <v>81</v>
      </c>
      <c r="D17" s="20" t="n">
        <v>0.451622690447422</v>
      </c>
      <c r="E17" s="20" t="n">
        <v>0.266599119882747</v>
      </c>
      <c r="F17" s="20" t="n">
        <v>0.281778189669831</v>
      </c>
      <c r="G17" s="20" t="n">
        <v>0.718221810330169</v>
      </c>
      <c r="H17" s="20" t="n">
        <v>0.733400880117253</v>
      </c>
      <c r="I17" s="20" t="n">
        <v>0.548377309552578</v>
      </c>
      <c r="J17" s="18" t="s">
        <v>78</v>
      </c>
      <c r="K17" s="20" t="n">
        <v>0.125810374267626</v>
      </c>
    </row>
    <row r="18" customFormat="false" ht="15" hidden="false" customHeight="false" outlineLevel="0" collapsed="false">
      <c r="A18" s="18" t="n">
        <v>17</v>
      </c>
      <c r="B18" s="18" t="s">
        <v>91</v>
      </c>
      <c r="C18" s="18" t="s">
        <v>74</v>
      </c>
      <c r="D18" s="20" t="n">
        <v>0.488625056631443</v>
      </c>
      <c r="E18" s="20" t="n">
        <v>0.25596404955589</v>
      </c>
      <c r="F18" s="20" t="n">
        <v>0.255410893812668</v>
      </c>
      <c r="G18" s="20" t="n">
        <v>0.744589106187332</v>
      </c>
      <c r="H18" s="20" t="n">
        <v>0.744035950444111</v>
      </c>
      <c r="I18" s="20" t="n">
        <v>0.511374943368557</v>
      </c>
      <c r="J18" s="18" t="s">
        <v>75</v>
      </c>
      <c r="K18" s="20" t="n">
        <v>0.122802152594426</v>
      </c>
    </row>
    <row r="19" customFormat="false" ht="15" hidden="false" customHeight="false" outlineLevel="0" collapsed="false">
      <c r="A19" s="18" t="n">
        <v>18</v>
      </c>
      <c r="B19" s="18" t="s">
        <v>91</v>
      </c>
      <c r="C19" s="18" t="s">
        <v>88</v>
      </c>
      <c r="D19" s="20" t="n">
        <v>0.529264446484816</v>
      </c>
      <c r="E19" s="20" t="n">
        <v>0.238583431831998</v>
      </c>
      <c r="F19" s="20" t="n">
        <v>0.232152121683186</v>
      </c>
      <c r="G19" s="20" t="n">
        <v>0.767847878316815</v>
      </c>
      <c r="H19" s="20" t="n">
        <v>0.761416568168002</v>
      </c>
      <c r="I19" s="20" t="n">
        <v>0.470735553515184</v>
      </c>
      <c r="J19" s="18" t="s">
        <v>78</v>
      </c>
      <c r="K19" s="20" t="n">
        <v>0.113345868419594</v>
      </c>
    </row>
    <row r="20" customFormat="false" ht="15" hidden="false" customHeight="false" outlineLevel="0" collapsed="false">
      <c r="A20" s="18" t="n">
        <v>19</v>
      </c>
      <c r="B20" s="18" t="s">
        <v>91</v>
      </c>
      <c r="C20" s="18" t="s">
        <v>92</v>
      </c>
      <c r="D20" s="20" t="n">
        <v>0.717744160077261</v>
      </c>
      <c r="E20" s="20" t="n">
        <v>0.171872064016699</v>
      </c>
      <c r="F20" s="20" t="n">
        <v>0.11038377590604</v>
      </c>
      <c r="G20" s="20" t="n">
        <v>0.88961622409396</v>
      </c>
      <c r="H20" s="20" t="n">
        <v>0.828127935983301</v>
      </c>
      <c r="I20" s="20" t="n">
        <v>0.282255839922739</v>
      </c>
      <c r="J20" s="18" t="s">
        <v>93</v>
      </c>
      <c r="K20" s="20" t="n">
        <v>0.122804380425537</v>
      </c>
    </row>
    <row r="21" customFormat="false" ht="15" hidden="false" customHeight="false" outlineLevel="0" collapsed="false">
      <c r="A21" s="18" t="n">
        <v>20</v>
      </c>
      <c r="B21" s="18" t="s">
        <v>91</v>
      </c>
      <c r="C21" s="18" t="s">
        <v>81</v>
      </c>
      <c r="D21" s="20" t="n">
        <v>0.495364724417786</v>
      </c>
      <c r="E21" s="20" t="n">
        <v>0.262635362042403</v>
      </c>
      <c r="F21" s="20" t="n">
        <v>0.241999913539811</v>
      </c>
      <c r="G21" s="20" t="n">
        <v>0.758000086460189</v>
      </c>
      <c r="H21" s="20" t="n">
        <v>0.737364637957597</v>
      </c>
      <c r="I21" s="20" t="n">
        <v>0.504635275582214</v>
      </c>
      <c r="J21" s="18" t="s">
        <v>75</v>
      </c>
      <c r="K21" s="20" t="n">
        <v>0.135450996113479</v>
      </c>
    </row>
    <row r="22" customFormat="false" ht="15" hidden="false" customHeight="false" outlineLevel="0" collapsed="false">
      <c r="A22" s="18" t="n">
        <v>21</v>
      </c>
      <c r="B22" s="18" t="s">
        <v>91</v>
      </c>
      <c r="C22" s="18" t="s">
        <v>82</v>
      </c>
      <c r="D22" s="20" t="n">
        <v>0.596488740691601</v>
      </c>
      <c r="E22" s="20" t="n">
        <v>0.216740464328827</v>
      </c>
      <c r="F22" s="20" t="n">
        <v>0.186770794979572</v>
      </c>
      <c r="G22" s="20" t="n">
        <v>0.813229205020428</v>
      </c>
      <c r="H22" s="20" t="n">
        <v>0.783259535671174</v>
      </c>
      <c r="I22" s="20" t="n">
        <v>0.403511259308399</v>
      </c>
      <c r="J22" s="18" t="s">
        <v>75</v>
      </c>
      <c r="K22" s="20" t="n">
        <v>0.108994931004705</v>
      </c>
    </row>
    <row r="23" customFormat="false" ht="15" hidden="false" customHeight="false" outlineLevel="0" collapsed="false">
      <c r="A23" s="18" t="n">
        <v>22</v>
      </c>
      <c r="B23" s="18" t="s">
        <v>83</v>
      </c>
      <c r="C23" s="18" t="s">
        <v>92</v>
      </c>
      <c r="D23" s="20" t="n">
        <v>0.652621885693369</v>
      </c>
      <c r="E23" s="20" t="n">
        <v>0.200522086107634</v>
      </c>
      <c r="F23" s="20" t="n">
        <v>0.146856028198997</v>
      </c>
      <c r="G23" s="20" t="n">
        <v>0.853143971801003</v>
      </c>
      <c r="H23" s="20" t="n">
        <v>0.799477913892366</v>
      </c>
      <c r="I23" s="20" t="n">
        <v>0.347378114306631</v>
      </c>
      <c r="J23" s="18" t="s">
        <v>93</v>
      </c>
      <c r="K23" s="20" t="n">
        <v>0.116669080976543</v>
      </c>
    </row>
    <row r="24" customFormat="false" ht="15" hidden="false" customHeight="false" outlineLevel="0" collapsed="false">
      <c r="A24" s="18" t="n">
        <v>23</v>
      </c>
      <c r="B24" s="18" t="s">
        <v>83</v>
      </c>
      <c r="C24" s="18" t="s">
        <v>86</v>
      </c>
      <c r="D24" s="20" t="n">
        <v>0.397247154704857</v>
      </c>
      <c r="E24" s="20" t="n">
        <v>0.279620246095401</v>
      </c>
      <c r="F24" s="20" t="n">
        <v>0.323132599199743</v>
      </c>
      <c r="G24" s="20" t="n">
        <v>0.676867400800257</v>
      </c>
      <c r="H24" s="20" t="n">
        <v>0.720379753904599</v>
      </c>
      <c r="I24" s="20" t="n">
        <v>0.602752845295144</v>
      </c>
      <c r="J24" s="18" t="s">
        <v>78</v>
      </c>
      <c r="K24" s="20" t="n">
        <v>0.130489791776596</v>
      </c>
    </row>
    <row r="25" customFormat="false" ht="15" hidden="false" customHeight="false" outlineLevel="0" collapsed="false">
      <c r="A25" s="18" t="n">
        <v>24</v>
      </c>
      <c r="B25" s="18" t="s">
        <v>83</v>
      </c>
      <c r="C25" s="18" t="s">
        <v>94</v>
      </c>
      <c r="D25" s="20" t="n">
        <v>0.415872385759962</v>
      </c>
      <c r="E25" s="20" t="n">
        <v>0.271369974120152</v>
      </c>
      <c r="F25" s="20" t="n">
        <v>0.312757640119886</v>
      </c>
      <c r="G25" s="20" t="n">
        <v>0.687242359880114</v>
      </c>
      <c r="H25" s="20" t="n">
        <v>0.728630025879848</v>
      </c>
      <c r="I25" s="20" t="n">
        <v>0.584127614240038</v>
      </c>
      <c r="J25" s="18" t="s">
        <v>78</v>
      </c>
      <c r="K25" s="20" t="n">
        <v>0.12800738925528</v>
      </c>
    </row>
    <row r="26" customFormat="false" ht="15" hidden="false" customHeight="false" outlineLevel="0" collapsed="false">
      <c r="A26" s="18" t="n">
        <v>25</v>
      </c>
      <c r="B26" s="18" t="s">
        <v>83</v>
      </c>
      <c r="C26" s="18" t="s">
        <v>90</v>
      </c>
      <c r="D26" s="20" t="n">
        <v>0.429158576156502</v>
      </c>
      <c r="E26" s="20" t="n">
        <v>0.256552259128917</v>
      </c>
      <c r="F26" s="20" t="n">
        <v>0.314289164714581</v>
      </c>
      <c r="G26" s="20" t="n">
        <v>0.685710835285419</v>
      </c>
      <c r="H26" s="20" t="n">
        <v>0.743447740871083</v>
      </c>
      <c r="I26" s="20" t="n">
        <v>0.570841423843498</v>
      </c>
      <c r="J26" s="18" t="s">
        <v>78</v>
      </c>
      <c r="K26" s="20" t="n">
        <v>0.121917241783777</v>
      </c>
    </row>
    <row r="27" customFormat="false" ht="15" hidden="false" customHeight="false" outlineLevel="0" collapsed="false">
      <c r="A27" s="18" t="n">
        <v>26</v>
      </c>
      <c r="B27" s="18" t="s">
        <v>83</v>
      </c>
      <c r="C27" s="18" t="s">
        <v>87</v>
      </c>
      <c r="D27" s="20" t="n">
        <v>0.485510779136609</v>
      </c>
      <c r="E27" s="20" t="n">
        <v>0.251637820008903</v>
      </c>
      <c r="F27" s="20" t="n">
        <v>0.262851400854488</v>
      </c>
      <c r="G27" s="20" t="n">
        <v>0.737148599145512</v>
      </c>
      <c r="H27" s="20" t="n">
        <v>0.748362179991096</v>
      </c>
      <c r="I27" s="20" t="n">
        <v>0.514489220863391</v>
      </c>
      <c r="J27" s="18" t="s">
        <v>78</v>
      </c>
      <c r="K27" s="20" t="n">
        <v>0.119609534847529</v>
      </c>
    </row>
    <row r="28" customFormat="false" ht="15" hidden="false" customHeight="false" outlineLevel="0" collapsed="false">
      <c r="A28" s="18" t="n">
        <v>27</v>
      </c>
      <c r="B28" s="18" t="s">
        <v>83</v>
      </c>
      <c r="C28" s="18" t="s">
        <v>82</v>
      </c>
      <c r="D28" s="20" t="n">
        <v>0.526040686642669</v>
      </c>
      <c r="E28" s="20" t="n">
        <v>0.237840850811097</v>
      </c>
      <c r="F28" s="20" t="n">
        <v>0.236118462546234</v>
      </c>
      <c r="G28" s="20" t="n">
        <v>0.763881537453765</v>
      </c>
      <c r="H28" s="20" t="n">
        <v>0.762159149188903</v>
      </c>
      <c r="I28" s="20" t="n">
        <v>0.473959313357331</v>
      </c>
      <c r="J28" s="18" t="s">
        <v>78</v>
      </c>
      <c r="K28" s="20" t="n">
        <v>0.112886791994471</v>
      </c>
    </row>
    <row r="29" customFormat="false" ht="15" hidden="false" customHeight="false" outlineLevel="0" collapsed="false">
      <c r="A29" s="18" t="n">
        <v>28</v>
      </c>
      <c r="B29" s="18" t="s">
        <v>92</v>
      </c>
      <c r="C29" s="18" t="s">
        <v>73</v>
      </c>
      <c r="D29" s="20" t="n">
        <v>0.27393995755703</v>
      </c>
      <c r="E29" s="20" t="n">
        <v>0.255765047680959</v>
      </c>
      <c r="F29" s="20" t="n">
        <v>0.470294994762011</v>
      </c>
      <c r="G29" s="20" t="n">
        <v>0.529705005237989</v>
      </c>
      <c r="H29" s="20" t="n">
        <v>0.744234952319041</v>
      </c>
      <c r="I29" s="20" t="n">
        <v>0.72606004244297</v>
      </c>
      <c r="J29" s="18" t="s">
        <v>78</v>
      </c>
      <c r="K29" s="20" t="n">
        <v>0.121525136303602</v>
      </c>
    </row>
    <row r="30" customFormat="false" ht="15" hidden="false" customHeight="false" outlineLevel="0" collapsed="false">
      <c r="A30" s="18" t="n">
        <v>29</v>
      </c>
      <c r="B30" s="18" t="s">
        <v>92</v>
      </c>
      <c r="C30" s="18" t="s">
        <v>86</v>
      </c>
      <c r="D30" s="20" t="n">
        <v>0.251137103882167</v>
      </c>
      <c r="E30" s="20" t="n">
        <v>0.258344646651702</v>
      </c>
      <c r="F30" s="20" t="n">
        <v>0.490518249466131</v>
      </c>
      <c r="G30" s="20" t="n">
        <v>0.50948175053387</v>
      </c>
      <c r="H30" s="20" t="n">
        <v>0.741655353348298</v>
      </c>
      <c r="I30" s="20" t="n">
        <v>0.748862896117833</v>
      </c>
      <c r="J30" s="18" t="s">
        <v>95</v>
      </c>
      <c r="K30" s="20" t="n">
        <v>0.127082735095852</v>
      </c>
    </row>
    <row r="31" customFormat="false" ht="15" hidden="false" customHeight="false" outlineLevel="0" collapsed="false">
      <c r="A31" s="18" t="n">
        <v>30</v>
      </c>
      <c r="B31" s="18" t="s">
        <v>92</v>
      </c>
      <c r="C31" s="18" t="s">
        <v>94</v>
      </c>
      <c r="D31" s="20" t="n">
        <v>0.263879551007815</v>
      </c>
      <c r="E31" s="20" t="n">
        <v>0.254317073785885</v>
      </c>
      <c r="F31" s="20" t="n">
        <v>0.4818033752063</v>
      </c>
      <c r="G31" s="20" t="n">
        <v>0.5181966247937</v>
      </c>
      <c r="H31" s="20" t="n">
        <v>0.745682926214115</v>
      </c>
      <c r="I31" s="20" t="n">
        <v>0.736120448992185</v>
      </c>
      <c r="J31" s="18" t="s">
        <v>78</v>
      </c>
      <c r="K31" s="20" t="n">
        <v>0.120807694867753</v>
      </c>
    </row>
    <row r="32" customFormat="false" ht="15" hidden="false" customHeight="false" outlineLevel="0" collapsed="false">
      <c r="A32" s="18" t="n">
        <v>31</v>
      </c>
      <c r="B32" s="18" t="s">
        <v>92</v>
      </c>
      <c r="C32" s="18" t="s">
        <v>90</v>
      </c>
      <c r="D32" s="20" t="n">
        <v>0.268212555734817</v>
      </c>
      <c r="E32" s="20" t="n">
        <v>0.240733916109163</v>
      </c>
      <c r="F32" s="20" t="n">
        <v>0.49105352815602</v>
      </c>
      <c r="G32" s="20" t="n">
        <v>0.50894647184398</v>
      </c>
      <c r="H32" s="20" t="n">
        <v>0.759266083890837</v>
      </c>
      <c r="I32" s="20" t="n">
        <v>0.731787444265184</v>
      </c>
      <c r="J32" s="18" t="s">
        <v>78</v>
      </c>
      <c r="K32" s="20" t="n">
        <v>0.113688787673075</v>
      </c>
    </row>
    <row r="33" customFormat="false" ht="15" hidden="false" customHeight="false" outlineLevel="0" collapsed="false">
      <c r="A33" s="18" t="n">
        <v>32</v>
      </c>
      <c r="B33" s="18" t="s">
        <v>92</v>
      </c>
      <c r="C33" s="18" t="s">
        <v>77</v>
      </c>
      <c r="D33" s="20" t="n">
        <v>0.153956677898085</v>
      </c>
      <c r="E33" s="20" t="n">
        <v>0.212181613505321</v>
      </c>
      <c r="F33" s="20" t="n">
        <v>0.633861708596595</v>
      </c>
      <c r="G33" s="20" t="n">
        <v>0.366138291403406</v>
      </c>
      <c r="H33" s="20" t="n">
        <v>0.787818386494679</v>
      </c>
      <c r="I33" s="20" t="n">
        <v>0.846043322101916</v>
      </c>
      <c r="J33" s="18" t="s">
        <v>95</v>
      </c>
      <c r="K33" s="20" t="n">
        <v>0.12646233693142</v>
      </c>
    </row>
    <row r="34" customFormat="false" ht="15" hidden="false" customHeight="false" outlineLevel="0" collapsed="false">
      <c r="A34" s="18" t="n">
        <v>33</v>
      </c>
      <c r="B34" s="18" t="s">
        <v>92</v>
      </c>
      <c r="C34" s="18" t="s">
        <v>82</v>
      </c>
      <c r="D34" s="20" t="n">
        <v>0.354223598922765</v>
      </c>
      <c r="E34" s="20" t="n">
        <v>0.248614935152616</v>
      </c>
      <c r="F34" s="20" t="n">
        <v>0.397161465924619</v>
      </c>
      <c r="G34" s="20" t="n">
        <v>0.602838534075381</v>
      </c>
      <c r="H34" s="20" t="n">
        <v>0.751385064847384</v>
      </c>
      <c r="I34" s="20" t="n">
        <v>0.645776401077234</v>
      </c>
      <c r="J34" s="18" t="s">
        <v>78</v>
      </c>
      <c r="K34" s="20" t="n">
        <v>0.116941042349487</v>
      </c>
    </row>
    <row r="35" customFormat="false" ht="15" hidden="false" customHeight="false" outlineLevel="0" collapsed="false">
      <c r="A35" s="18" t="n">
        <v>34</v>
      </c>
      <c r="B35" s="18" t="s">
        <v>84</v>
      </c>
      <c r="C35" s="18" t="s">
        <v>91</v>
      </c>
      <c r="D35" s="20" t="n">
        <v>0.411581103777085</v>
      </c>
      <c r="E35" s="20" t="n">
        <v>0.276400828648805</v>
      </c>
      <c r="F35" s="20" t="n">
        <v>0.312018067574111</v>
      </c>
      <c r="G35" s="20" t="n">
        <v>0.68798193242589</v>
      </c>
      <c r="H35" s="20" t="n">
        <v>0.723599171351195</v>
      </c>
      <c r="I35" s="20" t="n">
        <v>0.588418896222915</v>
      </c>
      <c r="J35" s="18" t="s">
        <v>78</v>
      </c>
      <c r="K35" s="20" t="n">
        <v>0.129463487952563</v>
      </c>
    </row>
    <row r="36" customFormat="false" ht="15" hidden="false" customHeight="false" outlineLevel="0" collapsed="false">
      <c r="A36" s="18" t="n">
        <v>35</v>
      </c>
      <c r="B36" s="18" t="s">
        <v>84</v>
      </c>
      <c r="C36" s="18" t="s">
        <v>97</v>
      </c>
      <c r="D36" s="20" t="n">
        <v>0.476731662111688</v>
      </c>
      <c r="E36" s="20" t="n">
        <v>0.26577471489324</v>
      </c>
      <c r="F36" s="20" t="n">
        <v>0.257493622995072</v>
      </c>
      <c r="G36" s="20" t="n">
        <v>0.742506377004928</v>
      </c>
      <c r="H36" s="20" t="n">
        <v>0.73422528510676</v>
      </c>
      <c r="I36" s="20" t="n">
        <v>0.523268337888312</v>
      </c>
      <c r="J36" s="18" t="s">
        <v>75</v>
      </c>
      <c r="K36" s="20" t="n">
        <v>0.132304858484198</v>
      </c>
    </row>
    <row r="37" customFormat="false" ht="15" hidden="false" customHeight="false" outlineLevel="0" collapsed="false">
      <c r="A37" s="18" t="n">
        <v>36</v>
      </c>
      <c r="B37" s="18" t="s">
        <v>84</v>
      </c>
      <c r="C37" s="18" t="s">
        <v>90</v>
      </c>
      <c r="D37" s="20" t="n">
        <v>0.433323322665609</v>
      </c>
      <c r="E37" s="20" t="n">
        <v>0.26786967721078</v>
      </c>
      <c r="F37" s="20" t="n">
        <v>0.298807000123611</v>
      </c>
      <c r="G37" s="20" t="n">
        <v>0.701192999876389</v>
      </c>
      <c r="H37" s="20" t="n">
        <v>0.73213032278922</v>
      </c>
      <c r="I37" s="20" t="n">
        <v>0.566676677334391</v>
      </c>
      <c r="J37" s="18" t="s">
        <v>78</v>
      </c>
      <c r="K37" s="20" t="n">
        <v>0.126606343141552</v>
      </c>
    </row>
    <row r="38" customFormat="false" ht="15" hidden="false" customHeight="false" outlineLevel="0" collapsed="false">
      <c r="A38" s="18" t="n">
        <v>37</v>
      </c>
      <c r="B38" s="18" t="s">
        <v>84</v>
      </c>
      <c r="C38" s="18" t="s">
        <v>98</v>
      </c>
      <c r="D38" s="20" t="n">
        <v>0.544433707233567</v>
      </c>
      <c r="E38" s="20" t="n">
        <v>0.257265112714017</v>
      </c>
      <c r="F38" s="20" t="n">
        <v>0.198301180052416</v>
      </c>
      <c r="G38" s="20" t="n">
        <v>0.801698819947584</v>
      </c>
      <c r="H38" s="20" t="n">
        <v>0.742734887285983</v>
      </c>
      <c r="I38" s="20" t="n">
        <v>0.455566292766433</v>
      </c>
      <c r="J38" s="18" t="s">
        <v>75</v>
      </c>
      <c r="K38" s="20" t="n">
        <v>0.151684987826354</v>
      </c>
    </row>
    <row r="39" customFormat="false" ht="15" hidden="false" customHeight="false" outlineLevel="0" collapsed="false">
      <c r="A39" s="18" t="n">
        <v>38</v>
      </c>
      <c r="B39" s="18" t="s">
        <v>85</v>
      </c>
      <c r="C39" s="18" t="s">
        <v>91</v>
      </c>
      <c r="D39" s="20" t="n">
        <v>0.320231495630554</v>
      </c>
      <c r="E39" s="20" t="n">
        <v>0.250291422732277</v>
      </c>
      <c r="F39" s="20" t="n">
        <v>0.429477081637169</v>
      </c>
      <c r="G39" s="20" t="n">
        <v>0.570522918362831</v>
      </c>
      <c r="H39" s="20" t="n">
        <v>0.749708577267723</v>
      </c>
      <c r="I39" s="20" t="n">
        <v>0.679768504369446</v>
      </c>
      <c r="J39" s="18" t="s">
        <v>78</v>
      </c>
      <c r="K39" s="20" t="n">
        <v>0.118390052714224</v>
      </c>
    </row>
    <row r="40" customFormat="false" ht="15" hidden="false" customHeight="false" outlineLevel="0" collapsed="false">
      <c r="A40" s="18" t="n">
        <v>39</v>
      </c>
      <c r="B40" s="18" t="s">
        <v>85</v>
      </c>
      <c r="C40" s="18" t="s">
        <v>89</v>
      </c>
      <c r="D40" s="20" t="n">
        <v>0.204689724287008</v>
      </c>
      <c r="E40" s="20" t="n">
        <v>0.218944244685762</v>
      </c>
      <c r="F40" s="20" t="n">
        <v>0.57636603102723</v>
      </c>
      <c r="G40" s="20" t="n">
        <v>0.42363396897277</v>
      </c>
      <c r="H40" s="20" t="n">
        <v>0.781055755314238</v>
      </c>
      <c r="I40" s="20" t="n">
        <v>0.795310275712992</v>
      </c>
      <c r="J40" s="18" t="s">
        <v>78</v>
      </c>
      <c r="K40" s="20" t="n">
        <v>0.103010067988622</v>
      </c>
    </row>
    <row r="41" customFormat="false" ht="15" hidden="false" customHeight="false" outlineLevel="0" collapsed="false">
      <c r="A41" s="18" t="n">
        <v>40</v>
      </c>
      <c r="B41" s="18" t="s">
        <v>85</v>
      </c>
      <c r="C41" s="18" t="s">
        <v>97</v>
      </c>
      <c r="D41" s="20" t="n">
        <v>0.38584176131359</v>
      </c>
      <c r="E41" s="20" t="n">
        <v>0.251757542803976</v>
      </c>
      <c r="F41" s="20" t="n">
        <v>0.362400695882433</v>
      </c>
      <c r="G41" s="20" t="n">
        <v>0.637599304117567</v>
      </c>
      <c r="H41" s="20" t="n">
        <v>0.748242457196024</v>
      </c>
      <c r="I41" s="20" t="n">
        <v>0.61415823868641</v>
      </c>
      <c r="J41" s="18" t="s">
        <v>78</v>
      </c>
      <c r="K41" s="20" t="n">
        <v>0.118931961591802</v>
      </c>
    </row>
    <row r="42" customFormat="false" ht="15" hidden="false" customHeight="false" outlineLevel="0" collapsed="false">
      <c r="A42" s="18" t="n">
        <v>41</v>
      </c>
      <c r="B42" s="18" t="s">
        <v>85</v>
      </c>
      <c r="C42" s="18" t="s">
        <v>87</v>
      </c>
      <c r="D42" s="20" t="n">
        <v>0.396012732313812</v>
      </c>
      <c r="E42" s="20" t="n">
        <v>0.250068041588119</v>
      </c>
      <c r="F42" s="20" t="n">
        <v>0.35391922609807</v>
      </c>
      <c r="G42" s="20" t="n">
        <v>0.646080773901931</v>
      </c>
      <c r="H42" s="20" t="n">
        <v>0.749931958411881</v>
      </c>
      <c r="I42" s="20" t="n">
        <v>0.603987267686189</v>
      </c>
      <c r="J42" s="18" t="s">
        <v>78</v>
      </c>
      <c r="K42" s="20" t="n">
        <v>0.117898383775263</v>
      </c>
    </row>
    <row r="43" customFormat="false" ht="15" hidden="false" customHeight="false" outlineLevel="0" collapsed="false">
      <c r="A43" s="18" t="n">
        <v>42</v>
      </c>
      <c r="B43" s="18" t="s">
        <v>85</v>
      </c>
      <c r="C43" s="18" t="s">
        <v>98</v>
      </c>
      <c r="D43" s="20" t="n">
        <v>0.461792939476874</v>
      </c>
      <c r="E43" s="20" t="n">
        <v>0.254127917591347</v>
      </c>
      <c r="F43" s="20" t="n">
        <v>0.284079142931779</v>
      </c>
      <c r="G43" s="20" t="n">
        <v>0.715920857068221</v>
      </c>
      <c r="H43" s="20" t="n">
        <v>0.745872082408653</v>
      </c>
      <c r="I43" s="20" t="n">
        <v>0.538207060523126</v>
      </c>
      <c r="J43" s="18" t="s">
        <v>78</v>
      </c>
      <c r="K43" s="20" t="n">
        <v>0.120802043314174</v>
      </c>
    </row>
    <row r="44" customFormat="false" ht="15" hidden="false" customHeight="false" outlineLevel="0" collapsed="false">
      <c r="A44" s="18" t="n">
        <v>43</v>
      </c>
      <c r="B44" s="18" t="s">
        <v>86</v>
      </c>
      <c r="C44" s="18" t="s">
        <v>88</v>
      </c>
      <c r="D44" s="20" t="n">
        <v>0.514548977154803</v>
      </c>
      <c r="E44" s="20" t="n">
        <v>0.253881503931163</v>
      </c>
      <c r="F44" s="20" t="n">
        <v>0.231569518914034</v>
      </c>
      <c r="G44" s="20" t="n">
        <v>0.768430481085966</v>
      </c>
      <c r="H44" s="20" t="n">
        <v>0.746118496068837</v>
      </c>
      <c r="I44" s="20" t="n">
        <v>0.485451022845197</v>
      </c>
      <c r="J44" s="18" t="s">
        <v>75</v>
      </c>
      <c r="K44" s="20" t="n">
        <v>0.130706069948952</v>
      </c>
    </row>
    <row r="45" customFormat="false" ht="15" hidden="false" customHeight="false" outlineLevel="0" collapsed="false">
      <c r="A45" s="18" t="n">
        <v>44</v>
      </c>
      <c r="B45" s="18" t="s">
        <v>86</v>
      </c>
      <c r="C45" s="18" t="s">
        <v>99</v>
      </c>
      <c r="D45" s="20" t="n">
        <v>0.496336965857958</v>
      </c>
      <c r="E45" s="20" t="n">
        <v>0.268953599442637</v>
      </c>
      <c r="F45" s="20" t="n">
        <v>0.234709434699406</v>
      </c>
      <c r="G45" s="20" t="n">
        <v>0.765290565300595</v>
      </c>
      <c r="H45" s="20" t="n">
        <v>0.731046400557363</v>
      </c>
      <c r="I45" s="20" t="n">
        <v>0.503663034142043</v>
      </c>
      <c r="J45" s="18" t="s">
        <v>75</v>
      </c>
      <c r="K45" s="20" t="n">
        <v>0.1451035714615</v>
      </c>
    </row>
    <row r="46" customFormat="false" ht="15" hidden="false" customHeight="false" outlineLevel="0" collapsed="false">
      <c r="A46" s="18" t="n">
        <v>45</v>
      </c>
      <c r="B46" s="18" t="s">
        <v>86</v>
      </c>
      <c r="C46" s="18" t="s">
        <v>77</v>
      </c>
      <c r="D46" s="20" t="n">
        <v>0.327687390070479</v>
      </c>
      <c r="E46" s="20" t="n">
        <v>0.288417548798244</v>
      </c>
      <c r="F46" s="20" t="n">
        <v>0.383895061131278</v>
      </c>
      <c r="G46" s="20" t="n">
        <v>0.616104938868722</v>
      </c>
      <c r="H46" s="20" t="n">
        <v>0.711582451201756</v>
      </c>
      <c r="I46" s="20" t="n">
        <v>0.672312609929521</v>
      </c>
      <c r="J46" s="18" t="s">
        <v>78</v>
      </c>
      <c r="K46" s="20" t="n">
        <v>0.132278310415411</v>
      </c>
    </row>
    <row r="47" customFormat="false" ht="15" hidden="false" customHeight="false" outlineLevel="0" collapsed="false">
      <c r="A47" s="18" t="n">
        <v>46</v>
      </c>
      <c r="B47" s="18" t="s">
        <v>86</v>
      </c>
      <c r="C47" s="18" t="s">
        <v>79</v>
      </c>
      <c r="D47" s="20" t="n">
        <v>0.637996516603916</v>
      </c>
      <c r="E47" s="20" t="n">
        <v>0.210521677170073</v>
      </c>
      <c r="F47" s="20" t="n">
        <v>0.151481806226011</v>
      </c>
      <c r="G47" s="20" t="n">
        <v>0.848518193773989</v>
      </c>
      <c r="H47" s="20" t="n">
        <v>0.789478322829928</v>
      </c>
      <c r="I47" s="20" t="n">
        <v>0.362003483396084</v>
      </c>
      <c r="J47" s="18" t="s">
        <v>75</v>
      </c>
      <c r="K47" s="20" t="n">
        <v>0.126185190592038</v>
      </c>
    </row>
    <row r="48" customFormat="false" ht="15" hidden="false" customHeight="false" outlineLevel="0" collapsed="false">
      <c r="A48" s="18" t="n">
        <v>47</v>
      </c>
      <c r="B48" s="18" t="s">
        <v>86</v>
      </c>
      <c r="C48" s="18" t="s">
        <v>81</v>
      </c>
      <c r="D48" s="20" t="n">
        <v>0.480814742760228</v>
      </c>
      <c r="E48" s="20" t="n">
        <v>0.27931563641294</v>
      </c>
      <c r="F48" s="20" t="n">
        <v>0.239869620826833</v>
      </c>
      <c r="G48" s="20" t="n">
        <v>0.760130379173167</v>
      </c>
      <c r="H48" s="20" t="n">
        <v>0.72068436358706</v>
      </c>
      <c r="I48" s="20" t="n">
        <v>0.519185257239772</v>
      </c>
      <c r="J48" s="18" t="s">
        <v>75</v>
      </c>
      <c r="K48" s="20" t="n">
        <v>0.152617287365882</v>
      </c>
    </row>
    <row r="49" customFormat="false" ht="15" hidden="false" customHeight="false" outlineLevel="0" collapsed="false">
      <c r="A49" s="18" t="n">
        <v>48</v>
      </c>
      <c r="B49" s="18" t="s">
        <v>89</v>
      </c>
      <c r="C49" s="18" t="s">
        <v>73</v>
      </c>
      <c r="D49" s="20" t="n">
        <v>0.633817361932326</v>
      </c>
      <c r="E49" s="20" t="n">
        <v>0.211700939793445</v>
      </c>
      <c r="F49" s="20" t="n">
        <v>0.154481698274229</v>
      </c>
      <c r="G49" s="20" t="n">
        <v>0.845518301725771</v>
      </c>
      <c r="H49" s="20" t="n">
        <v>0.788299060206555</v>
      </c>
      <c r="I49" s="20" t="n">
        <v>0.366182638067674</v>
      </c>
      <c r="J49" s="18" t="s">
        <v>75</v>
      </c>
      <c r="K49" s="20" t="n">
        <v>0.12536383657975</v>
      </c>
    </row>
    <row r="50" customFormat="false" ht="15" hidden="false" customHeight="false" outlineLevel="0" collapsed="false">
      <c r="A50" s="18" t="n">
        <v>49</v>
      </c>
      <c r="B50" s="18" t="s">
        <v>89</v>
      </c>
      <c r="C50" s="18" t="s">
        <v>74</v>
      </c>
      <c r="D50" s="20" t="n">
        <v>0.629029529027885</v>
      </c>
      <c r="E50" s="20" t="n">
        <v>0.212404248719823</v>
      </c>
      <c r="F50" s="20" t="n">
        <v>0.158566222252292</v>
      </c>
      <c r="G50" s="20" t="n">
        <v>0.841433777747708</v>
      </c>
      <c r="H50" s="20" t="n">
        <v>0.787595751280177</v>
      </c>
      <c r="I50" s="20" t="n">
        <v>0.370970470972115</v>
      </c>
      <c r="J50" s="18" t="s">
        <v>75</v>
      </c>
      <c r="K50" s="20" t="n">
        <v>0.123068491246703</v>
      </c>
    </row>
    <row r="51" customFormat="false" ht="15" hidden="false" customHeight="false" outlineLevel="0" collapsed="false">
      <c r="A51" s="18" t="n">
        <v>50</v>
      </c>
      <c r="B51" s="18" t="s">
        <v>89</v>
      </c>
      <c r="C51" s="18" t="s">
        <v>92</v>
      </c>
      <c r="D51" s="20" t="n">
        <v>0.834156029199319</v>
      </c>
      <c r="E51" s="20" t="n">
        <v>0.111137751182224</v>
      </c>
      <c r="F51" s="20" t="n">
        <v>0.0547062196184578</v>
      </c>
      <c r="G51" s="20" t="n">
        <v>0.945293780381542</v>
      </c>
      <c r="H51" s="20" t="n">
        <v>0.888862248817777</v>
      </c>
      <c r="I51" s="20" t="n">
        <v>0.165843970800682</v>
      </c>
      <c r="J51" s="18" t="s">
        <v>93</v>
      </c>
      <c r="K51" s="20" t="n">
        <v>0.121605803354001</v>
      </c>
    </row>
    <row r="52" customFormat="false" ht="15" hidden="false" customHeight="false" outlineLevel="0" collapsed="false">
      <c r="A52" s="18" t="n">
        <v>51</v>
      </c>
      <c r="B52" s="18" t="s">
        <v>89</v>
      </c>
      <c r="C52" s="18" t="s">
        <v>94</v>
      </c>
      <c r="D52" s="20" t="n">
        <v>0.621240755764678</v>
      </c>
      <c r="E52" s="20" t="n">
        <v>0.216805911128329</v>
      </c>
      <c r="F52" s="20" t="n">
        <v>0.161953333106993</v>
      </c>
      <c r="G52" s="20" t="n">
        <v>0.838046666893007</v>
      </c>
      <c r="H52" s="20" t="n">
        <v>0.783194088871671</v>
      </c>
      <c r="I52" s="20" t="n">
        <v>0.378759244235322</v>
      </c>
      <c r="J52" s="18" t="s">
        <v>75</v>
      </c>
      <c r="K52" s="20" t="n">
        <v>0.126497345752003</v>
      </c>
    </row>
    <row r="53" customFormat="false" ht="15" hidden="false" customHeight="false" outlineLevel="0" collapsed="false">
      <c r="A53" s="18" t="n">
        <v>52</v>
      </c>
      <c r="B53" s="18" t="s">
        <v>89</v>
      </c>
      <c r="C53" s="18" t="s">
        <v>97</v>
      </c>
      <c r="D53" s="20" t="n">
        <v>0.684039405587102</v>
      </c>
      <c r="E53" s="20" t="n">
        <v>0.186901425211006</v>
      </c>
      <c r="F53" s="20" t="n">
        <v>0.129059169201892</v>
      </c>
      <c r="G53" s="20" t="n">
        <v>0.870940830798108</v>
      </c>
      <c r="H53" s="20" t="n">
        <v>0.813098574788994</v>
      </c>
      <c r="I53" s="20" t="n">
        <v>0.315960594412898</v>
      </c>
      <c r="J53" s="18" t="s">
        <v>93</v>
      </c>
      <c r="K53" s="20" t="n">
        <v>0.119552505269883</v>
      </c>
    </row>
    <row r="54" customFormat="false" ht="15" hidden="false" customHeight="false" outlineLevel="0" collapsed="false">
      <c r="A54" s="18" t="n">
        <v>53</v>
      </c>
      <c r="B54" s="18" t="s">
        <v>94</v>
      </c>
      <c r="C54" s="18" t="s">
        <v>85</v>
      </c>
      <c r="D54" s="20" t="n">
        <v>0.627227752522016</v>
      </c>
      <c r="E54" s="20" t="n">
        <v>0.210393608813374</v>
      </c>
      <c r="F54" s="20" t="n">
        <v>0.16237863866461</v>
      </c>
      <c r="G54" s="20" t="n">
        <v>0.83762136133539</v>
      </c>
      <c r="H54" s="20" t="n">
        <v>0.789606391186626</v>
      </c>
      <c r="I54" s="20" t="n">
        <v>0.372772247477984</v>
      </c>
      <c r="J54" s="18" t="s">
        <v>75</v>
      </c>
      <c r="K54" s="20" t="n">
        <v>0.117283830197497</v>
      </c>
    </row>
    <row r="55" customFormat="false" ht="15" hidden="false" customHeight="false" outlineLevel="0" collapsed="false">
      <c r="A55" s="18" t="n">
        <v>54</v>
      </c>
      <c r="B55" s="18" t="s">
        <v>94</v>
      </c>
      <c r="C55" s="18" t="s">
        <v>86</v>
      </c>
      <c r="D55" s="20" t="n">
        <v>0.440231034863097</v>
      </c>
      <c r="E55" s="20" t="n">
        <v>0.280404026988705</v>
      </c>
      <c r="F55" s="20" t="n">
        <v>0.279364938148197</v>
      </c>
      <c r="G55" s="20" t="n">
        <v>0.720635061851803</v>
      </c>
      <c r="H55" s="20" t="n">
        <v>0.719595973011295</v>
      </c>
      <c r="I55" s="20" t="n">
        <v>0.559768965136903</v>
      </c>
      <c r="J55" s="18" t="s">
        <v>75</v>
      </c>
      <c r="K55" s="20" t="n">
        <v>0.138194339342334</v>
      </c>
    </row>
    <row r="56" customFormat="false" ht="15" hidden="false" customHeight="false" outlineLevel="0" collapsed="false">
      <c r="A56" s="18" t="n">
        <v>55</v>
      </c>
      <c r="B56" s="18" t="s">
        <v>94</v>
      </c>
      <c r="C56" s="18" t="s">
        <v>99</v>
      </c>
      <c r="D56" s="20" t="n">
        <v>0.488756030674576</v>
      </c>
      <c r="E56" s="20" t="n">
        <v>0.264725942875028</v>
      </c>
      <c r="F56" s="20" t="n">
        <v>0.246518026450396</v>
      </c>
      <c r="G56" s="20" t="n">
        <v>0.753481973549605</v>
      </c>
      <c r="H56" s="20" t="n">
        <v>0.735274057124972</v>
      </c>
      <c r="I56" s="20" t="n">
        <v>0.511243969325424</v>
      </c>
      <c r="J56" s="18" t="s">
        <v>75</v>
      </c>
      <c r="K56" s="20" t="n">
        <v>0.135682980587335</v>
      </c>
    </row>
    <row r="57" customFormat="false" ht="15" hidden="false" customHeight="false" outlineLevel="0" collapsed="false">
      <c r="A57" s="18" t="n">
        <v>56</v>
      </c>
      <c r="B57" s="18" t="s">
        <v>94</v>
      </c>
      <c r="C57" s="18" t="s">
        <v>90</v>
      </c>
      <c r="D57" s="20" t="n">
        <v>0.476039001962594</v>
      </c>
      <c r="E57" s="20" t="n">
        <v>0.254996214901869</v>
      </c>
      <c r="F57" s="20" t="n">
        <v>0.268964783135538</v>
      </c>
      <c r="G57" s="20" t="n">
        <v>0.731035216864463</v>
      </c>
      <c r="H57" s="20" t="n">
        <v>0.745003785098131</v>
      </c>
      <c r="I57" s="20" t="n">
        <v>0.523960998037407</v>
      </c>
      <c r="J57" s="18" t="s">
        <v>78</v>
      </c>
      <c r="K57" s="20" t="n">
        <v>0.121149440699408</v>
      </c>
    </row>
    <row r="58" customFormat="false" ht="15" hidden="false" customHeight="false" outlineLevel="0" collapsed="false">
      <c r="A58" s="18" t="n">
        <v>57</v>
      </c>
      <c r="B58" s="18" t="s">
        <v>94</v>
      </c>
      <c r="C58" s="18" t="s">
        <v>87</v>
      </c>
      <c r="D58" s="20" t="n">
        <v>0.531355529264127</v>
      </c>
      <c r="E58" s="20" t="n">
        <v>0.245965059707496</v>
      </c>
      <c r="F58" s="20" t="n">
        <v>0.222679411028377</v>
      </c>
      <c r="G58" s="20" t="n">
        <v>0.777320588971623</v>
      </c>
      <c r="H58" s="20" t="n">
        <v>0.754034940292504</v>
      </c>
      <c r="I58" s="20" t="n">
        <v>0.468644470735873</v>
      </c>
      <c r="J58" s="18" t="s">
        <v>75</v>
      </c>
      <c r="K58" s="20" t="n">
        <v>0.125933620969294</v>
      </c>
    </row>
    <row r="59" customFormat="false" ht="15" hidden="false" customHeight="false" outlineLevel="0" collapsed="false">
      <c r="A59" s="18" t="n">
        <v>58</v>
      </c>
      <c r="B59" s="18" t="s">
        <v>97</v>
      </c>
      <c r="C59" s="18" t="s">
        <v>73</v>
      </c>
      <c r="D59" s="20" t="n">
        <v>0.428918087517414</v>
      </c>
      <c r="E59" s="20" t="n">
        <v>0.265920880638504</v>
      </c>
      <c r="F59" s="20" t="n">
        <v>0.305161031844082</v>
      </c>
      <c r="G59" s="20" t="n">
        <v>0.694838968155918</v>
      </c>
      <c r="H59" s="20" t="n">
        <v>0.734079119361496</v>
      </c>
      <c r="I59" s="20" t="n">
        <v>0.571081912482586</v>
      </c>
      <c r="J59" s="18" t="s">
        <v>78</v>
      </c>
      <c r="K59" s="20" t="n">
        <v>0.126002213347753</v>
      </c>
    </row>
    <row r="60" customFormat="false" ht="15" hidden="false" customHeight="false" outlineLevel="0" collapsed="false">
      <c r="A60" s="18" t="n">
        <v>59</v>
      </c>
      <c r="B60" s="18" t="s">
        <v>97</v>
      </c>
      <c r="C60" s="18" t="s">
        <v>88</v>
      </c>
      <c r="D60" s="20" t="n">
        <v>0.461009677352878</v>
      </c>
      <c r="E60" s="20" t="n">
        <v>0.250869873803684</v>
      </c>
      <c r="F60" s="20" t="n">
        <v>0.288120448843439</v>
      </c>
      <c r="G60" s="20" t="n">
        <v>0.711879551156562</v>
      </c>
      <c r="H60" s="20" t="n">
        <v>0.749130126196316</v>
      </c>
      <c r="I60" s="20" t="n">
        <v>0.538990322647122</v>
      </c>
      <c r="J60" s="18" t="s">
        <v>78</v>
      </c>
      <c r="K60" s="20" t="n">
        <v>0.1191251516429</v>
      </c>
    </row>
    <row r="61" customFormat="false" ht="15" hidden="false" customHeight="false" outlineLevel="0" collapsed="false">
      <c r="A61" s="18" t="n">
        <v>60</v>
      </c>
      <c r="B61" s="18" t="s">
        <v>97</v>
      </c>
      <c r="C61" s="18" t="s">
        <v>86</v>
      </c>
      <c r="D61" s="20" t="n">
        <v>0.398057052040988</v>
      </c>
      <c r="E61" s="20" t="n">
        <v>0.275904826469972</v>
      </c>
      <c r="F61" s="20" t="n">
        <v>0.32603812148904</v>
      </c>
      <c r="G61" s="20" t="n">
        <v>0.67396187851096</v>
      </c>
      <c r="H61" s="20" t="n">
        <v>0.724095173530028</v>
      </c>
      <c r="I61" s="20" t="n">
        <v>0.601942947959012</v>
      </c>
      <c r="J61" s="18" t="s">
        <v>78</v>
      </c>
      <c r="K61" s="20" t="n">
        <v>0.129572968015826</v>
      </c>
    </row>
    <row r="62" customFormat="false" ht="15" hidden="false" customHeight="false" outlineLevel="0" collapsed="false">
      <c r="A62" s="18" t="n">
        <v>61</v>
      </c>
      <c r="B62" s="18" t="s">
        <v>97</v>
      </c>
      <c r="C62" s="18" t="s">
        <v>99</v>
      </c>
      <c r="D62" s="20" t="n">
        <v>0.445596013823509</v>
      </c>
      <c r="E62" s="20" t="n">
        <v>0.264075608958079</v>
      </c>
      <c r="F62" s="20" t="n">
        <v>0.290328377218412</v>
      </c>
      <c r="G62" s="20" t="n">
        <v>0.709671622781588</v>
      </c>
      <c r="H62" s="20" t="n">
        <v>0.735924391041921</v>
      </c>
      <c r="I62" s="20" t="n">
        <v>0.554403986176491</v>
      </c>
      <c r="J62" s="18" t="s">
        <v>78</v>
      </c>
      <c r="K62" s="20" t="n">
        <v>0.125101008991162</v>
      </c>
    </row>
    <row r="63" customFormat="false" ht="15" hidden="false" customHeight="false" outlineLevel="0" collapsed="false">
      <c r="A63" s="18" t="n">
        <v>62</v>
      </c>
      <c r="B63" s="18" t="s">
        <v>97</v>
      </c>
      <c r="C63" s="18" t="s">
        <v>90</v>
      </c>
      <c r="D63" s="20" t="n">
        <v>0.429891761159277</v>
      </c>
      <c r="E63" s="20" t="n">
        <v>0.253264509069587</v>
      </c>
      <c r="F63" s="20" t="n">
        <v>0.316843729771136</v>
      </c>
      <c r="G63" s="20" t="n">
        <v>0.683156270228864</v>
      </c>
      <c r="H63" s="20" t="n">
        <v>0.746735490930413</v>
      </c>
      <c r="I63" s="20" t="n">
        <v>0.570108238840722</v>
      </c>
      <c r="J63" s="18" t="s">
        <v>78</v>
      </c>
      <c r="K63" s="20" t="n">
        <v>0.120152352968735</v>
      </c>
    </row>
    <row r="64" customFormat="false" ht="15" hidden="false" customHeight="false" outlineLevel="0" collapsed="false">
      <c r="A64" s="18" t="n">
        <v>63</v>
      </c>
      <c r="B64" s="18" t="s">
        <v>99</v>
      </c>
      <c r="C64" s="18" t="s">
        <v>91</v>
      </c>
      <c r="D64" s="20" t="n">
        <v>0.424688896181804</v>
      </c>
      <c r="E64" s="20" t="n">
        <v>0.267687943243933</v>
      </c>
      <c r="F64" s="20" t="n">
        <v>0.307623160574263</v>
      </c>
      <c r="G64" s="20" t="n">
        <v>0.692376839425737</v>
      </c>
      <c r="H64" s="20" t="n">
        <v>0.732312056756067</v>
      </c>
      <c r="I64" s="20" t="n">
        <v>0.575311103818196</v>
      </c>
      <c r="J64" s="18" t="s">
        <v>78</v>
      </c>
      <c r="K64" s="20" t="n">
        <v>0.126681879248606</v>
      </c>
    </row>
    <row r="65" customFormat="false" ht="15" hidden="false" customHeight="false" outlineLevel="0" collapsed="false">
      <c r="A65" s="18" t="n">
        <v>64</v>
      </c>
      <c r="B65" s="18" t="s">
        <v>99</v>
      </c>
      <c r="C65" s="18" t="s">
        <v>83</v>
      </c>
      <c r="D65" s="20" t="n">
        <v>0.48664916245173</v>
      </c>
      <c r="E65" s="20" t="n">
        <v>0.260249364276429</v>
      </c>
      <c r="F65" s="20" t="n">
        <v>0.253101473271841</v>
      </c>
      <c r="G65" s="20" t="n">
        <v>0.746898526728159</v>
      </c>
      <c r="H65" s="20" t="n">
        <v>0.739750635723571</v>
      </c>
      <c r="I65" s="20" t="n">
        <v>0.51335083754827</v>
      </c>
      <c r="J65" s="18" t="s">
        <v>75</v>
      </c>
      <c r="K65" s="20" t="n">
        <v>0.128320035489102</v>
      </c>
    </row>
    <row r="66" customFormat="false" ht="15" hidden="false" customHeight="false" outlineLevel="0" collapsed="false">
      <c r="A66" s="18" t="n">
        <v>65</v>
      </c>
      <c r="B66" s="18" t="s">
        <v>99</v>
      </c>
      <c r="C66" s="18" t="s">
        <v>84</v>
      </c>
      <c r="D66" s="20" t="n">
        <v>0.461683183401895</v>
      </c>
      <c r="E66" s="20" t="n">
        <v>0.276778128596004</v>
      </c>
      <c r="F66" s="20" t="n">
        <v>0.2615386880021</v>
      </c>
      <c r="G66" s="20" t="n">
        <v>0.7384613119979</v>
      </c>
      <c r="H66" s="20" t="n">
        <v>0.723221871403996</v>
      </c>
      <c r="I66" s="20" t="n">
        <v>0.538316816598104</v>
      </c>
      <c r="J66" s="18" t="s">
        <v>75</v>
      </c>
      <c r="K66" s="20" t="n">
        <v>0.141391095149321</v>
      </c>
    </row>
    <row r="67" customFormat="false" ht="15" hidden="false" customHeight="false" outlineLevel="0" collapsed="false">
      <c r="A67" s="18" t="n">
        <v>66</v>
      </c>
      <c r="B67" s="18" t="s">
        <v>99</v>
      </c>
      <c r="C67" s="18" t="s">
        <v>85</v>
      </c>
      <c r="D67" s="20" t="n">
        <v>0.598493345102832</v>
      </c>
      <c r="E67" s="20" t="n">
        <v>0.220000443716259</v>
      </c>
      <c r="F67" s="20" t="n">
        <v>0.181506211180909</v>
      </c>
      <c r="G67" s="20" t="n">
        <v>0.818493788819091</v>
      </c>
      <c r="H67" s="20" t="n">
        <v>0.779999556283741</v>
      </c>
      <c r="I67" s="20" t="n">
        <v>0.401506654897168</v>
      </c>
      <c r="J67" s="18" t="s">
        <v>75</v>
      </c>
      <c r="K67" s="20" t="n">
        <v>0.116841743781545</v>
      </c>
    </row>
    <row r="68" customFormat="false" ht="15" hidden="false" customHeight="false" outlineLevel="0" collapsed="false">
      <c r="A68" s="18" t="n">
        <v>67</v>
      </c>
      <c r="B68" s="18" t="s">
        <v>99</v>
      </c>
      <c r="C68" s="18" t="s">
        <v>98</v>
      </c>
      <c r="D68" s="20" t="n">
        <v>0.561107830937974</v>
      </c>
      <c r="E68" s="20" t="n">
        <v>0.246092514258452</v>
      </c>
      <c r="F68" s="20" t="n">
        <v>0.192799654803574</v>
      </c>
      <c r="G68" s="20" t="n">
        <v>0.807200345196426</v>
      </c>
      <c r="H68" s="20" t="n">
        <v>0.753907485741548</v>
      </c>
      <c r="I68" s="20" t="n">
        <v>0.438892169062026</v>
      </c>
      <c r="J68" s="18" t="s">
        <v>75</v>
      </c>
      <c r="K68" s="20" t="n">
        <v>0.142456204183122</v>
      </c>
    </row>
    <row r="69" customFormat="false" ht="15" hidden="false" customHeight="false" outlineLevel="0" collapsed="false">
      <c r="A69" s="18" t="n">
        <v>68</v>
      </c>
      <c r="B69" s="18" t="s">
        <v>90</v>
      </c>
      <c r="C69" s="18" t="s">
        <v>73</v>
      </c>
      <c r="D69" s="20" t="n">
        <v>0.48214574649626</v>
      </c>
      <c r="E69" s="20" t="n">
        <v>0.253305372164891</v>
      </c>
      <c r="F69" s="20" t="n">
        <v>0.264548881338849</v>
      </c>
      <c r="G69" s="20" t="n">
        <v>0.735451118661151</v>
      </c>
      <c r="H69" s="20" t="n">
        <v>0.746694627835109</v>
      </c>
      <c r="I69" s="20" t="n">
        <v>0.51785425350374</v>
      </c>
      <c r="J69" s="18" t="s">
        <v>78</v>
      </c>
      <c r="K69" s="20" t="n">
        <v>0.120371651987087</v>
      </c>
    </row>
    <row r="70" customFormat="false" ht="15" hidden="false" customHeight="false" outlineLevel="0" collapsed="false">
      <c r="A70" s="18" t="n">
        <v>69</v>
      </c>
      <c r="B70" s="18" t="s">
        <v>90</v>
      </c>
      <c r="C70" s="18" t="s">
        <v>74</v>
      </c>
      <c r="D70" s="20" t="n">
        <v>0.47633065914055</v>
      </c>
      <c r="E70" s="20" t="n">
        <v>0.252837825049394</v>
      </c>
      <c r="F70" s="20" t="n">
        <v>0.270831515810055</v>
      </c>
      <c r="G70" s="20" t="n">
        <v>0.729168484189945</v>
      </c>
      <c r="H70" s="20" t="n">
        <v>0.747162174950606</v>
      </c>
      <c r="I70" s="20" t="n">
        <v>0.52366934085945</v>
      </c>
      <c r="J70" s="18" t="s">
        <v>78</v>
      </c>
      <c r="K70" s="20" t="n">
        <v>0.120187077546086</v>
      </c>
    </row>
    <row r="71" customFormat="false" ht="15" hidden="false" customHeight="false" outlineLevel="0" collapsed="false">
      <c r="A71" s="18" t="n">
        <v>70</v>
      </c>
      <c r="B71" s="18" t="s">
        <v>90</v>
      </c>
      <c r="C71" s="18" t="s">
        <v>99</v>
      </c>
      <c r="D71" s="20" t="n">
        <v>0.499352864426719</v>
      </c>
      <c r="E71" s="20" t="n">
        <v>0.25012926221857</v>
      </c>
      <c r="F71" s="20" t="n">
        <v>0.250517873354711</v>
      </c>
      <c r="G71" s="20" t="n">
        <v>0.749482126645289</v>
      </c>
      <c r="H71" s="20" t="n">
        <v>0.74987073778143</v>
      </c>
      <c r="I71" s="20" t="n">
        <v>0.500647135573281</v>
      </c>
      <c r="J71" s="18" t="s">
        <v>78</v>
      </c>
      <c r="K71" s="20" t="n">
        <v>0.118853674951945</v>
      </c>
    </row>
    <row r="72" customFormat="false" ht="15" hidden="false" customHeight="false" outlineLevel="0" collapsed="false">
      <c r="A72" s="18" t="n">
        <v>71</v>
      </c>
      <c r="B72" s="18" t="s">
        <v>90</v>
      </c>
      <c r="C72" s="18" t="s">
        <v>81</v>
      </c>
      <c r="D72" s="20" t="n">
        <v>0.48396440421835</v>
      </c>
      <c r="E72" s="20" t="n">
        <v>0.259502081945547</v>
      </c>
      <c r="F72" s="20" t="n">
        <v>0.256533513836103</v>
      </c>
      <c r="G72" s="20" t="n">
        <v>0.743466486163897</v>
      </c>
      <c r="H72" s="20" t="n">
        <v>0.740497918054453</v>
      </c>
      <c r="I72" s="20" t="n">
        <v>0.51603559578165</v>
      </c>
      <c r="J72" s="18" t="s">
        <v>75</v>
      </c>
      <c r="K72" s="20" t="n">
        <v>0.126169347669145</v>
      </c>
    </row>
    <row r="73" customFormat="false" ht="15" hidden="false" customHeight="false" outlineLevel="0" collapsed="false">
      <c r="A73" s="18" t="n">
        <v>72</v>
      </c>
      <c r="B73" s="18" t="s">
        <v>77</v>
      </c>
      <c r="C73" s="18" t="s">
        <v>88</v>
      </c>
      <c r="D73" s="20" t="n">
        <v>0.656706758754522</v>
      </c>
      <c r="E73" s="20" t="n">
        <v>0.203863112994046</v>
      </c>
      <c r="F73" s="20" t="n">
        <v>0.139430128251431</v>
      </c>
      <c r="G73" s="20" t="n">
        <v>0.860569871748569</v>
      </c>
      <c r="H73" s="20" t="n">
        <v>0.796136887005953</v>
      </c>
      <c r="I73" s="20" t="n">
        <v>0.343293241245477</v>
      </c>
      <c r="J73" s="18" t="s">
        <v>75</v>
      </c>
      <c r="K73" s="20" t="n">
        <v>0.127248603140728</v>
      </c>
    </row>
    <row r="74" customFormat="false" ht="15" hidden="false" customHeight="false" outlineLevel="0" collapsed="false">
      <c r="A74" s="18" t="n">
        <v>73</v>
      </c>
      <c r="B74" s="18" t="s">
        <v>77</v>
      </c>
      <c r="C74" s="18" t="s">
        <v>83</v>
      </c>
      <c r="D74" s="20" t="n">
        <v>0.661764499713578</v>
      </c>
      <c r="E74" s="20" t="n">
        <v>0.205916025561594</v>
      </c>
      <c r="F74" s="20" t="n">
        <v>0.132319474724828</v>
      </c>
      <c r="G74" s="20" t="n">
        <v>0.867680525275172</v>
      </c>
      <c r="H74" s="20" t="n">
        <v>0.794083974438406</v>
      </c>
      <c r="I74" s="20" t="n">
        <v>0.338235500286423</v>
      </c>
      <c r="J74" s="18" t="s">
        <v>75</v>
      </c>
      <c r="K74" s="20" t="n">
        <v>0.136867746333922</v>
      </c>
    </row>
    <row r="75" customFormat="false" ht="15" hidden="false" customHeight="false" outlineLevel="0" collapsed="false">
      <c r="A75" s="18" t="n">
        <v>74</v>
      </c>
      <c r="B75" s="18" t="s">
        <v>77</v>
      </c>
      <c r="C75" s="18" t="s">
        <v>84</v>
      </c>
      <c r="D75" s="20" t="n">
        <v>0.63159117064212</v>
      </c>
      <c r="E75" s="20" t="n">
        <v>0.22640729277741</v>
      </c>
      <c r="F75" s="20" t="n">
        <v>0.14200153658047</v>
      </c>
      <c r="G75" s="20" t="n">
        <v>0.85799846341953</v>
      </c>
      <c r="H75" s="20" t="n">
        <v>0.77359270722259</v>
      </c>
      <c r="I75" s="20" t="n">
        <v>0.36840882935788</v>
      </c>
      <c r="J75" s="18" t="s">
        <v>75</v>
      </c>
      <c r="K75" s="20" t="n">
        <v>0.155480647680839</v>
      </c>
    </row>
    <row r="76" customFormat="false" ht="15" hidden="false" customHeight="false" outlineLevel="0" collapsed="false">
      <c r="A76" s="18" t="n">
        <v>75</v>
      </c>
      <c r="B76" s="18" t="s">
        <v>77</v>
      </c>
      <c r="C76" s="18" t="s">
        <v>85</v>
      </c>
      <c r="D76" s="20" t="n">
        <v>0.766284499267028</v>
      </c>
      <c r="E76" s="20" t="n">
        <v>0.150542257692616</v>
      </c>
      <c r="F76" s="20" t="n">
        <v>0.0831732430403562</v>
      </c>
      <c r="G76" s="20" t="n">
        <v>0.916826756959643</v>
      </c>
      <c r="H76" s="20" t="n">
        <v>0.849457742307384</v>
      </c>
      <c r="I76" s="20" t="n">
        <v>0.233715500732972</v>
      </c>
      <c r="J76" s="18" t="s">
        <v>93</v>
      </c>
      <c r="K76" s="20" t="n">
        <v>0.131766503220896</v>
      </c>
    </row>
    <row r="77" customFormat="false" ht="15" hidden="false" customHeight="false" outlineLevel="0" collapsed="false">
      <c r="A77" s="18" t="n">
        <v>76</v>
      </c>
      <c r="B77" s="18" t="s">
        <v>77</v>
      </c>
      <c r="C77" s="18" t="s">
        <v>89</v>
      </c>
      <c r="D77" s="20" t="n">
        <v>0.472840254933894</v>
      </c>
      <c r="E77" s="20" t="n">
        <v>0.259237381684227</v>
      </c>
      <c r="F77" s="20" t="n">
        <v>0.267922363381879</v>
      </c>
      <c r="G77" s="20" t="n">
        <v>0.732077636618121</v>
      </c>
      <c r="H77" s="20" t="n">
        <v>0.740762618315773</v>
      </c>
      <c r="I77" s="20" t="n">
        <v>0.527159745066106</v>
      </c>
      <c r="J77" s="18" t="s">
        <v>78</v>
      </c>
      <c r="K77" s="20" t="n">
        <v>0.122867647156664</v>
      </c>
    </row>
    <row r="78" customFormat="false" ht="15" hidden="false" customHeight="false" outlineLevel="0" collapsed="false">
      <c r="A78" s="18" t="n">
        <v>77</v>
      </c>
      <c r="B78" s="18" t="s">
        <v>77</v>
      </c>
      <c r="C78" s="18" t="s">
        <v>79</v>
      </c>
      <c r="D78" s="20" t="n">
        <v>0.770290783786222</v>
      </c>
      <c r="E78" s="20" t="n">
        <v>0.14852375044515</v>
      </c>
      <c r="F78" s="20" t="n">
        <v>0.081185465768628</v>
      </c>
      <c r="G78" s="20" t="n">
        <v>0.918814534231372</v>
      </c>
      <c r="H78" s="20" t="n">
        <v>0.851476249554851</v>
      </c>
      <c r="I78" s="20" t="n">
        <v>0.229709216213778</v>
      </c>
      <c r="J78" s="18" t="s">
        <v>93</v>
      </c>
      <c r="K78" s="20" t="n">
        <v>0.13209026558958</v>
      </c>
    </row>
    <row r="79" customFormat="false" ht="15" hidden="false" customHeight="false" outlineLevel="0" collapsed="false">
      <c r="A79" s="18" t="n">
        <v>78</v>
      </c>
      <c r="B79" s="18" t="s">
        <v>79</v>
      </c>
      <c r="C79" s="18" t="s">
        <v>91</v>
      </c>
      <c r="D79" s="20" t="n">
        <v>0.315487972235046</v>
      </c>
      <c r="E79" s="20" t="n">
        <v>0.249894435047321</v>
      </c>
      <c r="F79" s="20" t="n">
        <v>0.434617592717633</v>
      </c>
      <c r="G79" s="20" t="n">
        <v>0.565382407282367</v>
      </c>
      <c r="H79" s="20" t="n">
        <v>0.750105564952679</v>
      </c>
      <c r="I79" s="20" t="n">
        <v>0.684512027764954</v>
      </c>
      <c r="J79" s="18" t="s">
        <v>78</v>
      </c>
      <c r="K79" s="20" t="n">
        <v>0.118216068789862</v>
      </c>
    </row>
    <row r="80" customFormat="false" ht="15" hidden="false" customHeight="false" outlineLevel="0" collapsed="false">
      <c r="A80" s="18" t="n">
        <v>79</v>
      </c>
      <c r="B80" s="18" t="s">
        <v>79</v>
      </c>
      <c r="C80" s="18" t="s">
        <v>83</v>
      </c>
      <c r="D80" s="20" t="n">
        <v>0.377280149274393</v>
      </c>
      <c r="E80" s="20" t="n">
        <v>0.255309996658155</v>
      </c>
      <c r="F80" s="20" t="n">
        <v>0.367409854067452</v>
      </c>
      <c r="G80" s="20" t="n">
        <v>0.632590145932548</v>
      </c>
      <c r="H80" s="20" t="n">
        <v>0.744690003341845</v>
      </c>
      <c r="I80" s="20" t="n">
        <v>0.622719850725608</v>
      </c>
      <c r="J80" s="18" t="s">
        <v>78</v>
      </c>
      <c r="K80" s="20" t="n">
        <v>0.121049635532781</v>
      </c>
    </row>
    <row r="81" customFormat="false" ht="15" hidden="false" customHeight="false" outlineLevel="0" collapsed="false">
      <c r="A81" s="18" t="n">
        <v>80</v>
      </c>
      <c r="B81" s="18" t="s">
        <v>79</v>
      </c>
      <c r="C81" s="18" t="s">
        <v>92</v>
      </c>
      <c r="D81" s="20" t="n">
        <v>0.564030517973121</v>
      </c>
      <c r="E81" s="20" t="n">
        <v>0.221160150309844</v>
      </c>
      <c r="F81" s="20" t="n">
        <v>0.214809331717035</v>
      </c>
      <c r="G81" s="20" t="n">
        <v>0.785190668282965</v>
      </c>
      <c r="H81" s="20" t="n">
        <v>0.778839849690156</v>
      </c>
      <c r="I81" s="20" t="n">
        <v>0.435969482026879</v>
      </c>
      <c r="J81" s="18" t="s">
        <v>78</v>
      </c>
      <c r="K81" s="20" t="n">
        <v>0.103757076590128</v>
      </c>
    </row>
    <row r="82" customFormat="false" ht="15" hidden="false" customHeight="false" outlineLevel="0" collapsed="false">
      <c r="A82" s="18" t="n">
        <v>81</v>
      </c>
      <c r="B82" s="18" t="s">
        <v>79</v>
      </c>
      <c r="C82" s="18" t="s">
        <v>84</v>
      </c>
      <c r="D82" s="20" t="n">
        <v>0.358165842035266</v>
      </c>
      <c r="E82" s="20" t="n">
        <v>0.26766886775378</v>
      </c>
      <c r="F82" s="20" t="n">
        <v>0.374165290210954</v>
      </c>
      <c r="G82" s="20" t="n">
        <v>0.625834709789046</v>
      </c>
      <c r="H82" s="20" t="n">
        <v>0.73233113224622</v>
      </c>
      <c r="I82" s="20" t="n">
        <v>0.641834157964734</v>
      </c>
      <c r="J82" s="18" t="s">
        <v>78</v>
      </c>
      <c r="K82" s="20" t="n">
        <v>0.12700001133974</v>
      </c>
    </row>
    <row r="83" customFormat="false" ht="15" hidden="false" customHeight="false" outlineLevel="0" collapsed="false">
      <c r="A83" s="18" t="n">
        <v>82</v>
      </c>
      <c r="B83" s="18" t="s">
        <v>79</v>
      </c>
      <c r="C83" s="18" t="s">
        <v>97</v>
      </c>
      <c r="D83" s="20" t="n">
        <v>0.38071817580899</v>
      </c>
      <c r="E83" s="20" t="n">
        <v>0.251940433053161</v>
      </c>
      <c r="F83" s="20" t="n">
        <v>0.367341391137849</v>
      </c>
      <c r="G83" s="20" t="n">
        <v>0.632658608862152</v>
      </c>
      <c r="H83" s="20" t="n">
        <v>0.748059566946839</v>
      </c>
      <c r="I83" s="20" t="n">
        <v>0.61928182419101</v>
      </c>
      <c r="J83" s="18" t="s">
        <v>78</v>
      </c>
      <c r="K83" s="20" t="n">
        <v>0.119033974463849</v>
      </c>
    </row>
    <row r="84" customFormat="false" ht="15" hidden="false" customHeight="false" outlineLevel="0" collapsed="false">
      <c r="A84" s="18" t="n">
        <v>83</v>
      </c>
      <c r="B84" s="18" t="s">
        <v>87</v>
      </c>
      <c r="C84" s="18" t="s">
        <v>88</v>
      </c>
      <c r="D84" s="20" t="n">
        <v>0.452673038785135</v>
      </c>
      <c r="E84" s="20" t="n">
        <v>0.250690833200746</v>
      </c>
      <c r="F84" s="20" t="n">
        <v>0.296636128014119</v>
      </c>
      <c r="G84" s="20" t="n">
        <v>0.703363871985881</v>
      </c>
      <c r="H84" s="20" t="n">
        <v>0.749309166799254</v>
      </c>
      <c r="I84" s="20" t="n">
        <v>0.547326961214865</v>
      </c>
      <c r="J84" s="18" t="s">
        <v>78</v>
      </c>
      <c r="K84" s="20" t="n">
        <v>0.118932975799116</v>
      </c>
    </row>
    <row r="85" customFormat="false" ht="15" hidden="false" customHeight="false" outlineLevel="0" collapsed="false">
      <c r="A85" s="18" t="n">
        <v>84</v>
      </c>
      <c r="B85" s="18" t="s">
        <v>87</v>
      </c>
      <c r="C85" s="18" t="s">
        <v>91</v>
      </c>
      <c r="D85" s="20" t="n">
        <v>0.399649821232921</v>
      </c>
      <c r="E85" s="20" t="n">
        <v>0.259920418305521</v>
      </c>
      <c r="F85" s="20" t="n">
        <v>0.340429760461558</v>
      </c>
      <c r="G85" s="20" t="n">
        <v>0.659570239538442</v>
      </c>
      <c r="H85" s="20" t="n">
        <v>0.740079581694479</v>
      </c>
      <c r="I85" s="20" t="n">
        <v>0.600350178767079</v>
      </c>
      <c r="J85" s="18" t="s">
        <v>78</v>
      </c>
      <c r="K85" s="20" t="n">
        <v>0.123547650702165</v>
      </c>
    </row>
    <row r="86" customFormat="false" ht="15" hidden="false" customHeight="false" outlineLevel="0" collapsed="false">
      <c r="A86" s="18" t="n">
        <v>85</v>
      </c>
      <c r="B86" s="18" t="s">
        <v>87</v>
      </c>
      <c r="C86" s="18" t="s">
        <v>89</v>
      </c>
      <c r="D86" s="20" t="n">
        <v>0.274557353862132</v>
      </c>
      <c r="E86" s="20" t="n">
        <v>0.247493001913276</v>
      </c>
      <c r="F86" s="20" t="n">
        <v>0.477949644224592</v>
      </c>
      <c r="G86" s="20" t="n">
        <v>0.522050355775408</v>
      </c>
      <c r="H86" s="20" t="n">
        <v>0.752506998086724</v>
      </c>
      <c r="I86" s="20" t="n">
        <v>0.725442646137868</v>
      </c>
      <c r="J86" s="18" t="s">
        <v>78</v>
      </c>
      <c r="K86" s="20" t="n">
        <v>0.117466990722253</v>
      </c>
    </row>
    <row r="87" customFormat="false" ht="15" hidden="false" customHeight="false" outlineLevel="0" collapsed="false">
      <c r="A87" s="18" t="n">
        <v>86</v>
      </c>
      <c r="B87" s="18" t="s">
        <v>87</v>
      </c>
      <c r="C87" s="18" t="s">
        <v>97</v>
      </c>
      <c r="D87" s="20" t="n">
        <v>0.467958923516958</v>
      </c>
      <c r="E87" s="20" t="n">
        <v>0.251622884044523</v>
      </c>
      <c r="F87" s="20" t="n">
        <v>0.28041819243852</v>
      </c>
      <c r="G87" s="20" t="n">
        <v>0.71958180756148</v>
      </c>
      <c r="H87" s="20" t="n">
        <v>0.748377115955477</v>
      </c>
      <c r="I87" s="20" t="n">
        <v>0.532041076483043</v>
      </c>
      <c r="J87" s="18" t="s">
        <v>78</v>
      </c>
      <c r="K87" s="20" t="n">
        <v>0.119577421398648</v>
      </c>
    </row>
    <row r="88" customFormat="false" ht="15" hidden="false" customHeight="false" outlineLevel="0" collapsed="false">
      <c r="A88" s="18" t="n">
        <v>87</v>
      </c>
      <c r="B88" s="18" t="s">
        <v>87</v>
      </c>
      <c r="C88" s="18" t="s">
        <v>77</v>
      </c>
      <c r="D88" s="20" t="n">
        <v>0.269291234031585</v>
      </c>
      <c r="E88" s="20" t="n">
        <v>0.261058765675232</v>
      </c>
      <c r="F88" s="20" t="n">
        <v>0.469650000293183</v>
      </c>
      <c r="G88" s="20" t="n">
        <v>0.530349999706817</v>
      </c>
      <c r="H88" s="20" t="n">
        <v>0.738941234324768</v>
      </c>
      <c r="I88" s="20" t="n">
        <v>0.730708765968416</v>
      </c>
      <c r="J88" s="18" t="s">
        <v>78</v>
      </c>
      <c r="K88" s="20" t="n">
        <v>0.123578205834074</v>
      </c>
    </row>
    <row r="89" customFormat="false" ht="15" hidden="false" customHeight="false" outlineLevel="0" collapsed="false">
      <c r="A89" s="18" t="n">
        <v>88</v>
      </c>
      <c r="B89" s="18" t="s">
        <v>81</v>
      </c>
      <c r="C89" s="18" t="s">
        <v>84</v>
      </c>
      <c r="D89" s="20" t="n">
        <v>0.462671613359736</v>
      </c>
      <c r="E89" s="20" t="n">
        <v>0.283663484857175</v>
      </c>
      <c r="F89" s="20" t="n">
        <v>0.253664901783089</v>
      </c>
      <c r="G89" s="20" t="n">
        <v>0.746335098216911</v>
      </c>
      <c r="H89" s="20" t="n">
        <v>0.716336515142825</v>
      </c>
      <c r="I89" s="20" t="n">
        <v>0.537328386640264</v>
      </c>
      <c r="J89" s="18" t="s">
        <v>75</v>
      </c>
      <c r="K89" s="20" t="n">
        <v>0.150654743079611</v>
      </c>
    </row>
    <row r="90" customFormat="false" ht="15" hidden="false" customHeight="false" outlineLevel="0" collapsed="false">
      <c r="A90" s="18" t="n">
        <v>89</v>
      </c>
      <c r="B90" s="18" t="s">
        <v>81</v>
      </c>
      <c r="C90" s="18" t="s">
        <v>94</v>
      </c>
      <c r="D90" s="20" t="n">
        <v>0.43460291668005</v>
      </c>
      <c r="E90" s="20" t="n">
        <v>0.281465074144889</v>
      </c>
      <c r="F90" s="20" t="n">
        <v>0.283932009175062</v>
      </c>
      <c r="G90" s="20" t="n">
        <v>0.716067990824938</v>
      </c>
      <c r="H90" s="20" t="n">
        <v>0.718534925855111</v>
      </c>
      <c r="I90" s="20" t="n">
        <v>0.56539708331995</v>
      </c>
      <c r="J90" s="18" t="s">
        <v>75</v>
      </c>
      <c r="K90" s="20" t="n">
        <v>0.137577861203524</v>
      </c>
    </row>
    <row r="91" customFormat="false" ht="15" hidden="false" customHeight="false" outlineLevel="0" collapsed="false">
      <c r="A91" s="18" t="n">
        <v>90</v>
      </c>
      <c r="B91" s="18" t="s">
        <v>81</v>
      </c>
      <c r="C91" s="18" t="s">
        <v>79</v>
      </c>
      <c r="D91" s="20" t="n">
        <v>0.602922415323591</v>
      </c>
      <c r="E91" s="20" t="n">
        <v>0.223455538268462</v>
      </c>
      <c r="F91" s="20" t="n">
        <v>0.173622046407947</v>
      </c>
      <c r="G91" s="20" t="n">
        <v>0.826377953592053</v>
      </c>
      <c r="H91" s="20" t="n">
        <v>0.776544461731538</v>
      </c>
      <c r="I91" s="20" t="n">
        <v>0.39707758467641</v>
      </c>
      <c r="J91" s="18" t="s">
        <v>75</v>
      </c>
      <c r="K91" s="20" t="n">
        <v>0.126847683030993</v>
      </c>
    </row>
    <row r="92" customFormat="false" ht="15" hidden="false" customHeight="false" outlineLevel="0" collapsed="false">
      <c r="A92" s="18" t="n">
        <v>91</v>
      </c>
      <c r="B92" s="18" t="s">
        <v>81</v>
      </c>
      <c r="C92" s="18" t="s">
        <v>87</v>
      </c>
      <c r="D92" s="20" t="n">
        <v>0.503638893384442</v>
      </c>
      <c r="E92" s="20" t="n">
        <v>0.258438234314728</v>
      </c>
      <c r="F92" s="20" t="n">
        <v>0.237922872300829</v>
      </c>
      <c r="G92" s="20" t="n">
        <v>0.762077127699171</v>
      </c>
      <c r="H92" s="20" t="n">
        <v>0.741561765685272</v>
      </c>
      <c r="I92" s="20" t="n">
        <v>0.496361106615558</v>
      </c>
      <c r="J92" s="18" t="s">
        <v>75</v>
      </c>
      <c r="K92" s="20" t="n">
        <v>0.132798750349266</v>
      </c>
    </row>
    <row r="93" customFormat="false" ht="15" hidden="false" customHeight="false" outlineLevel="0" collapsed="false">
      <c r="A93" s="18" t="n">
        <v>92</v>
      </c>
      <c r="B93" s="18" t="s">
        <v>81</v>
      </c>
      <c r="C93" s="18" t="s">
        <v>82</v>
      </c>
      <c r="D93" s="20" t="n">
        <v>0.543637274095709</v>
      </c>
      <c r="E93" s="20" t="n">
        <v>0.242975950374775</v>
      </c>
      <c r="F93" s="20" t="n">
        <v>0.213386775529516</v>
      </c>
      <c r="G93" s="20" t="n">
        <v>0.786613224470484</v>
      </c>
      <c r="H93" s="20" t="n">
        <v>0.757024049625225</v>
      </c>
      <c r="I93" s="20" t="n">
        <v>0.456362725904291</v>
      </c>
      <c r="J93" s="18" t="s">
        <v>75</v>
      </c>
      <c r="K93" s="20" t="n">
        <v>0.127143906825257</v>
      </c>
    </row>
    <row r="94" customFormat="false" ht="15" hidden="false" customHeight="false" outlineLevel="0" collapsed="false">
      <c r="A94" s="18" t="n">
        <v>93</v>
      </c>
      <c r="B94" s="18" t="s">
        <v>81</v>
      </c>
      <c r="C94" s="18" t="s">
        <v>98</v>
      </c>
      <c r="D94" s="20" t="n">
        <v>0.560354063671756</v>
      </c>
      <c r="E94" s="20" t="n">
        <v>0.252012206393277</v>
      </c>
      <c r="F94" s="20" t="n">
        <v>0.187633729934967</v>
      </c>
      <c r="G94" s="20" t="n">
        <v>0.812366270065033</v>
      </c>
      <c r="H94" s="20" t="n">
        <v>0.747987793606723</v>
      </c>
      <c r="I94" s="20" t="n">
        <v>0.439645936328245</v>
      </c>
      <c r="J94" s="18" t="s">
        <v>75</v>
      </c>
      <c r="K94" s="20" t="n">
        <v>0.152337179255199</v>
      </c>
    </row>
    <row r="95" customFormat="false" ht="15" hidden="false" customHeight="false" outlineLevel="0" collapsed="false">
      <c r="A95" s="18" t="n">
        <v>94</v>
      </c>
      <c r="B95" s="18" t="s">
        <v>82</v>
      </c>
      <c r="C95" s="18" t="s">
        <v>84</v>
      </c>
      <c r="D95" s="20" t="n">
        <v>0.412156902484691</v>
      </c>
      <c r="E95" s="20" t="n">
        <v>0.267311110721739</v>
      </c>
      <c r="F95" s="20" t="n">
        <v>0.32053198679357</v>
      </c>
      <c r="G95" s="20" t="n">
        <v>0.67946801320643</v>
      </c>
      <c r="H95" s="20" t="n">
        <v>0.732688889278261</v>
      </c>
      <c r="I95" s="20" t="n">
        <v>0.587843097515309</v>
      </c>
      <c r="J95" s="18" t="s">
        <v>78</v>
      </c>
      <c r="K95" s="20" t="n">
        <v>0.126687554548458</v>
      </c>
    </row>
    <row r="96" customFormat="false" ht="15" hidden="false" customHeight="false" outlineLevel="0" collapsed="false">
      <c r="A96" s="18" t="n">
        <v>95</v>
      </c>
      <c r="B96" s="18" t="s">
        <v>82</v>
      </c>
      <c r="C96" s="18" t="s">
        <v>89</v>
      </c>
      <c r="D96" s="20" t="n">
        <v>0.246718409100986</v>
      </c>
      <c r="E96" s="20" t="n">
        <v>0.234466675867208</v>
      </c>
      <c r="F96" s="20" t="n">
        <v>0.518814915031806</v>
      </c>
      <c r="G96" s="20" t="n">
        <v>0.481185084968194</v>
      </c>
      <c r="H96" s="20" t="n">
        <v>0.765533324132792</v>
      </c>
      <c r="I96" s="20" t="n">
        <v>0.753281590899014</v>
      </c>
      <c r="J96" s="18" t="s">
        <v>78</v>
      </c>
      <c r="K96" s="20" t="n">
        <v>0.110581190343787</v>
      </c>
    </row>
    <row r="97" customFormat="false" ht="15" hidden="false" customHeight="false" outlineLevel="0" collapsed="false">
      <c r="A97" s="18" t="n">
        <v>96</v>
      </c>
      <c r="B97" s="18" t="s">
        <v>82</v>
      </c>
      <c r="C97" s="18" t="s">
        <v>99</v>
      </c>
      <c r="D97" s="20" t="n">
        <v>0.409262197705236</v>
      </c>
      <c r="E97" s="20" t="n">
        <v>0.260347362496456</v>
      </c>
      <c r="F97" s="20" t="n">
        <v>0.330390439798309</v>
      </c>
      <c r="G97" s="20" t="n">
        <v>0.669609560201692</v>
      </c>
      <c r="H97" s="20" t="n">
        <v>0.739652637503544</v>
      </c>
      <c r="I97" s="20" t="n">
        <v>0.590737802294765</v>
      </c>
      <c r="J97" s="18" t="s">
        <v>78</v>
      </c>
      <c r="K97" s="20" t="n">
        <v>0.123760268757063</v>
      </c>
    </row>
    <row r="98" customFormat="false" ht="15" hidden="false" customHeight="false" outlineLevel="0" collapsed="false">
      <c r="A98" s="18" t="n">
        <v>97</v>
      </c>
      <c r="B98" s="18" t="s">
        <v>82</v>
      </c>
      <c r="C98" s="18" t="s">
        <v>79</v>
      </c>
      <c r="D98" s="20" t="n">
        <v>0.55353873460418</v>
      </c>
      <c r="E98" s="20" t="n">
        <v>0.221590122629108</v>
      </c>
      <c r="F98" s="20" t="n">
        <v>0.224871142766712</v>
      </c>
      <c r="G98" s="20" t="n">
        <v>0.775128857233288</v>
      </c>
      <c r="H98" s="20" t="n">
        <v>0.778409877370892</v>
      </c>
      <c r="I98" s="20" t="n">
        <v>0.44646126539582</v>
      </c>
      <c r="J98" s="18" t="s">
        <v>78</v>
      </c>
      <c r="K98" s="20" t="n">
        <v>0.103290817336629</v>
      </c>
    </row>
    <row r="99" customFormat="false" ht="15" hidden="false" customHeight="false" outlineLevel="0" collapsed="false">
      <c r="A99" s="18" t="n">
        <v>98</v>
      </c>
      <c r="B99" s="18" t="s">
        <v>82</v>
      </c>
      <c r="C99" s="18" t="s">
        <v>98</v>
      </c>
      <c r="D99" s="20" t="n">
        <v>0.513990690881838</v>
      </c>
      <c r="E99" s="20" t="n">
        <v>0.245637246967177</v>
      </c>
      <c r="F99" s="20" t="n">
        <v>0.240372062150985</v>
      </c>
      <c r="G99" s="20" t="n">
        <v>0.759627937849015</v>
      </c>
      <c r="H99" s="20" t="n">
        <v>0.754362753032823</v>
      </c>
      <c r="I99" s="20" t="n">
        <v>0.486009309118162</v>
      </c>
      <c r="J99" s="18" t="s">
        <v>75</v>
      </c>
      <c r="K99" s="20" t="n">
        <v>0.117348970932948</v>
      </c>
    </row>
    <row r="100" customFormat="false" ht="15" hidden="false" customHeight="false" outlineLevel="0" collapsed="false">
      <c r="A100" s="18" t="n">
        <v>99</v>
      </c>
      <c r="B100" s="18" t="s">
        <v>98</v>
      </c>
      <c r="C100" s="18" t="s">
        <v>73</v>
      </c>
      <c r="D100" s="20" t="n">
        <v>0.34677540710245</v>
      </c>
      <c r="E100" s="20" t="n">
        <v>0.279811780739644</v>
      </c>
      <c r="F100" s="20" t="n">
        <v>0.373412812157906</v>
      </c>
      <c r="G100" s="20" t="n">
        <v>0.626587187842094</v>
      </c>
      <c r="H100" s="20" t="n">
        <v>0.720188219260356</v>
      </c>
      <c r="I100" s="20" t="n">
        <v>0.65322459289755</v>
      </c>
      <c r="J100" s="18" t="s">
        <v>78</v>
      </c>
      <c r="K100" s="20" t="n">
        <v>0.130812192813284</v>
      </c>
    </row>
    <row r="101" customFormat="false" ht="15" hidden="false" customHeight="false" outlineLevel="0" collapsed="false">
      <c r="A101" s="18" t="n">
        <v>100</v>
      </c>
      <c r="B101" s="18" t="s">
        <v>98</v>
      </c>
      <c r="C101" s="18" t="s">
        <v>83</v>
      </c>
      <c r="D101" s="20" t="n">
        <v>0.384725446429843</v>
      </c>
      <c r="E101" s="20" t="n">
        <v>0.274351942929105</v>
      </c>
      <c r="F101" s="20" t="n">
        <v>0.340922610641052</v>
      </c>
      <c r="G101" s="20" t="n">
        <v>0.659077389358947</v>
      </c>
      <c r="H101" s="20" t="n">
        <v>0.725648057070895</v>
      </c>
      <c r="I101" s="20" t="n">
        <v>0.615274553570157</v>
      </c>
      <c r="J101" s="18" t="s">
        <v>78</v>
      </c>
      <c r="K101" s="20" t="n">
        <v>0.129272000418351</v>
      </c>
    </row>
    <row r="102" customFormat="false" ht="15" hidden="false" customHeight="false" outlineLevel="0" collapsed="false">
      <c r="A102" s="18" t="n">
        <v>101</v>
      </c>
      <c r="B102" s="18" t="s">
        <v>98</v>
      </c>
      <c r="C102" s="18" t="s">
        <v>92</v>
      </c>
      <c r="D102" s="20" t="n">
        <v>0.56202545739844</v>
      </c>
      <c r="E102" s="20" t="n">
        <v>0.23566021815145</v>
      </c>
      <c r="F102" s="20" t="n">
        <v>0.202314324450111</v>
      </c>
      <c r="G102" s="20" t="n">
        <v>0.79768567554989</v>
      </c>
      <c r="H102" s="20" t="n">
        <v>0.76433978184855</v>
      </c>
      <c r="I102" s="20" t="n">
        <v>0.43797454260156</v>
      </c>
      <c r="J102" s="18" t="s">
        <v>75</v>
      </c>
      <c r="K102" s="20" t="n">
        <v>0.124309042456479</v>
      </c>
    </row>
    <row r="103" customFormat="false" ht="15" hidden="false" customHeight="false" outlineLevel="0" collapsed="false">
      <c r="A103" s="18" t="n">
        <v>102</v>
      </c>
      <c r="B103" s="18" t="s">
        <v>98</v>
      </c>
      <c r="C103" s="18" t="s">
        <v>94</v>
      </c>
      <c r="D103" s="20" t="n">
        <v>0.335892621237886</v>
      </c>
      <c r="E103" s="20" t="n">
        <v>0.280141945003855</v>
      </c>
      <c r="F103" s="20" t="n">
        <v>0.383965433758259</v>
      </c>
      <c r="G103" s="20" t="n">
        <v>0.616034566241741</v>
      </c>
      <c r="H103" s="20" t="n">
        <v>0.719858054996146</v>
      </c>
      <c r="I103" s="20" t="n">
        <v>0.664107378762114</v>
      </c>
      <c r="J103" s="18" t="s">
        <v>78</v>
      </c>
      <c r="K103" s="20" t="n">
        <v>0.130798178083169</v>
      </c>
    </row>
    <row r="104" customFormat="false" ht="15" hidden="false" customHeight="false" outlineLevel="0" collapsed="false">
      <c r="A104" s="18" t="n">
        <v>103</v>
      </c>
      <c r="B104" s="18" t="s">
        <v>98</v>
      </c>
      <c r="C104" s="18" t="s">
        <v>87</v>
      </c>
      <c r="D104" s="20" t="n">
        <v>0.39824234144277</v>
      </c>
      <c r="E104" s="20" t="n">
        <v>0.268534544742998</v>
      </c>
      <c r="F104" s="20" t="n">
        <v>0.333223113814233</v>
      </c>
      <c r="G104" s="20" t="n">
        <v>0.666776886185767</v>
      </c>
      <c r="H104" s="20" t="n">
        <v>0.731465455257003</v>
      </c>
      <c r="I104" s="20" t="n">
        <v>0.601757658557231</v>
      </c>
      <c r="J104" s="18" t="s">
        <v>78</v>
      </c>
      <c r="K104" s="20" t="n">
        <v>0.12724348864955</v>
      </c>
    </row>
  </sheetData>
  <autoFilter ref="A1:K104"/>
  <conditionalFormatting sqref="D2:D104">
    <cfRule type="colorScale" priority="2">
      <colorScale>
        <cfvo type="num" val="0"/>
        <cfvo type="num" val="1"/>
        <color rgb="FFFFFFFF"/>
        <color rgb="FFCDE2FB"/>
      </colorScale>
    </cfRule>
  </conditionalFormatting>
  <conditionalFormatting sqref="E2:E104">
    <cfRule type="colorScale" priority="3">
      <colorScale>
        <cfvo type="num" val="0"/>
        <cfvo type="num" val="1"/>
        <color rgb="FFFFFFFF"/>
        <color rgb="FFCDE2FB"/>
      </colorScale>
    </cfRule>
  </conditionalFormatting>
  <conditionalFormatting sqref="F2:F104">
    <cfRule type="colorScale" priority="4">
      <colorScale>
        <cfvo type="num" val="0"/>
        <cfvo type="num" val="1"/>
        <color rgb="FFFFFFFF"/>
        <color rgb="FFCDE2FB"/>
      </colorScale>
    </cfRule>
  </conditionalFormatting>
  <conditionalFormatting sqref="G2:G104">
    <cfRule type="colorScale" priority="5">
      <colorScale>
        <cfvo type="num" val="0"/>
        <cfvo type="num" val="1"/>
        <color rgb="FFFFFFFF"/>
        <color rgb="FFCDE2FB"/>
      </colorScale>
    </cfRule>
  </conditionalFormatting>
  <conditionalFormatting sqref="H2:H104">
    <cfRule type="colorScale" priority="6">
      <colorScale>
        <cfvo type="num" val="0"/>
        <cfvo type="num" val="1"/>
        <color rgb="FFFFFFFF"/>
        <color rgb="FFCDE2FB"/>
      </colorScale>
    </cfRule>
  </conditionalFormatting>
  <conditionalFormatting sqref="I2:I104">
    <cfRule type="colorScale" priority="7">
      <colorScale>
        <cfvo type="num" val="0"/>
        <cfvo type="num" val="1"/>
        <color rgb="FFFFFFFF"/>
        <color rgb="FFCDE2FB"/>
      </colorScale>
    </cfRule>
  </conditionalFormatting>
  <conditionalFormatting sqref="K2:K104">
    <cfRule type="colorScale" priority="8">
      <colorScale>
        <cfvo type="num" val="0"/>
        <cfvo type="num" val="1"/>
        <color rgb="FFFFFFFF"/>
        <color rgb="FFCDE2FB"/>
      </colorScale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7"/>
    <col collapsed="false" customWidth="true" hidden="false" outlineLevel="0" max="12" min="4" style="0" width="11"/>
  </cols>
  <sheetData>
    <row r="1" customFormat="false" ht="33.75" hidden="false" customHeight="true" outlineLevel="0" collapsed="false">
      <c r="A1" s="16" t="s">
        <v>49</v>
      </c>
      <c r="B1" s="16" t="s">
        <v>50</v>
      </c>
      <c r="C1" s="16" t="s">
        <v>51</v>
      </c>
      <c r="D1" s="16" t="s">
        <v>104</v>
      </c>
      <c r="E1" s="16" t="s">
        <v>105</v>
      </c>
      <c r="F1" s="16" t="s">
        <v>106</v>
      </c>
      <c r="G1" s="16" t="s">
        <v>107</v>
      </c>
      <c r="H1" s="16" t="s">
        <v>61</v>
      </c>
      <c r="I1" s="16" t="s">
        <v>62</v>
      </c>
      <c r="J1" s="16" t="s">
        <v>63</v>
      </c>
      <c r="K1" s="16" t="s">
        <v>108</v>
      </c>
      <c r="L1" s="16" t="s">
        <v>109</v>
      </c>
    </row>
    <row r="2" customFormat="false" ht="15" hidden="false" customHeight="false" outlineLevel="0" collapsed="false">
      <c r="A2" s="18" t="n">
        <v>1</v>
      </c>
      <c r="B2" s="18" t="s">
        <v>73</v>
      </c>
      <c r="C2" s="18" t="s">
        <v>74</v>
      </c>
      <c r="D2" s="21" t="n">
        <v>1.3796872741722</v>
      </c>
      <c r="E2" s="21" t="n">
        <v>1.00668852848608</v>
      </c>
      <c r="F2" s="21" t="n">
        <v>2.38637580265828</v>
      </c>
      <c r="G2" s="20" t="n">
        <v>0.909538037029801</v>
      </c>
      <c r="H2" s="20" t="n">
        <v>0.687081121714975</v>
      </c>
      <c r="I2" s="20" t="n">
        <v>0.426728192318324</v>
      </c>
      <c r="J2" s="20" t="n">
        <v>0.218434649285566</v>
      </c>
      <c r="K2" s="20" t="n">
        <v>0.0941678513817856</v>
      </c>
      <c r="L2" s="20" t="n">
        <v>0.573271807681676</v>
      </c>
    </row>
    <row r="3" customFormat="false" ht="15" hidden="false" customHeight="false" outlineLevel="0" collapsed="false">
      <c r="A3" s="18" t="n">
        <v>2</v>
      </c>
      <c r="B3" s="18" t="s">
        <v>73</v>
      </c>
      <c r="C3" s="18" t="s">
        <v>77</v>
      </c>
      <c r="D3" s="21" t="n">
        <v>1.04362547287889</v>
      </c>
      <c r="E3" s="21" t="n">
        <v>1.25802918947775</v>
      </c>
      <c r="F3" s="21" t="n">
        <v>2.30165466235664</v>
      </c>
      <c r="G3" s="20" t="n">
        <v>0.901450503264865</v>
      </c>
      <c r="H3" s="20" t="n">
        <v>0.667983930340205</v>
      </c>
      <c r="I3" s="20" t="n">
        <v>0.404400149911206</v>
      </c>
      <c r="J3" s="20" t="n">
        <v>0.200989578837582</v>
      </c>
      <c r="K3" s="20" t="n">
        <v>0.0839442988720377</v>
      </c>
      <c r="L3" s="20" t="n">
        <v>0.595599850088794</v>
      </c>
    </row>
    <row r="4" customFormat="false" ht="15" hidden="false" customHeight="false" outlineLevel="0" collapsed="false">
      <c r="A4" s="18" t="n">
        <v>3</v>
      </c>
      <c r="B4" s="18" t="s">
        <v>73</v>
      </c>
      <c r="C4" s="18" t="s">
        <v>79</v>
      </c>
      <c r="D4" s="21" t="n">
        <v>1.93481889987582</v>
      </c>
      <c r="E4" s="21" t="n">
        <v>0.884479621480086</v>
      </c>
      <c r="F4" s="21" t="n">
        <v>2.81929852135591</v>
      </c>
      <c r="G4" s="20" t="n">
        <v>0.94155412823252</v>
      </c>
      <c r="H4" s="20" t="n">
        <v>0.770996612456904</v>
      </c>
      <c r="I4" s="20" t="n">
        <v>0.535144464495277</v>
      </c>
      <c r="J4" s="20" t="n">
        <v>0.312367446176781</v>
      </c>
      <c r="K4" s="20" t="n">
        <v>0.155345560471076</v>
      </c>
      <c r="L4" s="20" t="n">
        <v>0.464855535504723</v>
      </c>
    </row>
    <row r="5" customFormat="false" ht="15" hidden="false" customHeight="false" outlineLevel="0" collapsed="false">
      <c r="A5" s="18" t="n">
        <v>4</v>
      </c>
      <c r="B5" s="18" t="s">
        <v>73</v>
      </c>
      <c r="C5" s="18" t="s">
        <v>81</v>
      </c>
      <c r="D5" s="21" t="n">
        <v>1.3329528064338</v>
      </c>
      <c r="E5" s="21" t="n">
        <v>0.92473179133265</v>
      </c>
      <c r="F5" s="21" t="n">
        <v>2.25768459776645</v>
      </c>
      <c r="G5" s="20" t="n">
        <v>0.896922025676009</v>
      </c>
      <c r="H5" s="20" t="n">
        <v>0.657757137442787</v>
      </c>
      <c r="I5" s="20" t="n">
        <v>0.392710397955451</v>
      </c>
      <c r="J5" s="20" t="n">
        <v>0.192106703491128</v>
      </c>
      <c r="K5" s="20" t="n">
        <v>0.0788816473434001</v>
      </c>
      <c r="L5" s="20" t="n">
        <v>0.607289602044549</v>
      </c>
    </row>
    <row r="6" customFormat="false" ht="15" hidden="false" customHeight="false" outlineLevel="0" collapsed="false">
      <c r="A6" s="18" t="n">
        <v>5</v>
      </c>
      <c r="B6" s="18" t="s">
        <v>73</v>
      </c>
      <c r="C6" s="18" t="s">
        <v>82</v>
      </c>
      <c r="D6" s="21" t="n">
        <v>1.74880834391635</v>
      </c>
      <c r="E6" s="21" t="n">
        <v>0.959267725700195</v>
      </c>
      <c r="F6" s="21" t="n">
        <v>2.70807606961655</v>
      </c>
      <c r="G6" s="20" t="n">
        <v>0.934649929245704</v>
      </c>
      <c r="H6" s="20" t="n">
        <v>0.751491264967966</v>
      </c>
      <c r="I6" s="20" t="n">
        <v>0.508356106741066</v>
      </c>
      <c r="J6" s="20" t="n">
        <v>0.287692391732261</v>
      </c>
      <c r="K6" s="20" t="n">
        <v>0.138297618800286</v>
      </c>
      <c r="L6" s="20" t="n">
        <v>0.491643893258934</v>
      </c>
    </row>
    <row r="7" customFormat="false" ht="15" hidden="false" customHeight="false" outlineLevel="0" collapsed="false">
      <c r="A7" s="18" t="n">
        <v>6</v>
      </c>
      <c r="B7" s="18" t="s">
        <v>74</v>
      </c>
      <c r="C7" s="18" t="s">
        <v>83</v>
      </c>
      <c r="D7" s="21" t="n">
        <v>1.54846071543504</v>
      </c>
      <c r="E7" s="21" t="n">
        <v>0.954844653656099</v>
      </c>
      <c r="F7" s="21" t="n">
        <v>2.50330536909114</v>
      </c>
      <c r="G7" s="20" t="n">
        <v>0.919607177489373</v>
      </c>
      <c r="H7" s="20" t="n">
        <v>0.711960633147489</v>
      </c>
      <c r="I7" s="20" t="n">
        <v>0.457035931275731</v>
      </c>
      <c r="J7" s="20" t="n">
        <v>0.243131645141363</v>
      </c>
      <c r="K7" s="20" t="n">
        <v>0.109264320300428</v>
      </c>
      <c r="L7" s="20" t="n">
        <v>0.542964068724269</v>
      </c>
    </row>
    <row r="8" customFormat="false" ht="15" hidden="false" customHeight="false" outlineLevel="0" collapsed="false">
      <c r="A8" s="18" t="n">
        <v>7</v>
      </c>
      <c r="B8" s="18" t="s">
        <v>74</v>
      </c>
      <c r="C8" s="18" t="s">
        <v>84</v>
      </c>
      <c r="D8" s="21" t="n">
        <v>1.39749806626306</v>
      </c>
      <c r="E8" s="21" t="n">
        <v>0.899426491456298</v>
      </c>
      <c r="F8" s="21" t="n">
        <v>2.29692455771935</v>
      </c>
      <c r="G8" s="20" t="n">
        <v>0.900917288754832</v>
      </c>
      <c r="H8" s="20" t="n">
        <v>0.666951856023304</v>
      </c>
      <c r="I8" s="20" t="n">
        <v>0.403146009840653</v>
      </c>
      <c r="J8" s="20" t="n">
        <v>0.200028310616942</v>
      </c>
      <c r="K8" s="20" t="n">
        <v>0.0833916636161669</v>
      </c>
      <c r="L8" s="20" t="n">
        <v>0.596853990159348</v>
      </c>
    </row>
    <row r="9" customFormat="false" ht="15" hidden="false" customHeight="false" outlineLevel="0" collapsed="false">
      <c r="A9" s="18" t="n">
        <v>8</v>
      </c>
      <c r="B9" s="18" t="s">
        <v>74</v>
      </c>
      <c r="C9" s="18" t="s">
        <v>85</v>
      </c>
      <c r="D9" s="21" t="n">
        <v>1.96499861426912</v>
      </c>
      <c r="E9" s="21" t="n">
        <v>0.892038060788029</v>
      </c>
      <c r="F9" s="21" t="n">
        <v>2.85703667505715</v>
      </c>
      <c r="G9" s="20" t="n">
        <v>0.943747126297701</v>
      </c>
      <c r="H9" s="20" t="n">
        <v>0.777283384890795</v>
      </c>
      <c r="I9" s="20" t="n">
        <v>0.54404249712721</v>
      </c>
      <c r="J9" s="20" t="n">
        <v>0.320785325490116</v>
      </c>
      <c r="K9" s="20" t="n">
        <v>0.161318205122098</v>
      </c>
      <c r="L9" s="20" t="n">
        <v>0.45595750287279</v>
      </c>
    </row>
    <row r="10" customFormat="false" ht="15" hidden="false" customHeight="false" outlineLevel="0" collapsed="false">
      <c r="A10" s="18" t="n">
        <v>9</v>
      </c>
      <c r="B10" s="18" t="s">
        <v>74</v>
      </c>
      <c r="C10" s="18" t="s">
        <v>86</v>
      </c>
      <c r="D10" s="21" t="n">
        <v>1.29094652010178</v>
      </c>
      <c r="E10" s="21" t="n">
        <v>0.979440875227922</v>
      </c>
      <c r="F10" s="21" t="n">
        <v>2.2703873953297</v>
      </c>
      <c r="G10" s="20" t="n">
        <v>0.898261634453548</v>
      </c>
      <c r="H10" s="20" t="n">
        <v>0.660726605636234</v>
      </c>
      <c r="I10" s="20" t="n">
        <v>0.396093893217481</v>
      </c>
      <c r="J10" s="20" t="n">
        <v>0.194660170412682</v>
      </c>
      <c r="K10" s="20" t="n">
        <v>0.0803269566170139</v>
      </c>
      <c r="L10" s="20" t="n">
        <v>0.603906106782519</v>
      </c>
    </row>
    <row r="11" customFormat="false" ht="15" hidden="false" customHeight="false" outlineLevel="0" collapsed="false">
      <c r="A11" s="18" t="n">
        <v>10</v>
      </c>
      <c r="B11" s="18" t="s">
        <v>74</v>
      </c>
      <c r="C11" s="18" t="s">
        <v>87</v>
      </c>
      <c r="D11" s="21" t="n">
        <v>1.62792998302904</v>
      </c>
      <c r="E11" s="21" t="n">
        <v>0.969703245239316</v>
      </c>
      <c r="F11" s="21" t="n">
        <v>2.59763322826835</v>
      </c>
      <c r="G11" s="20" t="n">
        <v>0.926931578732396</v>
      </c>
      <c r="H11" s="20" t="n">
        <v>0.730779269156838</v>
      </c>
      <c r="I11" s="20" t="n">
        <v>0.480978376203953</v>
      </c>
      <c r="J11" s="20" t="n">
        <v>0.263485130937001</v>
      </c>
      <c r="K11" s="20" t="n">
        <v>0.122242580578691</v>
      </c>
      <c r="L11" s="20" t="n">
        <v>0.519021623796047</v>
      </c>
    </row>
    <row r="12" customFormat="false" ht="15" hidden="false" customHeight="false" outlineLevel="0" collapsed="false">
      <c r="A12" s="18" t="n">
        <v>11</v>
      </c>
      <c r="B12" s="18" t="s">
        <v>74</v>
      </c>
      <c r="C12" s="18" t="s">
        <v>82</v>
      </c>
      <c r="D12" s="21" t="n">
        <v>1.78906433886542</v>
      </c>
      <c r="E12" s="21" t="n">
        <v>0.959102222931315</v>
      </c>
      <c r="F12" s="21" t="n">
        <v>2.74816656179674</v>
      </c>
      <c r="G12" s="20" t="n">
        <v>0.93724714599429</v>
      </c>
      <c r="H12" s="20" t="n">
        <v>0.758661450328019</v>
      </c>
      <c r="I12" s="20" t="n">
        <v>0.518105278463434</v>
      </c>
      <c r="J12" s="20" t="n">
        <v>0.296557847521516</v>
      </c>
      <c r="K12" s="20" t="n">
        <v>0.144344000189454</v>
      </c>
      <c r="L12" s="20" t="n">
        <v>0.481894721536566</v>
      </c>
    </row>
    <row r="13" customFormat="false" ht="15" hidden="false" customHeight="false" outlineLevel="0" collapsed="false">
      <c r="A13" s="18" t="n">
        <v>12</v>
      </c>
      <c r="B13" s="18" t="s">
        <v>88</v>
      </c>
      <c r="C13" s="18" t="s">
        <v>74</v>
      </c>
      <c r="D13" s="21" t="n">
        <v>1.43815281116351</v>
      </c>
      <c r="E13" s="21" t="n">
        <v>1.12758733842885</v>
      </c>
      <c r="F13" s="21" t="n">
        <v>2.56574014959236</v>
      </c>
      <c r="G13" s="20" t="n">
        <v>0.924601966662524</v>
      </c>
      <c r="H13" s="20" t="n">
        <v>0.724465804370703</v>
      </c>
      <c r="I13" s="20" t="n">
        <v>0.472936859512761</v>
      </c>
      <c r="J13" s="20" t="n">
        <v>0.256565172253054</v>
      </c>
      <c r="K13" s="20" t="n">
        <v>0.117776580256162</v>
      </c>
      <c r="L13" s="20" t="n">
        <v>0.527063140487239</v>
      </c>
    </row>
    <row r="14" customFormat="false" ht="15" hidden="false" customHeight="false" outlineLevel="0" collapsed="false">
      <c r="A14" s="18" t="n">
        <v>13</v>
      </c>
      <c r="B14" s="18" t="s">
        <v>88</v>
      </c>
      <c r="C14" s="18" t="s">
        <v>85</v>
      </c>
      <c r="D14" s="21" t="n">
        <v>2.00216433904301</v>
      </c>
      <c r="E14" s="21" t="n">
        <v>0.999340400688161</v>
      </c>
      <c r="F14" s="21" t="n">
        <v>3.00150473973117</v>
      </c>
      <c r="G14" s="20" t="n">
        <v>0.951459440364575</v>
      </c>
      <c r="H14" s="20" t="n">
        <v>0.79991799297507</v>
      </c>
      <c r="I14" s="20" t="n">
        <v>0.577160704707041</v>
      </c>
      <c r="J14" s="20" t="n">
        <v>0.353117107565124</v>
      </c>
      <c r="K14" s="20" t="n">
        <v>0.184995800769719</v>
      </c>
      <c r="L14" s="20" t="n">
        <v>0.422839295292959</v>
      </c>
    </row>
    <row r="15" customFormat="false" ht="15" hidden="false" customHeight="false" outlineLevel="0" collapsed="false">
      <c r="A15" s="18" t="n">
        <v>14</v>
      </c>
      <c r="B15" s="18" t="s">
        <v>88</v>
      </c>
      <c r="C15" s="18" t="s">
        <v>89</v>
      </c>
      <c r="D15" s="21" t="n">
        <v>1.1973008204518</v>
      </c>
      <c r="E15" s="21" t="n">
        <v>1.53250045006032</v>
      </c>
      <c r="F15" s="21" t="n">
        <v>2.72980127051212</v>
      </c>
      <c r="G15" s="20" t="n">
        <v>0.936173982960214</v>
      </c>
      <c r="H15" s="20" t="n">
        <v>0.755291933432767</v>
      </c>
      <c r="I15" s="20" t="n">
        <v>0.513648699095637</v>
      </c>
      <c r="J15" s="20" t="n">
        <v>0.29248958433537</v>
      </c>
      <c r="K15" s="20" t="n">
        <v>0.141559082496587</v>
      </c>
      <c r="L15" s="20" t="n">
        <v>0.486351300904363</v>
      </c>
    </row>
    <row r="16" customFormat="false" ht="15" hidden="false" customHeight="false" outlineLevel="0" collapsed="false">
      <c r="A16" s="18" t="n">
        <v>15</v>
      </c>
      <c r="B16" s="18" t="s">
        <v>88</v>
      </c>
      <c r="C16" s="18" t="s">
        <v>90</v>
      </c>
      <c r="D16" s="21" t="n">
        <v>1.54836864561695</v>
      </c>
      <c r="E16" s="21" t="n">
        <v>1.2196212685859</v>
      </c>
      <c r="F16" s="21" t="n">
        <v>2.76798991420285</v>
      </c>
      <c r="G16" s="20" t="n">
        <v>0.938604999641662</v>
      </c>
      <c r="H16" s="20" t="n">
        <v>0.7620236576289</v>
      </c>
      <c r="I16" s="20" t="n">
        <v>0.522882745164768</v>
      </c>
      <c r="J16" s="20" t="n">
        <v>0.300950626732355</v>
      </c>
      <c r="K16" s="20" t="n">
        <v>0.147373721617335</v>
      </c>
      <c r="L16" s="20" t="n">
        <v>0.477117254835232</v>
      </c>
    </row>
    <row r="17" customFormat="false" ht="15" hidden="false" customHeight="false" outlineLevel="0" collapsed="false">
      <c r="A17" s="18" t="n">
        <v>16</v>
      </c>
      <c r="B17" s="18" t="s">
        <v>88</v>
      </c>
      <c r="C17" s="18" t="s">
        <v>81</v>
      </c>
      <c r="D17" s="21" t="n">
        <v>1.38943818741616</v>
      </c>
      <c r="E17" s="21" t="n">
        <v>1.03578806544374</v>
      </c>
      <c r="F17" s="21" t="n">
        <v>2.4252262528599</v>
      </c>
      <c r="G17" s="20" t="n">
        <v>0.913037353022611</v>
      </c>
      <c r="H17" s="20" t="n">
        <v>0.695516238325388</v>
      </c>
      <c r="I17" s="20" t="n">
        <v>0.436868529260041</v>
      </c>
      <c r="J17" s="20" t="n">
        <v>0.226566457291418</v>
      </c>
      <c r="K17" s="20" t="n">
        <v>0.0990587886931797</v>
      </c>
      <c r="L17" s="20" t="n">
        <v>0.563131470739959</v>
      </c>
    </row>
    <row r="18" customFormat="false" ht="15" hidden="false" customHeight="false" outlineLevel="0" collapsed="false">
      <c r="A18" s="18" t="n">
        <v>17</v>
      </c>
      <c r="B18" s="18" t="s">
        <v>91</v>
      </c>
      <c r="C18" s="18" t="s">
        <v>74</v>
      </c>
      <c r="D18" s="21" t="n">
        <v>1.50800550721459</v>
      </c>
      <c r="E18" s="21" t="n">
        <v>1.01177528155591</v>
      </c>
      <c r="F18" s="21" t="n">
        <v>2.51978078877051</v>
      </c>
      <c r="G18" s="20" t="n">
        <v>0.920965358034294</v>
      </c>
      <c r="H18" s="20" t="n">
        <v>0.715296531690508</v>
      </c>
      <c r="I18" s="20" t="n">
        <v>0.461251976009507</v>
      </c>
      <c r="J18" s="20" t="n">
        <v>0.24666128981293</v>
      </c>
      <c r="K18" s="20" t="n">
        <v>0.111480611432087</v>
      </c>
      <c r="L18" s="20" t="n">
        <v>0.538748023990493</v>
      </c>
    </row>
    <row r="19" customFormat="false" ht="15" hidden="false" customHeight="false" outlineLevel="0" collapsed="false">
      <c r="A19" s="18" t="n">
        <v>18</v>
      </c>
      <c r="B19" s="18" t="s">
        <v>91</v>
      </c>
      <c r="C19" s="18" t="s">
        <v>88</v>
      </c>
      <c r="D19" s="21" t="n">
        <v>1.68939203533396</v>
      </c>
      <c r="E19" s="21" t="n">
        <v>1.03091738671097</v>
      </c>
      <c r="F19" s="21" t="n">
        <v>2.72030942204493</v>
      </c>
      <c r="G19" s="20" t="n">
        <v>0.935493694631558</v>
      </c>
      <c r="H19" s="20" t="n">
        <v>0.753656764330793</v>
      </c>
      <c r="I19" s="20" t="n">
        <v>0.511340573361787</v>
      </c>
      <c r="J19" s="20" t="n">
        <v>0.290392722673895</v>
      </c>
      <c r="K19" s="20" t="n">
        <v>0.140130185900587</v>
      </c>
      <c r="L19" s="20" t="n">
        <v>0.488659426638213</v>
      </c>
    </row>
    <row r="20" customFormat="false" ht="15" hidden="false" customHeight="false" outlineLevel="0" collapsed="false">
      <c r="A20" s="18" t="n">
        <v>19</v>
      </c>
      <c r="B20" s="18" t="s">
        <v>91</v>
      </c>
      <c r="C20" s="18" t="s">
        <v>92</v>
      </c>
      <c r="D20" s="21" t="n">
        <v>2.29226345848993</v>
      </c>
      <c r="E20" s="21" t="n">
        <v>0.770827428431006</v>
      </c>
      <c r="F20" s="21" t="n">
        <v>3.06309088692094</v>
      </c>
      <c r="G20" s="20" t="n">
        <v>0.954237582576023</v>
      </c>
      <c r="H20" s="20" t="n">
        <v>0.809140207811456</v>
      </c>
      <c r="I20" s="20" t="n">
        <v>0.590839684053257</v>
      </c>
      <c r="J20" s="20" t="n">
        <v>0.366939177927444</v>
      </c>
      <c r="K20" s="20" t="n">
        <v>0.195467953719078</v>
      </c>
      <c r="L20" s="20" t="n">
        <v>0.409160315946743</v>
      </c>
    </row>
    <row r="21" customFormat="false" ht="15" hidden="false" customHeight="false" outlineLevel="0" collapsed="false">
      <c r="A21" s="18" t="n">
        <v>20</v>
      </c>
      <c r="B21" s="18" t="s">
        <v>91</v>
      </c>
      <c r="C21" s="18" t="s">
        <v>81</v>
      </c>
      <c r="D21" s="21" t="n">
        <v>1.45692521052028</v>
      </c>
      <c r="E21" s="21" t="n">
        <v>0.929404423061419</v>
      </c>
      <c r="F21" s="21" t="n">
        <v>2.3863296335817</v>
      </c>
      <c r="G21" s="20" t="n">
        <v>0.909496353694222</v>
      </c>
      <c r="H21" s="20" t="n">
        <v>0.687108852065722</v>
      </c>
      <c r="I21" s="20" t="n">
        <v>0.426716421581789</v>
      </c>
      <c r="J21" s="20" t="n">
        <v>0.218425232469351</v>
      </c>
      <c r="K21" s="20" t="n">
        <v>0.0941621608266264</v>
      </c>
      <c r="L21" s="20" t="n">
        <v>0.573283578418211</v>
      </c>
    </row>
    <row r="22" customFormat="false" ht="15" hidden="false" customHeight="false" outlineLevel="0" collapsed="false">
      <c r="A22" s="18" t="n">
        <v>21</v>
      </c>
      <c r="B22" s="18" t="s">
        <v>91</v>
      </c>
      <c r="C22" s="18" t="s">
        <v>82</v>
      </c>
      <c r="D22" s="21" t="n">
        <v>1.91143437637636</v>
      </c>
      <c r="E22" s="21" t="n">
        <v>0.964114865209737</v>
      </c>
      <c r="F22" s="21" t="n">
        <v>2.87554924158609</v>
      </c>
      <c r="G22" s="20" t="n">
        <v>0.944837810975331</v>
      </c>
      <c r="H22" s="20" t="n">
        <v>0.780263148415046</v>
      </c>
      <c r="I22" s="20" t="n">
        <v>0.548367548110498</v>
      </c>
      <c r="J22" s="20" t="n">
        <v>0.324918071610036</v>
      </c>
      <c r="K22" s="20" t="n">
        <v>0.164280241220054</v>
      </c>
      <c r="L22" s="20" t="n">
        <v>0.451632451889502</v>
      </c>
    </row>
    <row r="23" customFormat="false" ht="15" hidden="false" customHeight="false" outlineLevel="0" collapsed="false">
      <c r="A23" s="18" t="n">
        <v>22</v>
      </c>
      <c r="B23" s="18" t="s">
        <v>83</v>
      </c>
      <c r="C23" s="18" t="s">
        <v>92</v>
      </c>
      <c r="D23" s="21" t="n">
        <v>2.03548637577257</v>
      </c>
      <c r="E23" s="21" t="n">
        <v>0.841257943711596</v>
      </c>
      <c r="F23" s="21" t="n">
        <v>2.87674431948416</v>
      </c>
      <c r="G23" s="20" t="n">
        <v>0.944819311560777</v>
      </c>
      <c r="H23" s="20" t="n">
        <v>0.780549949879681</v>
      </c>
      <c r="I23" s="20" t="n">
        <v>0.548653173872806</v>
      </c>
      <c r="J23" s="20" t="n">
        <v>0.325190873084984</v>
      </c>
      <c r="K23" s="20" t="n">
        <v>0.164474896723967</v>
      </c>
      <c r="L23" s="20" t="n">
        <v>0.451346826127194</v>
      </c>
    </row>
    <row r="24" customFormat="false" ht="15" hidden="false" customHeight="false" outlineLevel="0" collapsed="false">
      <c r="A24" s="18" t="n">
        <v>23</v>
      </c>
      <c r="B24" s="18" t="s">
        <v>83</v>
      </c>
      <c r="C24" s="18" t="s">
        <v>86</v>
      </c>
      <c r="D24" s="21" t="n">
        <v>1.22467520787183</v>
      </c>
      <c r="E24" s="21" t="n">
        <v>1.07451896134782</v>
      </c>
      <c r="F24" s="21" t="n">
        <v>2.29919416921965</v>
      </c>
      <c r="G24" s="20" t="n">
        <v>0.901211274315209</v>
      </c>
      <c r="H24" s="20" t="n">
        <v>0.667409286379377</v>
      </c>
      <c r="I24" s="20" t="n">
        <v>0.403747665802002</v>
      </c>
      <c r="J24" s="20" t="n">
        <v>0.200489254616545</v>
      </c>
      <c r="K24" s="20" t="n">
        <v>0.0836565673676865</v>
      </c>
      <c r="L24" s="20" t="n">
        <v>0.596252334197999</v>
      </c>
    </row>
    <row r="25" customFormat="false" ht="15" hidden="false" customHeight="false" outlineLevel="0" collapsed="false">
      <c r="A25" s="18" t="n">
        <v>24</v>
      </c>
      <c r="B25" s="18" t="s">
        <v>83</v>
      </c>
      <c r="C25" s="18" t="s">
        <v>94</v>
      </c>
      <c r="D25" s="21" t="n">
        <v>1.30836320700087</v>
      </c>
      <c r="E25" s="21" t="n">
        <v>1.09523419792302</v>
      </c>
      <c r="F25" s="21" t="n">
        <v>2.40359740492389</v>
      </c>
      <c r="G25" s="20" t="n">
        <v>0.911129298871239</v>
      </c>
      <c r="H25" s="20" t="n">
        <v>0.690820335859151</v>
      </c>
      <c r="I25" s="20" t="n">
        <v>0.431231198832672</v>
      </c>
      <c r="J25" s="20" t="n">
        <v>0.222029553942528</v>
      </c>
      <c r="K25" s="20" t="n">
        <v>0.0963203332290652</v>
      </c>
      <c r="L25" s="20" t="n">
        <v>0.568768801167328</v>
      </c>
    </row>
    <row r="26" customFormat="false" ht="15" hidden="false" customHeight="false" outlineLevel="0" collapsed="false">
      <c r="A26" s="18" t="n">
        <v>25</v>
      </c>
      <c r="B26" s="18" t="s">
        <v>83</v>
      </c>
      <c r="C26" s="18" t="s">
        <v>90</v>
      </c>
      <c r="D26" s="21" t="n">
        <v>1.44161069867978</v>
      </c>
      <c r="E26" s="21" t="n">
        <v>1.19434790087353</v>
      </c>
      <c r="F26" s="21" t="n">
        <v>2.63595859955331</v>
      </c>
      <c r="G26" s="20" t="n">
        <v>0.929798991365186</v>
      </c>
      <c r="H26" s="20" t="n">
        <v>0.738034361975533</v>
      </c>
      <c r="I26" s="20" t="n">
        <v>0.49056055220963</v>
      </c>
      <c r="J26" s="20" t="n">
        <v>0.271843485400392</v>
      </c>
      <c r="K26" s="20" t="n">
        <v>0.1277109707115</v>
      </c>
      <c r="L26" s="20" t="n">
        <v>0.509439447790371</v>
      </c>
    </row>
    <row r="27" customFormat="false" ht="15" hidden="false" customHeight="false" outlineLevel="0" collapsed="false">
      <c r="A27" s="18" t="n">
        <v>26</v>
      </c>
      <c r="B27" s="18" t="s">
        <v>83</v>
      </c>
      <c r="C27" s="18" t="s">
        <v>87</v>
      </c>
      <c r="D27" s="21" t="n">
        <v>1.54436283234533</v>
      </c>
      <c r="E27" s="21" t="n">
        <v>1.0638360720526</v>
      </c>
      <c r="F27" s="21" t="n">
        <v>2.60819890439792</v>
      </c>
      <c r="G27" s="20" t="n">
        <v>0.92775491437929</v>
      </c>
      <c r="H27" s="20" t="n">
        <v>0.732774068404867</v>
      </c>
      <c r="I27" s="20" t="n">
        <v>0.483628179778975</v>
      </c>
      <c r="J27" s="20" t="n">
        <v>0.265784343141167</v>
      </c>
      <c r="K27" s="20" t="n">
        <v>0.123738937062844</v>
      </c>
      <c r="L27" s="20" t="n">
        <v>0.516371820221025</v>
      </c>
    </row>
    <row r="28" customFormat="false" ht="15" hidden="false" customHeight="false" outlineLevel="0" collapsed="false">
      <c r="A28" s="18" t="n">
        <v>27</v>
      </c>
      <c r="B28" s="18" t="s">
        <v>83</v>
      </c>
      <c r="C28" s="18" t="s">
        <v>82</v>
      </c>
      <c r="D28" s="21" t="n">
        <v>1.69723058305632</v>
      </c>
      <c r="E28" s="21" t="n">
        <v>1.05220597745362</v>
      </c>
      <c r="F28" s="21" t="n">
        <v>2.74943656050994</v>
      </c>
      <c r="G28" s="20" t="n">
        <v>0.937378737146411</v>
      </c>
      <c r="H28" s="20" t="n">
        <v>0.758832386795132</v>
      </c>
      <c r="I28" s="20" t="n">
        <v>0.518410362731073</v>
      </c>
      <c r="J28" s="20" t="n">
        <v>0.296837688306722</v>
      </c>
      <c r="K28" s="20" t="n">
        <v>0.144536734584339</v>
      </c>
      <c r="L28" s="20" t="n">
        <v>0.481589637268927</v>
      </c>
    </row>
    <row r="29" customFormat="false" ht="15" hidden="false" customHeight="false" outlineLevel="0" collapsed="false">
      <c r="A29" s="18" t="n">
        <v>28</v>
      </c>
      <c r="B29" s="18" t="s">
        <v>92</v>
      </c>
      <c r="C29" s="18" t="s">
        <v>73</v>
      </c>
      <c r="D29" s="21" t="n">
        <v>1.07550938027785</v>
      </c>
      <c r="E29" s="21" t="n">
        <v>1.4956924795354</v>
      </c>
      <c r="F29" s="21" t="n">
        <v>2.57120185981326</v>
      </c>
      <c r="G29" s="20" t="n">
        <v>0.925001065102474</v>
      </c>
      <c r="H29" s="20" t="n">
        <v>0.725561011904373</v>
      </c>
      <c r="I29" s="20" t="n">
        <v>0.474318093757382</v>
      </c>
      <c r="J29" s="20" t="n">
        <v>0.257747681692181</v>
      </c>
      <c r="K29" s="20" t="n">
        <v>0.118535828575011</v>
      </c>
      <c r="L29" s="20" t="n">
        <v>0.525681906242618</v>
      </c>
    </row>
    <row r="30" customFormat="false" ht="15" hidden="false" customHeight="false" outlineLevel="0" collapsed="false">
      <c r="A30" s="18" t="n">
        <v>29</v>
      </c>
      <c r="B30" s="18" t="s">
        <v>92</v>
      </c>
      <c r="C30" s="18" t="s">
        <v>86</v>
      </c>
      <c r="D30" s="21" t="n">
        <v>0.983516581607484</v>
      </c>
      <c r="E30" s="21" t="n">
        <v>1.48896773518174</v>
      </c>
      <c r="F30" s="21" t="n">
        <v>2.47248431678923</v>
      </c>
      <c r="G30" s="20" t="n">
        <v>0.917076652969214</v>
      </c>
      <c r="H30" s="20" t="n">
        <v>0.705558834157316</v>
      </c>
      <c r="I30" s="20" t="n">
        <v>0.449110525660203</v>
      </c>
      <c r="J30" s="20" t="n">
        <v>0.236559216131961</v>
      </c>
      <c r="K30" s="20" t="n">
        <v>0.105176503263276</v>
      </c>
      <c r="L30" s="20" t="n">
        <v>0.550889474339797</v>
      </c>
    </row>
    <row r="31" customFormat="false" ht="15" hidden="false" customHeight="false" outlineLevel="0" collapsed="false">
      <c r="A31" s="18" t="n">
        <v>30</v>
      </c>
      <c r="B31" s="18" t="s">
        <v>92</v>
      </c>
      <c r="C31" s="18" t="s">
        <v>94</v>
      </c>
      <c r="D31" s="21" t="n">
        <v>1.05072547184064</v>
      </c>
      <c r="E31" s="21" t="n">
        <v>1.51767213392546</v>
      </c>
      <c r="F31" s="21" t="n">
        <v>2.5683976057661</v>
      </c>
      <c r="G31" s="20" t="n">
        <v>0.924777921003437</v>
      </c>
      <c r="H31" s="20" t="n">
        <v>0.725018007932475</v>
      </c>
      <c r="I31" s="20" t="n">
        <v>0.473609417185516</v>
      </c>
      <c r="J31" s="20" t="n">
        <v>0.257140605709049</v>
      </c>
      <c r="K31" s="20" t="n">
        <v>0.118145780757795</v>
      </c>
      <c r="L31" s="20" t="n">
        <v>0.526390582814484</v>
      </c>
    </row>
    <row r="32" customFormat="false" ht="15" hidden="false" customHeight="false" outlineLevel="0" collapsed="false">
      <c r="A32" s="18" t="n">
        <v>31</v>
      </c>
      <c r="B32" s="18" t="s">
        <v>92</v>
      </c>
      <c r="C32" s="18" t="s">
        <v>90</v>
      </c>
      <c r="D32" s="21" t="n">
        <v>1.15773579946985</v>
      </c>
      <c r="E32" s="21" t="n">
        <v>1.65500802661734</v>
      </c>
      <c r="F32" s="21" t="n">
        <v>2.81274382608719</v>
      </c>
      <c r="G32" s="20" t="n">
        <v>0.941311896190625</v>
      </c>
      <c r="H32" s="20" t="n">
        <v>0.769733589577623</v>
      </c>
      <c r="I32" s="20" t="n">
        <v>0.533581201490536</v>
      </c>
      <c r="J32" s="20" t="n">
        <v>0.31090120724107</v>
      </c>
      <c r="K32" s="20" t="n">
        <v>0.154314990292485</v>
      </c>
      <c r="L32" s="20" t="n">
        <v>0.466418798509464</v>
      </c>
    </row>
    <row r="33" customFormat="false" ht="15" hidden="false" customHeight="false" outlineLevel="0" collapsed="false">
      <c r="A33" s="18" t="n">
        <v>32</v>
      </c>
      <c r="B33" s="18" t="s">
        <v>92</v>
      </c>
      <c r="C33" s="18" t="s">
        <v>77</v>
      </c>
      <c r="D33" s="21" t="n">
        <v>0.813397192487757</v>
      </c>
      <c r="E33" s="21" t="n">
        <v>1.91211071718474</v>
      </c>
      <c r="F33" s="21" t="n">
        <v>2.7255079096725</v>
      </c>
      <c r="G33" s="20" t="n">
        <v>0.935686790634043</v>
      </c>
      <c r="H33" s="20" t="n">
        <v>0.754742111857006</v>
      </c>
      <c r="I33" s="20" t="n">
        <v>0.512612939713594</v>
      </c>
      <c r="J33" s="20" t="n">
        <v>0.291546582899524</v>
      </c>
      <c r="K33" s="20" t="n">
        <v>0.140914244084967</v>
      </c>
      <c r="L33" s="20" t="n">
        <v>0.487387060286406</v>
      </c>
    </row>
    <row r="34" customFormat="false" ht="15" hidden="false" customHeight="false" outlineLevel="0" collapsed="false">
      <c r="A34" s="18" t="n">
        <v>33</v>
      </c>
      <c r="B34" s="18" t="s">
        <v>92</v>
      </c>
      <c r="C34" s="18" t="s">
        <v>82</v>
      </c>
      <c r="D34" s="21" t="n">
        <v>1.36302885872408</v>
      </c>
      <c r="E34" s="21" t="n">
        <v>1.45804923929935</v>
      </c>
      <c r="F34" s="21" t="n">
        <v>2.82107809802343</v>
      </c>
      <c r="G34" s="20" t="n">
        <v>0.941848444524692</v>
      </c>
      <c r="H34" s="20" t="n">
        <v>0.77109751587449</v>
      </c>
      <c r="I34" s="20" t="n">
        <v>0.535556794079534</v>
      </c>
      <c r="J34" s="20" t="n">
        <v>0.312756441608085</v>
      </c>
      <c r="K34" s="20" t="n">
        <v>0.155621798326815</v>
      </c>
      <c r="L34" s="20" t="n">
        <v>0.464443205920467</v>
      </c>
    </row>
    <row r="35" customFormat="false" ht="15" hidden="false" customHeight="false" outlineLevel="0" collapsed="false">
      <c r="A35" s="18" t="n">
        <v>34</v>
      </c>
      <c r="B35" s="18" t="s">
        <v>84</v>
      </c>
      <c r="C35" s="18" t="s">
        <v>91</v>
      </c>
      <c r="D35" s="21" t="n">
        <v>1.2678716295447</v>
      </c>
      <c r="E35" s="21" t="n">
        <v>1.06474141103114</v>
      </c>
      <c r="F35" s="21" t="n">
        <v>2.33261304057584</v>
      </c>
      <c r="G35" s="20" t="n">
        <v>0.904496925482748</v>
      </c>
      <c r="H35" s="20" t="n">
        <v>0.675058677319068</v>
      </c>
      <c r="I35" s="20" t="n">
        <v>0.412590963764319</v>
      </c>
      <c r="J35" s="20" t="n">
        <v>0.207315952406272</v>
      </c>
      <c r="K35" s="20" t="n">
        <v>0.0876090964194666</v>
      </c>
      <c r="L35" s="20" t="n">
        <v>0.587409036235681</v>
      </c>
    </row>
    <row r="36" customFormat="false" ht="15" hidden="false" customHeight="false" outlineLevel="0" collapsed="false">
      <c r="A36" s="18" t="n">
        <v>35</v>
      </c>
      <c r="B36" s="18" t="s">
        <v>84</v>
      </c>
      <c r="C36" s="18" t="s">
        <v>97</v>
      </c>
      <c r="D36" s="21" t="n">
        <v>1.419550808456</v>
      </c>
      <c r="E36" s="21" t="n">
        <v>0.964702496532234</v>
      </c>
      <c r="F36" s="21" t="n">
        <v>2.38425330498823</v>
      </c>
      <c r="G36" s="20" t="n">
        <v>0.909324810557463</v>
      </c>
      <c r="H36" s="20" t="n">
        <v>0.686633060933326</v>
      </c>
      <c r="I36" s="20" t="n">
        <v>0.426172458642485</v>
      </c>
      <c r="J36" s="20" t="n">
        <v>0.217992757928671</v>
      </c>
      <c r="K36" s="20" t="n">
        <v>0.0939043057834701</v>
      </c>
      <c r="L36" s="20" t="n">
        <v>0.573827541357515</v>
      </c>
    </row>
    <row r="37" customFormat="false" ht="15" hidden="false" customHeight="false" outlineLevel="0" collapsed="false">
      <c r="A37" s="18" t="n">
        <v>36</v>
      </c>
      <c r="B37" s="18" t="s">
        <v>84</v>
      </c>
      <c r="C37" s="18" t="s">
        <v>90</v>
      </c>
      <c r="D37" s="21" t="n">
        <v>1.35794249773813</v>
      </c>
      <c r="E37" s="21" t="n">
        <v>1.07790584445474</v>
      </c>
      <c r="F37" s="21" t="n">
        <v>2.43584834219288</v>
      </c>
      <c r="G37" s="20" t="n">
        <v>0.913981413697068</v>
      </c>
      <c r="H37" s="20" t="n">
        <v>0.697778357687328</v>
      </c>
      <c r="I37" s="20" t="n">
        <v>0.439629113862875</v>
      </c>
      <c r="J37" s="20" t="n">
        <v>0.22880304045847</v>
      </c>
      <c r="K37" s="20" t="n">
        <v>0.100417835671458</v>
      </c>
      <c r="L37" s="20" t="n">
        <v>0.560370886137125</v>
      </c>
    </row>
    <row r="38" customFormat="false" ht="15" hidden="false" customHeight="false" outlineLevel="0" collapsed="false">
      <c r="A38" s="18" t="n">
        <v>37</v>
      </c>
      <c r="B38" s="18" t="s">
        <v>84</v>
      </c>
      <c r="C38" s="18" t="s">
        <v>98</v>
      </c>
      <c r="D38" s="21" t="n">
        <v>1.51447875958975</v>
      </c>
      <c r="E38" s="21" t="n">
        <v>0.795844549013093</v>
      </c>
      <c r="F38" s="21" t="n">
        <v>2.31032330860285</v>
      </c>
      <c r="G38" s="20" t="n">
        <v>0.902176087661053</v>
      </c>
      <c r="H38" s="20" t="n">
        <v>0.670115788657996</v>
      </c>
      <c r="I38" s="20" t="n">
        <v>0.406698082366596</v>
      </c>
      <c r="J38" s="20" t="n">
        <v>0.202755748798767</v>
      </c>
      <c r="K38" s="20" t="n">
        <v>0.0849622694966131</v>
      </c>
      <c r="L38" s="20" t="n">
        <v>0.593301917633404</v>
      </c>
    </row>
    <row r="39" customFormat="false" ht="15" hidden="false" customHeight="false" outlineLevel="0" collapsed="false">
      <c r="A39" s="18" t="n">
        <v>38</v>
      </c>
      <c r="B39" s="18" t="s">
        <v>85</v>
      </c>
      <c r="C39" s="18" t="s">
        <v>91</v>
      </c>
      <c r="D39" s="21" t="n">
        <v>1.25745663795715</v>
      </c>
      <c r="E39" s="21" t="n">
        <v>1.49715684487734</v>
      </c>
      <c r="F39" s="21" t="n">
        <v>2.75461348283449</v>
      </c>
      <c r="G39" s="20" t="n">
        <v>0.937773794905072</v>
      </c>
      <c r="H39" s="20" t="n">
        <v>0.759674270089504</v>
      </c>
      <c r="I39" s="20" t="n">
        <v>0.519658985938223</v>
      </c>
      <c r="J39" s="20" t="n">
        <v>0.29798341339787</v>
      </c>
      <c r="K39" s="20" t="n">
        <v>0.14532543969028</v>
      </c>
      <c r="L39" s="20" t="n">
        <v>0.480341014061777</v>
      </c>
    </row>
    <row r="40" customFormat="false" ht="15" hidden="false" customHeight="false" outlineLevel="0" collapsed="false">
      <c r="A40" s="18" t="n">
        <v>39</v>
      </c>
      <c r="B40" s="18" t="s">
        <v>85</v>
      </c>
      <c r="C40" s="18" t="s">
        <v>89</v>
      </c>
      <c r="D40" s="21" t="n">
        <v>1.04142211776106</v>
      </c>
      <c r="E40" s="21" t="n">
        <v>1.90445856941487</v>
      </c>
      <c r="F40" s="21" t="n">
        <v>2.94588068717593</v>
      </c>
      <c r="G40" s="20" t="n">
        <v>0.94867081579789</v>
      </c>
      <c r="H40" s="20" t="n">
        <v>0.791403521355261</v>
      </c>
      <c r="I40" s="20" t="n">
        <v>0.564585162467323</v>
      </c>
      <c r="J40" s="20" t="n">
        <v>0.340652636989482</v>
      </c>
      <c r="K40" s="20" t="n">
        <v>0.175730256410451</v>
      </c>
      <c r="L40" s="20" t="n">
        <v>0.435414837532678</v>
      </c>
    </row>
    <row r="41" customFormat="false" ht="15" hidden="false" customHeight="false" outlineLevel="0" collapsed="false">
      <c r="A41" s="18" t="n">
        <v>40</v>
      </c>
      <c r="B41" s="18" t="s">
        <v>85</v>
      </c>
      <c r="C41" s="18" t="s">
        <v>97</v>
      </c>
      <c r="D41" s="21" t="n">
        <v>1.40788997273411</v>
      </c>
      <c r="E41" s="21" t="n">
        <v>1.35649243727434</v>
      </c>
      <c r="F41" s="21" t="n">
        <v>2.76438241000845</v>
      </c>
      <c r="G41" s="20" t="n">
        <v>0.938398766514522</v>
      </c>
      <c r="H41" s="20" t="n">
        <v>0.761374671836539</v>
      </c>
      <c r="I41" s="20" t="n">
        <v>0.52201402041122</v>
      </c>
      <c r="J41" s="20" t="n">
        <v>0.300149688489272</v>
      </c>
      <c r="K41" s="20" t="n">
        <v>0.146819950594394</v>
      </c>
      <c r="L41" s="20" t="n">
        <v>0.47798597958878</v>
      </c>
    </row>
    <row r="42" customFormat="false" ht="15" hidden="false" customHeight="false" outlineLevel="0" collapsed="false">
      <c r="A42" s="18" t="n">
        <v>41</v>
      </c>
      <c r="B42" s="18" t="s">
        <v>85</v>
      </c>
      <c r="C42" s="18" t="s">
        <v>87</v>
      </c>
      <c r="D42" s="21" t="n">
        <v>1.44278247438272</v>
      </c>
      <c r="E42" s="21" t="n">
        <v>1.35004612240661</v>
      </c>
      <c r="F42" s="21" t="n">
        <v>2.79282859678933</v>
      </c>
      <c r="G42" s="20" t="n">
        <v>0.940153793033443</v>
      </c>
      <c r="H42" s="20" t="n">
        <v>0.766297500130433</v>
      </c>
      <c r="I42" s="20" t="n">
        <v>0.528836149655343</v>
      </c>
      <c r="J42" s="20" t="n">
        <v>0.306468307956884</v>
      </c>
      <c r="K42" s="20" t="n">
        <v>0.151209179177543</v>
      </c>
      <c r="L42" s="20" t="n">
        <v>0.471163850344657</v>
      </c>
    </row>
    <row r="43" customFormat="false" ht="15" hidden="false" customHeight="false" outlineLevel="0" collapsed="false">
      <c r="A43" s="18" t="n">
        <v>42</v>
      </c>
      <c r="B43" s="18" t="s">
        <v>85</v>
      </c>
      <c r="C43" s="18" t="s">
        <v>98</v>
      </c>
      <c r="D43" s="21" t="n">
        <v>1.50203830602098</v>
      </c>
      <c r="E43" s="21" t="n">
        <v>1.11905832891282</v>
      </c>
      <c r="F43" s="21" t="n">
        <v>2.62109663493381</v>
      </c>
      <c r="G43" s="20" t="n">
        <v>0.928713020939087</v>
      </c>
      <c r="H43" s="20" t="n">
        <v>0.73522795446765</v>
      </c>
      <c r="I43" s="20" t="n">
        <v>0.486854756348318</v>
      </c>
      <c r="J43" s="20" t="n">
        <v>0.268596512154967</v>
      </c>
      <c r="K43" s="20" t="n">
        <v>0.125577213893444</v>
      </c>
      <c r="L43" s="20" t="n">
        <v>0.513145243651682</v>
      </c>
    </row>
    <row r="44" customFormat="false" ht="15" hidden="false" customHeight="false" outlineLevel="0" collapsed="false">
      <c r="A44" s="18" t="n">
        <v>43</v>
      </c>
      <c r="B44" s="18" t="s">
        <v>86</v>
      </c>
      <c r="C44" s="18" t="s">
        <v>88</v>
      </c>
      <c r="D44" s="21" t="n">
        <v>1.53869488062325</v>
      </c>
      <c r="E44" s="21" t="n">
        <v>0.937999025126795</v>
      </c>
      <c r="F44" s="21" t="n">
        <v>2.47669390575004</v>
      </c>
      <c r="G44" s="20" t="n">
        <v>0.917404273330489</v>
      </c>
      <c r="H44" s="20" t="n">
        <v>0.706463183502398</v>
      </c>
      <c r="I44" s="20" t="n">
        <v>0.45019609475357</v>
      </c>
      <c r="J44" s="20" t="n">
        <v>0.237454605922234</v>
      </c>
      <c r="K44" s="20" t="n">
        <v>0.105730355716969</v>
      </c>
      <c r="L44" s="20" t="n">
        <v>0.54980390524643</v>
      </c>
    </row>
    <row r="45" customFormat="false" ht="15" hidden="false" customHeight="false" outlineLevel="0" collapsed="false">
      <c r="A45" s="18" t="n">
        <v>44</v>
      </c>
      <c r="B45" s="18" t="s">
        <v>86</v>
      </c>
      <c r="C45" s="18" t="s">
        <v>99</v>
      </c>
      <c r="D45" s="21" t="n">
        <v>1.40926422710507</v>
      </c>
      <c r="E45" s="21" t="n">
        <v>0.874327305857693</v>
      </c>
      <c r="F45" s="21" t="n">
        <v>2.28359153296277</v>
      </c>
      <c r="G45" s="20" t="n">
        <v>0.899557716922503</v>
      </c>
      <c r="H45" s="20" t="n">
        <v>0.663870163662085</v>
      </c>
      <c r="I45" s="20" t="n">
        <v>0.399605918556906</v>
      </c>
      <c r="J45" s="20" t="n">
        <v>0.197325727452993</v>
      </c>
      <c r="K45" s="20" t="n">
        <v>0.0818442449446839</v>
      </c>
      <c r="L45" s="20" t="n">
        <v>0.600394081443094</v>
      </c>
    </row>
    <row r="46" customFormat="false" ht="15" hidden="false" customHeight="false" outlineLevel="0" collapsed="false">
      <c r="A46" s="18" t="n">
        <v>45</v>
      </c>
      <c r="B46" s="18" t="s">
        <v>86</v>
      </c>
      <c r="C46" s="18" t="s">
        <v>77</v>
      </c>
      <c r="D46" s="21" t="n">
        <v>1.03893312622478</v>
      </c>
      <c r="E46" s="21" t="n">
        <v>1.15042507468384</v>
      </c>
      <c r="F46" s="21" t="n">
        <v>2.18935820090862</v>
      </c>
      <c r="G46" s="20" t="n">
        <v>0.88958356824251</v>
      </c>
      <c r="H46" s="20" t="n">
        <v>0.641256245437152</v>
      </c>
      <c r="I46" s="20" t="n">
        <v>0.374431475150112</v>
      </c>
      <c r="J46" s="20" t="n">
        <v>0.178559120331179</v>
      </c>
      <c r="K46" s="20" t="n">
        <v>0.0713504065234595</v>
      </c>
      <c r="L46" s="20" t="n">
        <v>0.625568524849888</v>
      </c>
    </row>
    <row r="47" customFormat="false" ht="15" hidden="false" customHeight="false" outlineLevel="0" collapsed="false">
      <c r="A47" s="18" t="n">
        <v>46</v>
      </c>
      <c r="B47" s="18" t="s">
        <v>86</v>
      </c>
      <c r="C47" s="18" t="s">
        <v>79</v>
      </c>
      <c r="D47" s="21" t="n">
        <v>1.92612157341549</v>
      </c>
      <c r="E47" s="21" t="n">
        <v>0.8088263222681</v>
      </c>
      <c r="F47" s="21" t="n">
        <v>2.73494789568359</v>
      </c>
      <c r="G47" s="20" t="n">
        <v>0.936293225435012</v>
      </c>
      <c r="H47" s="20" t="n">
        <v>0.756432398457621</v>
      </c>
      <c r="I47" s="20" t="n">
        <v>0.514907700207952</v>
      </c>
      <c r="J47" s="20" t="n">
        <v>0.293634926280417</v>
      </c>
      <c r="K47" s="20" t="n">
        <v>0.142339541059798</v>
      </c>
      <c r="L47" s="20" t="n">
        <v>0.485092299792048</v>
      </c>
    </row>
    <row r="48" customFormat="false" ht="15" hidden="false" customHeight="false" outlineLevel="0" collapsed="false">
      <c r="A48" s="18" t="n">
        <v>47</v>
      </c>
      <c r="B48" s="18" t="s">
        <v>86</v>
      </c>
      <c r="C48" s="18" t="s">
        <v>81</v>
      </c>
      <c r="D48" s="21" t="n">
        <v>1.32695964444685</v>
      </c>
      <c r="E48" s="21" t="n">
        <v>0.845635560844711</v>
      </c>
      <c r="F48" s="21" t="n">
        <v>2.17259520529156</v>
      </c>
      <c r="G48" s="20" t="n">
        <v>0.88761940631186</v>
      </c>
      <c r="H48" s="20" t="n">
        <v>0.637198933205728</v>
      </c>
      <c r="I48" s="20" t="n">
        <v>0.369929389925032</v>
      </c>
      <c r="J48" s="20" t="n">
        <v>0.175286098868619</v>
      </c>
      <c r="K48" s="20" t="n">
        <v>0.0695657478320931</v>
      </c>
      <c r="L48" s="20" t="n">
        <v>0.630070610074968</v>
      </c>
    </row>
    <row r="49" customFormat="false" ht="15" hidden="false" customHeight="false" outlineLevel="0" collapsed="false">
      <c r="A49" s="18" t="n">
        <v>48</v>
      </c>
      <c r="B49" s="18" t="s">
        <v>89</v>
      </c>
      <c r="C49" s="18" t="s">
        <v>73</v>
      </c>
      <c r="D49" s="21" t="n">
        <v>1.91858700492114</v>
      </c>
      <c r="E49" s="21" t="n">
        <v>0.819092072300083</v>
      </c>
      <c r="F49" s="21" t="n">
        <v>2.73767907722122</v>
      </c>
      <c r="G49" s="20" t="n">
        <v>0.936477213568855</v>
      </c>
      <c r="H49" s="20" t="n">
        <v>0.756909337624747</v>
      </c>
      <c r="I49" s="20" t="n">
        <v>0.515569988483493</v>
      </c>
      <c r="J49" s="20" t="n">
        <v>0.294239069373061</v>
      </c>
      <c r="K49" s="20" t="n">
        <v>0.142752908712205</v>
      </c>
      <c r="L49" s="20" t="n">
        <v>0.484430011516507</v>
      </c>
    </row>
    <row r="50" customFormat="false" ht="15" hidden="false" customHeight="false" outlineLevel="0" collapsed="false">
      <c r="A50" s="18" t="n">
        <v>49</v>
      </c>
      <c r="B50" s="18" t="s">
        <v>89</v>
      </c>
      <c r="C50" s="18" t="s">
        <v>74</v>
      </c>
      <c r="D50" s="21" t="n">
        <v>1.91825606338327</v>
      </c>
      <c r="E50" s="21" t="n">
        <v>0.837949046897262</v>
      </c>
      <c r="F50" s="21" t="n">
        <v>2.75620511028053</v>
      </c>
      <c r="G50" s="20" t="n">
        <v>0.937669989829449</v>
      </c>
      <c r="H50" s="20" t="n">
        <v>0.760167634125815</v>
      </c>
      <c r="I50" s="20" t="n">
        <v>0.520051900177917</v>
      </c>
      <c r="J50" s="20" t="n">
        <v>0.298342989016414</v>
      </c>
      <c r="K50" s="20" t="n">
        <v>0.145571275867481</v>
      </c>
      <c r="L50" s="20" t="n">
        <v>0.479948099822083</v>
      </c>
    </row>
    <row r="51" customFormat="false" ht="15" hidden="false" customHeight="false" outlineLevel="0" collapsed="false">
      <c r="A51" s="18" t="n">
        <v>50</v>
      </c>
      <c r="B51" s="18" t="s">
        <v>89</v>
      </c>
      <c r="C51" s="18" t="s">
        <v>92</v>
      </c>
      <c r="D51" s="21" t="n">
        <v>2.91432846164005</v>
      </c>
      <c r="E51" s="21" t="n">
        <v>0.638396752898097</v>
      </c>
      <c r="F51" s="21" t="n">
        <v>3.55272521453814</v>
      </c>
      <c r="G51" s="20" t="n">
        <v>0.972027675358373</v>
      </c>
      <c r="H51" s="20" t="n">
        <v>0.869122020089349</v>
      </c>
      <c r="I51" s="20" t="n">
        <v>0.689072829744096</v>
      </c>
      <c r="J51" s="20" t="n">
        <v>0.474993919307705</v>
      </c>
      <c r="K51" s="20" t="n">
        <v>0.284749416847508</v>
      </c>
      <c r="L51" s="20" t="n">
        <v>0.310927170255904</v>
      </c>
    </row>
    <row r="52" customFormat="false" ht="15" hidden="false" customHeight="false" outlineLevel="0" collapsed="false">
      <c r="A52" s="18" t="n">
        <v>51</v>
      </c>
      <c r="B52" s="18" t="s">
        <v>89</v>
      </c>
      <c r="C52" s="18" t="s">
        <v>94</v>
      </c>
      <c r="D52" s="21" t="n">
        <v>1.87438407336968</v>
      </c>
      <c r="E52" s="21" t="n">
        <v>0.831129255999284</v>
      </c>
      <c r="F52" s="21" t="n">
        <v>2.70551332936896</v>
      </c>
      <c r="G52" s="20" t="n">
        <v>0.934389436949661</v>
      </c>
      <c r="H52" s="20" t="n">
        <v>0.751121924061847</v>
      </c>
      <c r="I52" s="20" t="n">
        <v>0.507733248501614</v>
      </c>
      <c r="J52" s="20" t="n">
        <v>0.287129817993427</v>
      </c>
      <c r="K52" s="20" t="n">
        <v>0.137916096288559</v>
      </c>
      <c r="L52" s="20" t="n">
        <v>0.492266751498386</v>
      </c>
    </row>
    <row r="53" customFormat="false" ht="15" hidden="false" customHeight="false" outlineLevel="0" collapsed="false">
      <c r="A53" s="18" t="n">
        <v>52</v>
      </c>
      <c r="B53" s="18" t="s">
        <v>89</v>
      </c>
      <c r="C53" s="18" t="s">
        <v>97</v>
      </c>
      <c r="D53" s="21" t="n">
        <v>2.15887836230895</v>
      </c>
      <c r="E53" s="21" t="n">
        <v>0.811157265070579</v>
      </c>
      <c r="F53" s="21" t="n">
        <v>2.97003562737953</v>
      </c>
      <c r="G53" s="20" t="n">
        <v>0.949760528371327</v>
      </c>
      <c r="H53" s="20" t="n">
        <v>0.795295805238504</v>
      </c>
      <c r="I53" s="20" t="n">
        <v>0.57009025941437</v>
      </c>
      <c r="J53" s="20" t="n">
        <v>0.346078118978823</v>
      </c>
      <c r="K53" s="20" t="n">
        <v>0.179738643415476</v>
      </c>
      <c r="L53" s="20" t="n">
        <v>0.42990974058563</v>
      </c>
    </row>
    <row r="54" customFormat="false" ht="15" hidden="false" customHeight="false" outlineLevel="0" collapsed="false">
      <c r="A54" s="18" t="n">
        <v>53</v>
      </c>
      <c r="B54" s="18" t="s">
        <v>94</v>
      </c>
      <c r="C54" s="18" t="s">
        <v>85</v>
      </c>
      <c r="D54" s="21" t="n">
        <v>1.94901024703525</v>
      </c>
      <c r="E54" s="21" t="n">
        <v>0.871632400486378</v>
      </c>
      <c r="F54" s="21" t="n">
        <v>2.82064264752163</v>
      </c>
      <c r="G54" s="20" t="n">
        <v>0.941624100827332</v>
      </c>
      <c r="H54" s="20" t="n">
        <v>0.771233444634423</v>
      </c>
      <c r="I54" s="20" t="n">
        <v>0.535463747849238</v>
      </c>
      <c r="J54" s="20" t="n">
        <v>0.312667468439079</v>
      </c>
      <c r="K54" s="20" t="n">
        <v>0.155556924464181</v>
      </c>
      <c r="L54" s="20" t="n">
        <v>0.464536252150762</v>
      </c>
    </row>
    <row r="55" customFormat="false" ht="15" hidden="false" customHeight="false" outlineLevel="0" collapsed="false">
      <c r="A55" s="18" t="n">
        <v>54</v>
      </c>
      <c r="B55" s="18" t="s">
        <v>94</v>
      </c>
      <c r="C55" s="18" t="s">
        <v>86</v>
      </c>
      <c r="D55" s="21" t="n">
        <v>1.28044001605624</v>
      </c>
      <c r="E55" s="21" t="n">
        <v>0.957035855780722</v>
      </c>
      <c r="F55" s="21" t="n">
        <v>2.23747587183696</v>
      </c>
      <c r="G55" s="20" t="n">
        <v>0.894808687981662</v>
      </c>
      <c r="H55" s="20" t="n">
        <v>0.652936224767377</v>
      </c>
      <c r="I55" s="20" t="n">
        <v>0.387317358672917</v>
      </c>
      <c r="J55" s="20" t="n">
        <v>0.188066297529952</v>
      </c>
      <c r="K55" s="20" t="n">
        <v>0.0766113759727288</v>
      </c>
      <c r="L55" s="20" t="n">
        <v>0.612682641327083</v>
      </c>
    </row>
    <row r="56" customFormat="false" ht="15" hidden="false" customHeight="false" outlineLevel="0" collapsed="false">
      <c r="A56" s="18" t="n">
        <v>55</v>
      </c>
      <c r="B56" s="18" t="s">
        <v>94</v>
      </c>
      <c r="C56" s="18" t="s">
        <v>99</v>
      </c>
      <c r="D56" s="21" t="n">
        <v>1.43643240821652</v>
      </c>
      <c r="E56" s="21" t="n">
        <v>0.934074758330905</v>
      </c>
      <c r="F56" s="21" t="n">
        <v>2.37050716654742</v>
      </c>
      <c r="G56" s="20" t="n">
        <v>0.908039392521478</v>
      </c>
      <c r="H56" s="20" t="n">
        <v>0.683610552188671</v>
      </c>
      <c r="I56" s="20" t="n">
        <v>0.422567875865997</v>
      </c>
      <c r="J56" s="20" t="n">
        <v>0.215136256665596</v>
      </c>
      <c r="K56" s="20" t="n">
        <v>0.0922065364999283</v>
      </c>
      <c r="L56" s="20" t="n">
        <v>0.577432124134003</v>
      </c>
    </row>
    <row r="57" customFormat="false" ht="15" hidden="false" customHeight="false" outlineLevel="0" collapsed="false">
      <c r="A57" s="18" t="n">
        <v>56</v>
      </c>
      <c r="B57" s="18" t="s">
        <v>94</v>
      </c>
      <c r="C57" s="18" t="s">
        <v>90</v>
      </c>
      <c r="D57" s="21" t="n">
        <v>1.50725220899351</v>
      </c>
      <c r="E57" s="21" t="n">
        <v>1.06376343797171</v>
      </c>
      <c r="F57" s="21" t="n">
        <v>2.57101564696522</v>
      </c>
      <c r="G57" s="20" t="n">
        <v>0.924982389339206</v>
      </c>
      <c r="H57" s="20" t="n">
        <v>0.725528936761751</v>
      </c>
      <c r="I57" s="20" t="n">
        <v>0.474271112347176</v>
      </c>
      <c r="J57" s="20" t="n">
        <v>0.257707405408859</v>
      </c>
      <c r="K57" s="20" t="n">
        <v>0.118509924007251</v>
      </c>
      <c r="L57" s="20" t="n">
        <v>0.525728887652824</v>
      </c>
    </row>
    <row r="58" customFormat="false" ht="15" hidden="false" customHeight="false" outlineLevel="0" collapsed="false">
      <c r="A58" s="18" t="n">
        <v>57</v>
      </c>
      <c r="B58" s="18" t="s">
        <v>94</v>
      </c>
      <c r="C58" s="18" t="s">
        <v>87</v>
      </c>
      <c r="D58" s="21" t="n">
        <v>1.61468155133294</v>
      </c>
      <c r="E58" s="21" t="n">
        <v>0.947520975871954</v>
      </c>
      <c r="F58" s="21" t="n">
        <v>2.56220252720489</v>
      </c>
      <c r="G58" s="20" t="n">
        <v>0.924252156743924</v>
      </c>
      <c r="H58" s="20" t="n">
        <v>0.723846444372647</v>
      </c>
      <c r="I58" s="20" t="n">
        <v>0.472042864755615</v>
      </c>
      <c r="J58" s="20" t="n">
        <v>0.255800899233407</v>
      </c>
      <c r="K58" s="20" t="n">
        <v>0.117286391833013</v>
      </c>
      <c r="L58" s="20" t="n">
        <v>0.527957135244385</v>
      </c>
    </row>
    <row r="59" customFormat="false" ht="15" hidden="false" customHeight="false" outlineLevel="0" collapsed="false">
      <c r="A59" s="18" t="n">
        <v>58</v>
      </c>
      <c r="B59" s="18" t="s">
        <v>97</v>
      </c>
      <c r="C59" s="18" t="s">
        <v>73</v>
      </c>
      <c r="D59" s="21" t="n">
        <v>1.36655776006313</v>
      </c>
      <c r="E59" s="21" t="n">
        <v>1.10732567931792</v>
      </c>
      <c r="F59" s="21" t="n">
        <v>2.47388343938105</v>
      </c>
      <c r="G59" s="20" t="n">
        <v>0.917240691612103</v>
      </c>
      <c r="H59" s="20" t="n">
        <v>0.705803866062109</v>
      </c>
      <c r="I59" s="20" t="n">
        <v>0.449470793477639</v>
      </c>
      <c r="J59" s="20" t="n">
        <v>0.23685630321662</v>
      </c>
      <c r="K59" s="20" t="n">
        <v>0.105360305823523</v>
      </c>
      <c r="L59" s="20" t="n">
        <v>0.550529206522361</v>
      </c>
    </row>
    <row r="60" customFormat="false" ht="15" hidden="false" customHeight="false" outlineLevel="0" collapsed="false">
      <c r="A60" s="18" t="n">
        <v>59</v>
      </c>
      <c r="B60" s="18" t="s">
        <v>97</v>
      </c>
      <c r="C60" s="18" t="s">
        <v>88</v>
      </c>
      <c r="D60" s="21" t="n">
        <v>1.53067154986497</v>
      </c>
      <c r="E60" s="21" t="n">
        <v>1.15425036676866</v>
      </c>
      <c r="F60" s="21" t="n">
        <v>2.68492191663363</v>
      </c>
      <c r="G60" s="20" t="n">
        <v>0.933189686879786</v>
      </c>
      <c r="H60" s="20" t="n">
        <v>0.747175887144364</v>
      </c>
      <c r="I60" s="20" t="n">
        <v>0.502676063596337</v>
      </c>
      <c r="J60" s="20" t="n">
        <v>0.282587428900334</v>
      </c>
      <c r="K60" s="20" t="n">
        <v>0.134856851418587</v>
      </c>
      <c r="L60" s="20" t="n">
        <v>0.497323936403664</v>
      </c>
    </row>
    <row r="61" customFormat="false" ht="15" hidden="false" customHeight="false" outlineLevel="0" collapsed="false">
      <c r="A61" s="18" t="n">
        <v>60</v>
      </c>
      <c r="B61" s="18" t="s">
        <v>97</v>
      </c>
      <c r="C61" s="18" t="s">
        <v>86</v>
      </c>
      <c r="D61" s="21" t="n">
        <v>1.24967132424447</v>
      </c>
      <c r="E61" s="21" t="n">
        <v>1.10234692837416</v>
      </c>
      <c r="F61" s="21" t="n">
        <v>2.35201825261864</v>
      </c>
      <c r="G61" s="20" t="n">
        <v>0.906363183345092</v>
      </c>
      <c r="H61" s="20" t="n">
        <v>0.679425637788126</v>
      </c>
      <c r="I61" s="20" t="n">
        <v>0.417706852250393</v>
      </c>
      <c r="J61" s="20" t="n">
        <v>0.211310290672288</v>
      </c>
      <c r="K61" s="20" t="n">
        <v>0.0899481095471343</v>
      </c>
      <c r="L61" s="20" t="n">
        <v>0.582293147749607</v>
      </c>
    </row>
    <row r="62" customFormat="false" ht="15" hidden="false" customHeight="false" outlineLevel="0" collapsed="false">
      <c r="A62" s="18" t="n">
        <v>61</v>
      </c>
      <c r="B62" s="18" t="s">
        <v>97</v>
      </c>
      <c r="C62" s="18" t="s">
        <v>99</v>
      </c>
      <c r="D62" s="21" t="n">
        <v>1.40191565724054</v>
      </c>
      <c r="E62" s="21" t="n">
        <v>1.07589958016419</v>
      </c>
      <c r="F62" s="21" t="n">
        <v>2.47781523740472</v>
      </c>
      <c r="G62" s="20" t="n">
        <v>0.917560651761926</v>
      </c>
      <c r="H62" s="20" t="n">
        <v>0.706633263743484</v>
      </c>
      <c r="I62" s="20" t="n">
        <v>0.450484256514805</v>
      </c>
      <c r="J62" s="20" t="n">
        <v>0.237692680643583</v>
      </c>
      <c r="K62" s="20" t="n">
        <v>0.105877968861807</v>
      </c>
      <c r="L62" s="20" t="n">
        <v>0.549515743485195</v>
      </c>
    </row>
    <row r="63" customFormat="false" ht="15" hidden="false" customHeight="false" outlineLevel="0" collapsed="false">
      <c r="A63" s="18" t="n">
        <v>62</v>
      </c>
      <c r="B63" s="18" t="s">
        <v>97</v>
      </c>
      <c r="C63" s="18" t="s">
        <v>90</v>
      </c>
      <c r="D63" s="21" t="n">
        <v>1.47103403080057</v>
      </c>
      <c r="E63" s="21" t="n">
        <v>1.22527911444204</v>
      </c>
      <c r="F63" s="21" t="n">
        <v>2.6963131452426</v>
      </c>
      <c r="G63" s="20" t="n">
        <v>0.933974562423962</v>
      </c>
      <c r="H63" s="20" t="n">
        <v>0.749242639827518</v>
      </c>
      <c r="I63" s="20" t="n">
        <v>0.505472935553429</v>
      </c>
      <c r="J63" s="20" t="n">
        <v>0.285095918123128</v>
      </c>
      <c r="K63" s="20" t="n">
        <v>0.136544270790728</v>
      </c>
      <c r="L63" s="20" t="n">
        <v>0.494527064446571</v>
      </c>
    </row>
    <row r="64" customFormat="false" ht="15" hidden="false" customHeight="false" outlineLevel="0" collapsed="false">
      <c r="A64" s="18" t="n">
        <v>63</v>
      </c>
      <c r="B64" s="18" t="s">
        <v>99</v>
      </c>
      <c r="C64" s="18" t="s">
        <v>91</v>
      </c>
      <c r="D64" s="21" t="n">
        <v>1.34753800300321</v>
      </c>
      <c r="E64" s="21" t="n">
        <v>1.10338572636477</v>
      </c>
      <c r="F64" s="21" t="n">
        <v>2.45092372936798</v>
      </c>
      <c r="G64" s="20" t="n">
        <v>0.915291856063116</v>
      </c>
      <c r="H64" s="20" t="n">
        <v>0.700977161947578</v>
      </c>
      <c r="I64" s="20" t="n">
        <v>0.443538154956882</v>
      </c>
      <c r="J64" s="20" t="n">
        <v>0.231986807365407</v>
      </c>
      <c r="K64" s="20" t="n">
        <v>0.102362637880466</v>
      </c>
      <c r="L64" s="20" t="n">
        <v>0.556461845043118</v>
      </c>
    </row>
    <row r="65" customFormat="false" ht="15" hidden="false" customHeight="false" outlineLevel="0" collapsed="false">
      <c r="A65" s="18" t="n">
        <v>64</v>
      </c>
      <c r="B65" s="18" t="s">
        <v>99</v>
      </c>
      <c r="C65" s="18" t="s">
        <v>83</v>
      </c>
      <c r="D65" s="21" t="n">
        <v>1.47066026242</v>
      </c>
      <c r="E65" s="21" t="n">
        <v>0.979719411128761</v>
      </c>
      <c r="F65" s="21" t="n">
        <v>2.45037967354876</v>
      </c>
      <c r="G65" s="20" t="n">
        <v>0.91519931007707</v>
      </c>
      <c r="H65" s="20" t="n">
        <v>0.700908406654697</v>
      </c>
      <c r="I65" s="20" t="n">
        <v>0.443397732230266</v>
      </c>
      <c r="J65" s="20" t="n">
        <v>0.231872022205417</v>
      </c>
      <c r="K65" s="20" t="n">
        <v>0.10229220969763</v>
      </c>
      <c r="L65" s="20" t="n">
        <v>0.556602267769734</v>
      </c>
    </row>
    <row r="66" customFormat="false" ht="15" hidden="false" customHeight="false" outlineLevel="0" collapsed="false">
      <c r="A66" s="18" t="n">
        <v>65</v>
      </c>
      <c r="B66" s="18" t="s">
        <v>99</v>
      </c>
      <c r="C66" s="18" t="s">
        <v>84</v>
      </c>
      <c r="D66" s="21" t="n">
        <v>1.32728127975787</v>
      </c>
      <c r="E66" s="21" t="n">
        <v>0.92285755130247</v>
      </c>
      <c r="F66" s="21" t="n">
        <v>2.25013883106034</v>
      </c>
      <c r="G66" s="20" t="n">
        <v>0.896131703957303</v>
      </c>
      <c r="H66" s="20" t="n">
        <v>0.655969647591675</v>
      </c>
      <c r="I66" s="20" t="n">
        <v>0.390698117785273</v>
      </c>
      <c r="J66" s="20" t="n">
        <v>0.19059487129436</v>
      </c>
      <c r="K66" s="20" t="n">
        <v>0.0780297654038921</v>
      </c>
      <c r="L66" s="20" t="n">
        <v>0.609301882214727</v>
      </c>
    </row>
    <row r="67" customFormat="false" ht="15" hidden="false" customHeight="false" outlineLevel="0" collapsed="false">
      <c r="A67" s="18" t="n">
        <v>66</v>
      </c>
      <c r="B67" s="18" t="s">
        <v>99</v>
      </c>
      <c r="C67" s="18" t="s">
        <v>85</v>
      </c>
      <c r="D67" s="21" t="n">
        <v>1.86628776141164</v>
      </c>
      <c r="E67" s="21" t="n">
        <v>0.915276644472003</v>
      </c>
      <c r="F67" s="21" t="n">
        <v>2.78156440588364</v>
      </c>
      <c r="G67" s="20" t="n">
        <v>0.939303439333494</v>
      </c>
      <c r="H67" s="20" t="n">
        <v>0.764527412229029</v>
      </c>
      <c r="I67" s="20" t="n">
        <v>0.526147900307121</v>
      </c>
      <c r="J67" s="20" t="n">
        <v>0.303969756244684</v>
      </c>
      <c r="K67" s="20" t="n">
        <v>0.149466783851925</v>
      </c>
      <c r="L67" s="20" t="n">
        <v>0.473852099692879</v>
      </c>
    </row>
    <row r="68" customFormat="false" ht="15" hidden="false" customHeight="false" outlineLevel="0" collapsed="false">
      <c r="A68" s="18" t="n">
        <v>67</v>
      </c>
      <c r="B68" s="18" t="s">
        <v>99</v>
      </c>
      <c r="C68" s="18" t="s">
        <v>98</v>
      </c>
      <c r="D68" s="21" t="n">
        <v>1.60963739799737</v>
      </c>
      <c r="E68" s="21" t="n">
        <v>0.824729423354053</v>
      </c>
      <c r="F68" s="21" t="n">
        <v>2.43436682135142</v>
      </c>
      <c r="G68" s="20" t="n">
        <v>0.913714273984516</v>
      </c>
      <c r="H68" s="20" t="n">
        <v>0.697601852320267</v>
      </c>
      <c r="I68" s="20" t="n">
        <v>0.439246005560194</v>
      </c>
      <c r="J68" s="20" t="n">
        <v>0.228491799081158</v>
      </c>
      <c r="K68" s="20" t="n">
        <v>0.100227990716482</v>
      </c>
      <c r="L68" s="20" t="n">
        <v>0.560753994439806</v>
      </c>
    </row>
    <row r="69" customFormat="false" ht="15" hidden="false" customHeight="false" outlineLevel="0" collapsed="false">
      <c r="A69" s="18" t="n">
        <v>68</v>
      </c>
      <c r="B69" s="18" t="s">
        <v>90</v>
      </c>
      <c r="C69" s="18" t="s">
        <v>73</v>
      </c>
      <c r="D69" s="21" t="n">
        <v>1.52691328476399</v>
      </c>
      <c r="E69" s="21" t="n">
        <v>1.0592672389141</v>
      </c>
      <c r="F69" s="21" t="n">
        <v>2.58618052367809</v>
      </c>
      <c r="G69" s="20" t="n">
        <v>0.926123914535262</v>
      </c>
      <c r="H69" s="20" t="n">
        <v>0.728505530958109</v>
      </c>
      <c r="I69" s="20" t="n">
        <v>0.478096892671608</v>
      </c>
      <c r="J69" s="20" t="n">
        <v>0.260995768923087</v>
      </c>
      <c r="K69" s="20" t="n">
        <v>0.120629742945935</v>
      </c>
      <c r="L69" s="20" t="n">
        <v>0.521903107328392</v>
      </c>
    </row>
    <row r="70" customFormat="false" ht="15" hidden="false" customHeight="false" outlineLevel="0" collapsed="false">
      <c r="A70" s="18" t="n">
        <v>69</v>
      </c>
      <c r="B70" s="18" t="s">
        <v>90</v>
      </c>
      <c r="C70" s="18" t="s">
        <v>74</v>
      </c>
      <c r="D70" s="21" t="n">
        <v>1.52664985495557</v>
      </c>
      <c r="E70" s="21" t="n">
        <v>1.08365344103429</v>
      </c>
      <c r="F70" s="21" t="n">
        <v>2.61030329598986</v>
      </c>
      <c r="G70" s="20" t="n">
        <v>0.927916593662331</v>
      </c>
      <c r="H70" s="20" t="n">
        <v>0.733171162620756</v>
      </c>
      <c r="I70" s="20" t="n">
        <v>0.484155207711208</v>
      </c>
      <c r="J70" s="20" t="n">
        <v>0.266242747828279</v>
      </c>
      <c r="K70" s="20" t="n">
        <v>0.12403799002076</v>
      </c>
      <c r="L70" s="20" t="n">
        <v>0.515844792288792</v>
      </c>
    </row>
    <row r="71" customFormat="false" ht="15" hidden="false" customHeight="false" outlineLevel="0" collapsed="false">
      <c r="A71" s="18" t="n">
        <v>70</v>
      </c>
      <c r="B71" s="18" t="s">
        <v>90</v>
      </c>
      <c r="C71" s="18" t="s">
        <v>99</v>
      </c>
      <c r="D71" s="21" t="n">
        <v>1.56641923032394</v>
      </c>
      <c r="E71" s="21" t="n">
        <v>1.02920502780353</v>
      </c>
      <c r="F71" s="21" t="n">
        <v>2.59562425812747</v>
      </c>
      <c r="G71" s="20" t="n">
        <v>0.926813814100854</v>
      </c>
      <c r="H71" s="20" t="n">
        <v>0.730357763392843</v>
      </c>
      <c r="I71" s="20" t="n">
        <v>0.480472970183316</v>
      </c>
      <c r="J71" s="20" t="n">
        <v>0.263047783860416</v>
      </c>
      <c r="K71" s="20" t="n">
        <v>0.12195881880636</v>
      </c>
      <c r="L71" s="20" t="n">
        <v>0.519527029816684</v>
      </c>
    </row>
    <row r="72" customFormat="false" ht="15" hidden="false" customHeight="false" outlineLevel="0" collapsed="false">
      <c r="A72" s="18" t="n">
        <v>71</v>
      </c>
      <c r="B72" s="18" t="s">
        <v>90</v>
      </c>
      <c r="C72" s="18" t="s">
        <v>81</v>
      </c>
      <c r="D72" s="21" t="n">
        <v>1.47493817294873</v>
      </c>
      <c r="E72" s="21" t="n">
        <v>0.99543087333996</v>
      </c>
      <c r="F72" s="21" t="n">
        <v>2.47036904628869</v>
      </c>
      <c r="G72" s="20" t="n">
        <v>0.916904779216458</v>
      </c>
      <c r="H72" s="20" t="n">
        <v>0.705110382497029</v>
      </c>
      <c r="I72" s="20" t="n">
        <v>0.448564804931194</v>
      </c>
      <c r="J72" s="20" t="n">
        <v>0.236109659233399</v>
      </c>
      <c r="K72" s="20" t="n">
        <v>0.104898759511513</v>
      </c>
      <c r="L72" s="20" t="n">
        <v>0.551435195068806</v>
      </c>
    </row>
    <row r="73" customFormat="false" ht="15" hidden="false" customHeight="false" outlineLevel="0" collapsed="false">
      <c r="A73" s="18" t="n">
        <v>72</v>
      </c>
      <c r="B73" s="18" t="s">
        <v>77</v>
      </c>
      <c r="C73" s="18" t="s">
        <v>88</v>
      </c>
      <c r="D73" s="21" t="n">
        <v>1.97595577812037</v>
      </c>
      <c r="E73" s="21" t="n">
        <v>0.775752812752425</v>
      </c>
      <c r="F73" s="21" t="n">
        <v>2.75170859087279</v>
      </c>
      <c r="G73" s="20" t="n">
        <v>0.937334119996593</v>
      </c>
      <c r="H73" s="20" t="n">
        <v>0.759432033169033</v>
      </c>
      <c r="I73" s="20" t="n">
        <v>0.518969190642772</v>
      </c>
      <c r="J73" s="20" t="n">
        <v>0.297348590727448</v>
      </c>
      <c r="K73" s="20" t="n">
        <v>0.144885967097675</v>
      </c>
      <c r="L73" s="20" t="n">
        <v>0.481030809357228</v>
      </c>
    </row>
    <row r="74" customFormat="false" ht="15" hidden="false" customHeight="false" outlineLevel="0" collapsed="false">
      <c r="A74" s="18" t="n">
        <v>73</v>
      </c>
      <c r="B74" s="18" t="s">
        <v>77</v>
      </c>
      <c r="C74" s="18" t="s">
        <v>83</v>
      </c>
      <c r="D74" s="21" t="n">
        <v>1.93501962243176</v>
      </c>
      <c r="E74" s="21" t="n">
        <v>0.722264171257578</v>
      </c>
      <c r="F74" s="21" t="n">
        <v>2.65728379368933</v>
      </c>
      <c r="G74" s="20" t="n">
        <v>0.931016382764407</v>
      </c>
      <c r="H74" s="20" t="n">
        <v>0.742341381195933</v>
      </c>
      <c r="I74" s="20" t="n">
        <v>0.495865253059697</v>
      </c>
      <c r="J74" s="20" t="n">
        <v>0.276521780529985</v>
      </c>
      <c r="K74" s="20" t="n">
        <v>0.130804207840678</v>
      </c>
      <c r="L74" s="20" t="n">
        <v>0.504134746940303</v>
      </c>
    </row>
    <row r="75" customFormat="false" ht="15" hidden="false" customHeight="false" outlineLevel="0" collapsed="false">
      <c r="A75" s="18" t="n">
        <v>74</v>
      </c>
      <c r="B75" s="18" t="s">
        <v>77</v>
      </c>
      <c r="C75" s="18" t="s">
        <v>84</v>
      </c>
      <c r="D75" s="21" t="n">
        <v>1.74639482927168</v>
      </c>
      <c r="E75" s="21" t="n">
        <v>0.680344713907066</v>
      </c>
      <c r="F75" s="21" t="n">
        <v>2.42673954317875</v>
      </c>
      <c r="G75" s="20" t="n">
        <v>0.912909980196951</v>
      </c>
      <c r="H75" s="20" t="n">
        <v>0.696106950933686</v>
      </c>
      <c r="I75" s="20" t="n">
        <v>0.437266039805861</v>
      </c>
      <c r="J75" s="20" t="n">
        <v>0.226887250273797</v>
      </c>
      <c r="K75" s="20" t="n">
        <v>0.0992524532073464</v>
      </c>
      <c r="L75" s="20" t="n">
        <v>0.56273396019414</v>
      </c>
    </row>
    <row r="76" customFormat="false" ht="15" hidden="false" customHeight="false" outlineLevel="0" collapsed="false">
      <c r="A76" s="18" t="n">
        <v>75</v>
      </c>
      <c r="B76" s="18" t="s">
        <v>77</v>
      </c>
      <c r="C76" s="18" t="s">
        <v>85</v>
      </c>
      <c r="D76" s="21" t="n">
        <v>2.45522123396015</v>
      </c>
      <c r="E76" s="21" t="n">
        <v>0.674755951101984</v>
      </c>
      <c r="F76" s="21" t="n">
        <v>3.12997718506213</v>
      </c>
      <c r="G76" s="20" t="n">
        <v>0.957149641678918</v>
      </c>
      <c r="H76" s="20" t="n">
        <v>0.81864572848337</v>
      </c>
      <c r="I76" s="20" t="n">
        <v>0.605369542372554</v>
      </c>
      <c r="J76" s="20" t="n">
        <v>0.38193261084985</v>
      </c>
      <c r="K76" s="20" t="n">
        <v>0.207068618270836</v>
      </c>
      <c r="L76" s="20" t="n">
        <v>0.394630457627447</v>
      </c>
    </row>
    <row r="77" customFormat="false" ht="15" hidden="false" customHeight="false" outlineLevel="0" collapsed="false">
      <c r="A77" s="18" t="n">
        <v>76</v>
      </c>
      <c r="B77" s="18" t="s">
        <v>77</v>
      </c>
      <c r="C77" s="18" t="s">
        <v>89</v>
      </c>
      <c r="D77" s="21" t="n">
        <v>1.46844706349541</v>
      </c>
      <c r="E77" s="21" t="n">
        <v>1.03475047355684</v>
      </c>
      <c r="F77" s="21" t="n">
        <v>2.50319753705225</v>
      </c>
      <c r="G77" s="20" t="n">
        <v>0.919637648601053</v>
      </c>
      <c r="H77" s="20" t="n">
        <v>0.711898568986548</v>
      </c>
      <c r="I77" s="20" t="n">
        <v>0.457007738244829</v>
      </c>
      <c r="J77" s="20" t="n">
        <v>0.243108209018052</v>
      </c>
      <c r="K77" s="20" t="n">
        <v>0.109249775381341</v>
      </c>
      <c r="L77" s="20" t="n">
        <v>0.542992261755171</v>
      </c>
    </row>
    <row r="78" customFormat="false" ht="15" hidden="false" customHeight="false" outlineLevel="0" collapsed="false">
      <c r="A78" s="18" t="n">
        <v>77</v>
      </c>
      <c r="B78" s="18" t="s">
        <v>77</v>
      </c>
      <c r="C78" s="18" t="s">
        <v>79</v>
      </c>
      <c r="D78" s="21" t="n">
        <v>2.47313195027988</v>
      </c>
      <c r="E78" s="21" t="n">
        <v>0.668923160853708</v>
      </c>
      <c r="F78" s="21" t="n">
        <v>3.14205511113359</v>
      </c>
      <c r="G78" s="20" t="n">
        <v>0.957664003917621</v>
      </c>
      <c r="H78" s="20" t="n">
        <v>0.820306063965283</v>
      </c>
      <c r="I78" s="20" t="n">
        <v>0.607955069493217</v>
      </c>
      <c r="J78" s="20" t="n">
        <v>0.384635055903891</v>
      </c>
      <c r="K78" s="20" t="n">
        <v>0.209186596455552</v>
      </c>
      <c r="L78" s="20" t="n">
        <v>0.392044930506783</v>
      </c>
    </row>
    <row r="79" customFormat="false" ht="15" hidden="false" customHeight="false" outlineLevel="0" collapsed="false">
      <c r="A79" s="18" t="n">
        <v>78</v>
      </c>
      <c r="B79" s="18" t="s">
        <v>79</v>
      </c>
      <c r="C79" s="18" t="s">
        <v>91</v>
      </c>
      <c r="D79" s="21" t="n">
        <v>1.24658688077644</v>
      </c>
      <c r="E79" s="21" t="n">
        <v>1.50809423269689</v>
      </c>
      <c r="F79" s="21" t="n">
        <v>2.75468111347333</v>
      </c>
      <c r="G79" s="20" t="n">
        <v>0.937776047312259</v>
      </c>
      <c r="H79" s="20" t="n">
        <v>0.759688236493</v>
      </c>
      <c r="I79" s="20" t="n">
        <v>0.519675369504936</v>
      </c>
      <c r="J79" s="20" t="n">
        <v>0.297998448923772</v>
      </c>
      <c r="K79" s="20" t="n">
        <v>0.145335782501833</v>
      </c>
      <c r="L79" s="20" t="n">
        <v>0.480324630495064</v>
      </c>
    </row>
    <row r="80" customFormat="false" ht="15" hidden="false" customHeight="false" outlineLevel="0" collapsed="false">
      <c r="A80" s="18" t="n">
        <v>79</v>
      </c>
      <c r="B80" s="18" t="s">
        <v>79</v>
      </c>
      <c r="C80" s="18" t="s">
        <v>83</v>
      </c>
      <c r="D80" s="21" t="n">
        <v>1.36048644848302</v>
      </c>
      <c r="E80" s="21" t="n">
        <v>1.33907157537295</v>
      </c>
      <c r="F80" s="21" t="n">
        <v>2.69955802385597</v>
      </c>
      <c r="G80" s="20" t="n">
        <v>0.934203672283015</v>
      </c>
      <c r="H80" s="20" t="n">
        <v>0.749821338309787</v>
      </c>
      <c r="I80" s="20" t="n">
        <v>0.50626798943668</v>
      </c>
      <c r="J80" s="20" t="n">
        <v>0.285810957498142</v>
      </c>
      <c r="K80" s="20" t="n">
        <v>0.137026606160283</v>
      </c>
      <c r="L80" s="20" t="n">
        <v>0.49373201056332</v>
      </c>
    </row>
    <row r="81" customFormat="false" ht="15" hidden="false" customHeight="false" outlineLevel="0" collapsed="false">
      <c r="A81" s="18" t="n">
        <v>80</v>
      </c>
      <c r="B81" s="18" t="s">
        <v>79</v>
      </c>
      <c r="C81" s="18" t="s">
        <v>92</v>
      </c>
      <c r="D81" s="21" t="n">
        <v>1.88519878100288</v>
      </c>
      <c r="E81" s="21" t="n">
        <v>1.07538709247611</v>
      </c>
      <c r="F81" s="21" t="n">
        <v>2.96058587347899</v>
      </c>
      <c r="G81" s="20" t="n">
        <v>0.949446650438996</v>
      </c>
      <c r="H81" s="20" t="n">
        <v>0.793659691646755</v>
      </c>
      <c r="I81" s="20" t="n">
        <v>0.567929871254082</v>
      </c>
      <c r="J81" s="20" t="n">
        <v>0.343945360008054</v>
      </c>
      <c r="K81" s="20" t="n">
        <v>0.178161499018757</v>
      </c>
      <c r="L81" s="20" t="n">
        <v>0.432070128745918</v>
      </c>
    </row>
    <row r="82" customFormat="false" ht="15" hidden="false" customHeight="false" outlineLevel="0" collapsed="false">
      <c r="A82" s="18" t="n">
        <v>81</v>
      </c>
      <c r="B82" s="18" t="s">
        <v>79</v>
      </c>
      <c r="C82" s="18" t="s">
        <v>84</v>
      </c>
      <c r="D82" s="21" t="n">
        <v>1.22784759074248</v>
      </c>
      <c r="E82" s="21" t="n">
        <v>1.26135394334742</v>
      </c>
      <c r="F82" s="21" t="n">
        <v>2.48920153408991</v>
      </c>
      <c r="G82" s="20" t="n">
        <v>0.918533318630654</v>
      </c>
      <c r="H82" s="20" t="n">
        <v>0.70897027197283</v>
      </c>
      <c r="I82" s="20" t="n">
        <v>0.45341429103273</v>
      </c>
      <c r="J82" s="20" t="n">
        <v>0.240118308590107</v>
      </c>
      <c r="K82" s="20" t="n">
        <v>0.10738404222282</v>
      </c>
      <c r="L82" s="20" t="n">
        <v>0.54658570896727</v>
      </c>
    </row>
    <row r="83" customFormat="false" ht="15" hidden="false" customHeight="false" outlineLevel="0" collapsed="false">
      <c r="A83" s="18" t="n">
        <v>82</v>
      </c>
      <c r="B83" s="18" t="s">
        <v>79</v>
      </c>
      <c r="C83" s="18" t="s">
        <v>97</v>
      </c>
      <c r="D83" s="21" t="n">
        <v>1.39571996172269</v>
      </c>
      <c r="E83" s="21" t="n">
        <v>1.36640238128518</v>
      </c>
      <c r="F83" s="21" t="n">
        <v>2.76212234300787</v>
      </c>
      <c r="G83" s="20" t="n">
        <v>0.938257395582887</v>
      </c>
      <c r="H83" s="20" t="n">
        <v>0.760979465588912</v>
      </c>
      <c r="I83" s="20" t="n">
        <v>0.521469668631917</v>
      </c>
      <c r="J83" s="20" t="n">
        <v>0.299648296144979</v>
      </c>
      <c r="K83" s="20" t="n">
        <v>0.146473584862422</v>
      </c>
      <c r="L83" s="20" t="n">
        <v>0.478530331368083</v>
      </c>
    </row>
    <row r="84" customFormat="false" ht="15" hidden="false" customHeight="false" outlineLevel="0" collapsed="false">
      <c r="A84" s="18" t="n">
        <v>83</v>
      </c>
      <c r="B84" s="18" t="s">
        <v>87</v>
      </c>
      <c r="C84" s="18" t="s">
        <v>88</v>
      </c>
      <c r="D84" s="21" t="n">
        <v>1.52339766379008</v>
      </c>
      <c r="E84" s="21" t="n">
        <v>1.18285724621407</v>
      </c>
      <c r="F84" s="21" t="n">
        <v>2.70625491000414</v>
      </c>
      <c r="G84" s="20" t="n">
        <v>0.934627444824243</v>
      </c>
      <c r="H84" s="20" t="n">
        <v>0.751059887868693</v>
      </c>
      <c r="I84" s="20" t="n">
        <v>0.507907788698148</v>
      </c>
      <c r="J84" s="20" t="n">
        <v>0.28728828781618</v>
      </c>
      <c r="K84" s="20" t="n">
        <v>0.138024766636165</v>
      </c>
      <c r="L84" s="20" t="n">
        <v>0.492092211301852</v>
      </c>
    </row>
    <row r="85" customFormat="false" ht="15" hidden="false" customHeight="false" outlineLevel="0" collapsed="false">
      <c r="A85" s="18" t="n">
        <v>84</v>
      </c>
      <c r="B85" s="18" t="s">
        <v>87</v>
      </c>
      <c r="C85" s="18" t="s">
        <v>91</v>
      </c>
      <c r="D85" s="21" t="n">
        <v>1.36693587375025</v>
      </c>
      <c r="E85" s="21" t="n">
        <v>1.24031119042357</v>
      </c>
      <c r="F85" s="21" t="n">
        <v>2.60724706417383</v>
      </c>
      <c r="G85" s="20" t="n">
        <v>0.927731291759824</v>
      </c>
      <c r="H85" s="20" t="n">
        <v>0.732543643130822</v>
      </c>
      <c r="I85" s="20" t="n">
        <v>0.483388837144528</v>
      </c>
      <c r="J85" s="20" t="n">
        <v>0.265576421491937</v>
      </c>
      <c r="K85" s="20" t="n">
        <v>0.123603560706399</v>
      </c>
      <c r="L85" s="20" t="n">
        <v>0.516611162855472</v>
      </c>
    </row>
    <row r="86" customFormat="false" ht="15" hidden="false" customHeight="false" outlineLevel="0" collapsed="false">
      <c r="A86" s="18" t="n">
        <v>85</v>
      </c>
      <c r="B86" s="18" t="s">
        <v>87</v>
      </c>
      <c r="C86" s="18" t="s">
        <v>89</v>
      </c>
      <c r="D86" s="21" t="n">
        <v>1.13209327048297</v>
      </c>
      <c r="E86" s="21" t="n">
        <v>1.57776566161581</v>
      </c>
      <c r="F86" s="21" t="n">
        <v>2.70985893209878</v>
      </c>
      <c r="G86" s="20" t="n">
        <v>0.934850419765168</v>
      </c>
      <c r="H86" s="20" t="n">
        <v>0.751728308203922</v>
      </c>
      <c r="I86" s="20" t="n">
        <v>0.508789222653078</v>
      </c>
      <c r="J86" s="20" t="n">
        <v>0.288083884143802</v>
      </c>
      <c r="K86" s="20" t="n">
        <v>0.138563308285225</v>
      </c>
      <c r="L86" s="20" t="n">
        <v>0.491210777346922</v>
      </c>
    </row>
    <row r="87" customFormat="false" ht="15" hidden="false" customHeight="false" outlineLevel="0" collapsed="false">
      <c r="A87" s="18" t="n">
        <v>86</v>
      </c>
      <c r="B87" s="18" t="s">
        <v>87</v>
      </c>
      <c r="C87" s="18" t="s">
        <v>97</v>
      </c>
      <c r="D87" s="21" t="n">
        <v>1.5304645241065</v>
      </c>
      <c r="E87" s="21" t="n">
        <v>1.12377676110187</v>
      </c>
      <c r="F87" s="21" t="n">
        <v>2.65424128520837</v>
      </c>
      <c r="G87" s="20" t="n">
        <v>0.931069393912036</v>
      </c>
      <c r="H87" s="20" t="n">
        <v>0.741496020420697</v>
      </c>
      <c r="I87" s="20" t="n">
        <v>0.495101926078863</v>
      </c>
      <c r="J87" s="20" t="n">
        <v>0.2758475382803</v>
      </c>
      <c r="K87" s="20" t="n">
        <v>0.130358655743675</v>
      </c>
      <c r="L87" s="20" t="n">
        <v>0.504898073921137</v>
      </c>
    </row>
    <row r="88" customFormat="false" ht="15" hidden="false" customHeight="false" outlineLevel="0" collapsed="false">
      <c r="A88" s="18" t="n">
        <v>87</v>
      </c>
      <c r="B88" s="18" t="s">
        <v>87</v>
      </c>
      <c r="C88" s="18" t="s">
        <v>77</v>
      </c>
      <c r="D88" s="21" t="n">
        <v>1.02860402766201</v>
      </c>
      <c r="E88" s="21" t="n">
        <v>1.45073287959729</v>
      </c>
      <c r="F88" s="21" t="n">
        <v>2.4793369072593</v>
      </c>
      <c r="G88" s="20" t="n">
        <v>0.917670239651031</v>
      </c>
      <c r="H88" s="20" t="n">
        <v>0.706967833684001</v>
      </c>
      <c r="I88" s="20" t="n">
        <v>0.450876436744286</v>
      </c>
      <c r="J88" s="20" t="n">
        <v>0.238016664797945</v>
      </c>
      <c r="K88" s="20" t="n">
        <v>0.106078679563966</v>
      </c>
      <c r="L88" s="20" t="n">
        <v>0.549123563255714</v>
      </c>
    </row>
    <row r="89" customFormat="false" ht="15" hidden="false" customHeight="false" outlineLevel="0" collapsed="false">
      <c r="A89" s="18" t="n">
        <v>88</v>
      </c>
      <c r="B89" s="18" t="s">
        <v>81</v>
      </c>
      <c r="C89" s="18" t="s">
        <v>84</v>
      </c>
      <c r="D89" s="21" t="n">
        <v>1.28372588105198</v>
      </c>
      <c r="E89" s="21" t="n">
        <v>0.8689596299613</v>
      </c>
      <c r="F89" s="21" t="n">
        <v>2.15268551101328</v>
      </c>
      <c r="G89" s="20" t="n">
        <v>0.885350444191249</v>
      </c>
      <c r="H89" s="20" t="n">
        <v>0.632225165434741</v>
      </c>
      <c r="I89" s="20" t="n">
        <v>0.364574078032196</v>
      </c>
      <c r="J89" s="20" t="n">
        <v>0.171425579880949</v>
      </c>
      <c r="K89" s="20" t="n">
        <v>0.0674785278183379</v>
      </c>
      <c r="L89" s="20" t="n">
        <v>0.635425921967804</v>
      </c>
    </row>
    <row r="90" customFormat="false" ht="15" hidden="false" customHeight="false" outlineLevel="0" collapsed="false">
      <c r="A90" s="18" t="n">
        <v>89</v>
      </c>
      <c r="B90" s="18" t="s">
        <v>81</v>
      </c>
      <c r="C90" s="18" t="s">
        <v>94</v>
      </c>
      <c r="D90" s="21" t="n">
        <v>1.26688316182276</v>
      </c>
      <c r="E90" s="21" t="n">
        <v>0.964506320766411</v>
      </c>
      <c r="F90" s="21" t="n">
        <v>2.23138948258918</v>
      </c>
      <c r="G90" s="20" t="n">
        <v>0.89416206288488</v>
      </c>
      <c r="H90" s="20" t="n">
        <v>0.651475373367409</v>
      </c>
      <c r="I90" s="20" t="n">
        <v>0.38569080586405</v>
      </c>
      <c r="J90" s="20" t="n">
        <v>0.18685482681029</v>
      </c>
      <c r="K90" s="20" t="n">
        <v>0.0759346431275823</v>
      </c>
      <c r="L90" s="20" t="n">
        <v>0.61430919413595</v>
      </c>
    </row>
    <row r="91" customFormat="false" ht="15" hidden="false" customHeight="false" outlineLevel="0" collapsed="false">
      <c r="A91" s="18" t="n">
        <v>90</v>
      </c>
      <c r="B91" s="18" t="s">
        <v>81</v>
      </c>
      <c r="C91" s="18" t="s">
        <v>79</v>
      </c>
      <c r="D91" s="21" t="n">
        <v>1.8182386937366</v>
      </c>
      <c r="E91" s="21" t="n">
        <v>0.854371633317895</v>
      </c>
      <c r="F91" s="21" t="n">
        <v>2.67261032705449</v>
      </c>
      <c r="G91" s="20" t="n">
        <v>0.932190542909496</v>
      </c>
      <c r="H91" s="20" t="n">
        <v>0.745071409787627</v>
      </c>
      <c r="I91" s="20" t="n">
        <v>0.499648586698491</v>
      </c>
      <c r="J91" s="20" t="n">
        <v>0.279883367270595</v>
      </c>
      <c r="K91" s="20" t="n">
        <v>0.133044902501054</v>
      </c>
      <c r="L91" s="20" t="n">
        <v>0.50035141330151</v>
      </c>
    </row>
    <row r="92" customFormat="false" ht="15" hidden="false" customHeight="false" outlineLevel="0" collapsed="false">
      <c r="A92" s="18" t="n">
        <v>91</v>
      </c>
      <c r="B92" s="18" t="s">
        <v>81</v>
      </c>
      <c r="C92" s="18" t="s">
        <v>87</v>
      </c>
      <c r="D92" s="21" t="n">
        <v>1.49540193186046</v>
      </c>
      <c r="E92" s="21" t="n">
        <v>0.936855862791561</v>
      </c>
      <c r="F92" s="21" t="n">
        <v>2.43225779465202</v>
      </c>
      <c r="G92" s="20" t="n">
        <v>0.913607489048575</v>
      </c>
      <c r="H92" s="20" t="n">
        <v>0.697071938301797</v>
      </c>
      <c r="I92" s="20" t="n">
        <v>0.43869710859524</v>
      </c>
      <c r="J92" s="20" t="n">
        <v>0.228046757988991</v>
      </c>
      <c r="K92" s="20" t="n">
        <v>0.0999574938635097</v>
      </c>
      <c r="L92" s="20" t="n">
        <v>0.56130289140476</v>
      </c>
    </row>
    <row r="93" customFormat="false" ht="15" hidden="false" customHeight="false" outlineLevel="0" collapsed="false">
      <c r="A93" s="18" t="n">
        <v>92</v>
      </c>
      <c r="B93" s="18" t="s">
        <v>81</v>
      </c>
      <c r="C93" s="18" t="s">
        <v>82</v>
      </c>
      <c r="D93" s="21" t="n">
        <v>1.64342540941191</v>
      </c>
      <c r="E93" s="21" t="n">
        <v>0.926613933952743</v>
      </c>
      <c r="F93" s="21" t="n">
        <v>2.57003934336465</v>
      </c>
      <c r="G93" s="20" t="n">
        <v>0.92483718456084</v>
      </c>
      <c r="H93" s="20" t="n">
        <v>0.725409109098347</v>
      </c>
      <c r="I93" s="20" t="n">
        <v>0.474025729061622</v>
      </c>
      <c r="J93" s="20" t="n">
        <v>0.257496936535539</v>
      </c>
      <c r="K93" s="20" t="n">
        <v>0.118374373889622</v>
      </c>
      <c r="L93" s="20" t="n">
        <v>0.525974270938378</v>
      </c>
    </row>
    <row r="94" customFormat="false" ht="15" hidden="false" customHeight="false" outlineLevel="0" collapsed="false">
      <c r="A94" s="18" t="n">
        <v>93</v>
      </c>
      <c r="B94" s="18" t="s">
        <v>81</v>
      </c>
      <c r="C94" s="18" t="s">
        <v>98</v>
      </c>
      <c r="D94" s="21" t="n">
        <v>1.55681830858975</v>
      </c>
      <c r="E94" s="21" t="n">
        <v>0.776562497699955</v>
      </c>
      <c r="F94" s="21" t="n">
        <v>2.3333808062897</v>
      </c>
      <c r="G94" s="20" t="n">
        <v>0.90441019460565</v>
      </c>
      <c r="H94" s="20" t="n">
        <v>0.675395405216618</v>
      </c>
      <c r="I94" s="20" t="n">
        <v>0.412794928246641</v>
      </c>
      <c r="J94" s="20" t="n">
        <v>0.207474345999895</v>
      </c>
      <c r="K94" s="20" t="n">
        <v>0.0877011808932076</v>
      </c>
      <c r="L94" s="20" t="n">
        <v>0.587205071753359</v>
      </c>
    </row>
    <row r="95" customFormat="false" ht="15" hidden="false" customHeight="false" outlineLevel="0" collapsed="false">
      <c r="A95" s="18" t="n">
        <v>94</v>
      </c>
      <c r="B95" s="18" t="s">
        <v>82</v>
      </c>
      <c r="C95" s="18" t="s">
        <v>84</v>
      </c>
      <c r="D95" s="21" t="n">
        <v>1.33166872088023</v>
      </c>
      <c r="E95" s="21" t="n">
        <v>1.14007107484136</v>
      </c>
      <c r="F95" s="21" t="n">
        <v>2.47173979572159</v>
      </c>
      <c r="G95" s="20" t="n">
        <v>0.917067997075215</v>
      </c>
      <c r="H95" s="20" t="n">
        <v>0.705348541338864</v>
      </c>
      <c r="I95" s="20" t="n">
        <v>0.448917905296588</v>
      </c>
      <c r="J95" s="20" t="n">
        <v>0.236400585897143</v>
      </c>
      <c r="K95" s="20" t="n">
        <v>0.105078596904301</v>
      </c>
      <c r="L95" s="20" t="n">
        <v>0.551082094703412</v>
      </c>
    </row>
    <row r="96" customFormat="false" ht="15" hidden="false" customHeight="false" outlineLevel="0" collapsed="false">
      <c r="A96" s="18" t="n">
        <v>95</v>
      </c>
      <c r="B96" s="18" t="s">
        <v>82</v>
      </c>
      <c r="C96" s="18" t="s">
        <v>89</v>
      </c>
      <c r="D96" s="21" t="n">
        <v>1.11971698633486</v>
      </c>
      <c r="E96" s="21" t="n">
        <v>1.73393795982926</v>
      </c>
      <c r="F96" s="21" t="n">
        <v>2.85365494616413</v>
      </c>
      <c r="G96" s="20" t="n">
        <v>0.943682039649061</v>
      </c>
      <c r="H96" s="20" t="n">
        <v>0.776589912540498</v>
      </c>
      <c r="I96" s="20" t="n">
        <v>0.543241188635287</v>
      </c>
      <c r="J96" s="20" t="n">
        <v>0.320023829367696</v>
      </c>
      <c r="K96" s="20" t="n">
        <v>0.16077632475436</v>
      </c>
      <c r="L96" s="20" t="n">
        <v>0.456758811364714</v>
      </c>
    </row>
    <row r="97" customFormat="false" ht="15" hidden="false" customHeight="false" outlineLevel="0" collapsed="false">
      <c r="A97" s="18" t="n">
        <v>96</v>
      </c>
      <c r="B97" s="18" t="s">
        <v>82</v>
      </c>
      <c r="C97" s="18" t="s">
        <v>99</v>
      </c>
      <c r="D97" s="21" t="n">
        <v>1.3800005003211</v>
      </c>
      <c r="E97" s="21" t="n">
        <v>1.21170755720486</v>
      </c>
      <c r="F97" s="21" t="n">
        <v>2.59170805752595</v>
      </c>
      <c r="G97" s="20" t="n">
        <v>0.926579071877748</v>
      </c>
      <c r="H97" s="20" t="n">
        <v>0.729539397144922</v>
      </c>
      <c r="I97" s="20" t="n">
        <v>0.479487399801998</v>
      </c>
      <c r="J97" s="20" t="n">
        <v>0.262195856125749</v>
      </c>
      <c r="K97" s="20" t="n">
        <v>0.121406627949416</v>
      </c>
      <c r="L97" s="20" t="n">
        <v>0.520512600198002</v>
      </c>
    </row>
    <row r="98" customFormat="false" ht="15" hidden="false" customHeight="false" outlineLevel="0" collapsed="false">
      <c r="A98" s="18" t="n">
        <v>97</v>
      </c>
      <c r="B98" s="18" t="s">
        <v>82</v>
      </c>
      <c r="C98" s="18" t="s">
        <v>79</v>
      </c>
      <c r="D98" s="21" t="n">
        <v>1.8861328419747</v>
      </c>
      <c r="E98" s="21" t="n">
        <v>1.12093173625636</v>
      </c>
      <c r="F98" s="21" t="n">
        <v>3.00706457823106</v>
      </c>
      <c r="G98" s="20" t="n">
        <v>0.951793011853751</v>
      </c>
      <c r="H98" s="20" t="n">
        <v>0.800682581123056</v>
      </c>
      <c r="I98" s="20" t="n">
        <v>0.57839887539768</v>
      </c>
      <c r="J98" s="20" t="n">
        <v>0.354357862305691</v>
      </c>
      <c r="K98" s="20" t="n">
        <v>0.185928879728523</v>
      </c>
      <c r="L98" s="20" t="n">
        <v>0.42160112460232</v>
      </c>
    </row>
    <row r="99" customFormat="false" ht="15" hidden="false" customHeight="false" outlineLevel="0" collapsed="false">
      <c r="A99" s="18" t="n">
        <v>98</v>
      </c>
      <c r="B99" s="18" t="s">
        <v>82</v>
      </c>
      <c r="C99" s="18" t="s">
        <v>98</v>
      </c>
      <c r="D99" s="21" t="n">
        <v>1.61495795776361</v>
      </c>
      <c r="E99" s="21" t="n">
        <v>1.01884665065132</v>
      </c>
      <c r="F99" s="21" t="n">
        <v>2.63380460841493</v>
      </c>
      <c r="G99" s="20" t="n">
        <v>0.92958360995634</v>
      </c>
      <c r="H99" s="20" t="n">
        <v>0.737689637474587</v>
      </c>
      <c r="I99" s="20" t="n">
        <v>0.490025516971061</v>
      </c>
      <c r="J99" s="20" t="n">
        <v>0.271373370250557</v>
      </c>
      <c r="K99" s="20" t="n">
        <v>0.127401021719771</v>
      </c>
      <c r="L99" s="20" t="n">
        <v>0.509974483028939</v>
      </c>
    </row>
    <row r="100" customFormat="false" ht="15" hidden="false" customHeight="false" outlineLevel="0" collapsed="false">
      <c r="A100" s="18" t="n">
        <v>99</v>
      </c>
      <c r="B100" s="18" t="s">
        <v>98</v>
      </c>
      <c r="C100" s="18" t="s">
        <v>73</v>
      </c>
      <c r="D100" s="21" t="n">
        <v>1.12736195467417</v>
      </c>
      <c r="E100" s="21" t="n">
        <v>1.18137626498384</v>
      </c>
      <c r="F100" s="21" t="n">
        <v>2.30873821965801</v>
      </c>
      <c r="G100" s="20" t="n">
        <v>0.902168187947051</v>
      </c>
      <c r="H100" s="20" t="n">
        <v>0.66960131787858</v>
      </c>
      <c r="I100" s="20" t="n">
        <v>0.406277261539216</v>
      </c>
      <c r="J100" s="20" t="n">
        <v>0.202431959005575</v>
      </c>
      <c r="K100" s="20" t="n">
        <v>0.0847755548287438</v>
      </c>
      <c r="L100" s="20" t="n">
        <v>0.593722738460784</v>
      </c>
    </row>
    <row r="101" customFormat="false" ht="15" hidden="false" customHeight="false" outlineLevel="0" collapsed="false">
      <c r="A101" s="18" t="n">
        <v>100</v>
      </c>
      <c r="B101" s="18" t="s">
        <v>98</v>
      </c>
      <c r="C101" s="18" t="s">
        <v>83</v>
      </c>
      <c r="D101" s="21" t="n">
        <v>1.23658559586631</v>
      </c>
      <c r="E101" s="21" t="n">
        <v>1.14653071983901</v>
      </c>
      <c r="F101" s="21" t="n">
        <v>2.38311631570531</v>
      </c>
      <c r="G101" s="20" t="n">
        <v>0.909273874013639</v>
      </c>
      <c r="H101" s="20" t="n">
        <v>0.686328707758169</v>
      </c>
      <c r="I101" s="20" t="n">
        <v>0.425874202020864</v>
      </c>
      <c r="J101" s="20" t="n">
        <v>0.217755842051092</v>
      </c>
      <c r="K101" s="20" t="n">
        <v>0.0937632136943533</v>
      </c>
      <c r="L101" s="20" t="n">
        <v>0.574125797979136</v>
      </c>
    </row>
    <row r="102" customFormat="false" ht="15" hidden="false" customHeight="false" outlineLevel="0" collapsed="false">
      <c r="A102" s="18" t="n">
        <v>101</v>
      </c>
      <c r="B102" s="18" t="s">
        <v>98</v>
      </c>
      <c r="C102" s="18" t="s">
        <v>92</v>
      </c>
      <c r="D102" s="21" t="n">
        <v>1.71353244501503</v>
      </c>
      <c r="E102" s="21" t="n">
        <v>0.920759811082698</v>
      </c>
      <c r="F102" s="21" t="n">
        <v>2.63429225609773</v>
      </c>
      <c r="G102" s="20" t="n">
        <v>0.929561417220768</v>
      </c>
      <c r="H102" s="20" t="n">
        <v>0.737840805557789</v>
      </c>
      <c r="I102" s="20" t="n">
        <v>0.490148478058131</v>
      </c>
      <c r="J102" s="20" t="n">
        <v>0.271481097324349</v>
      </c>
      <c r="K102" s="20" t="n">
        <v>0.127471632558137</v>
      </c>
      <c r="L102" s="20" t="n">
        <v>0.509851521941869</v>
      </c>
    </row>
    <row r="103" customFormat="false" ht="15" hidden="false" customHeight="false" outlineLevel="0" collapsed="false">
      <c r="A103" s="18" t="n">
        <v>102</v>
      </c>
      <c r="B103" s="18" t="s">
        <v>98</v>
      </c>
      <c r="C103" s="18" t="s">
        <v>94</v>
      </c>
      <c r="D103" s="21" t="n">
        <v>1.10138318243732</v>
      </c>
      <c r="E103" s="21" t="n">
        <v>1.19873742085733</v>
      </c>
      <c r="F103" s="21" t="n">
        <v>2.30012060329465</v>
      </c>
      <c r="G103" s="20" t="n">
        <v>0.901307846789917</v>
      </c>
      <c r="H103" s="20" t="n">
        <v>0.667619277250293</v>
      </c>
      <c r="I103" s="20" t="n">
        <v>0.403993335583998</v>
      </c>
      <c r="J103" s="20" t="n">
        <v>0.200677576457495</v>
      </c>
      <c r="K103" s="20" t="n">
        <v>0.0837648403279233</v>
      </c>
      <c r="L103" s="20" t="n">
        <v>0.596006664416002</v>
      </c>
    </row>
    <row r="104" customFormat="false" ht="15" hidden="false" customHeight="false" outlineLevel="0" collapsed="false">
      <c r="A104" s="18" t="n">
        <v>103</v>
      </c>
      <c r="B104" s="18" t="s">
        <v>98</v>
      </c>
      <c r="C104" s="18" t="s">
        <v>87</v>
      </c>
      <c r="D104" s="21" t="n">
        <v>1.30005165956686</v>
      </c>
      <c r="E104" s="21" t="n">
        <v>1.16437214236399</v>
      </c>
      <c r="F104" s="21" t="n">
        <v>2.46442380193085</v>
      </c>
      <c r="G104" s="20" t="n">
        <v>0.916454573255339</v>
      </c>
      <c r="H104" s="20" t="n">
        <v>0.703811650737992</v>
      </c>
      <c r="I104" s="20" t="n">
        <v>0.447029478795471</v>
      </c>
      <c r="J104" s="20" t="n">
        <v>0.23484699677563</v>
      </c>
      <c r="K104" s="20" t="n">
        <v>0.104120011255431</v>
      </c>
      <c r="L104" s="20" t="n">
        <v>0.552970521204529</v>
      </c>
    </row>
  </sheetData>
  <autoFilter ref="A1:L104"/>
  <conditionalFormatting sqref="G2:G104">
    <cfRule type="colorScale" priority="2">
      <colorScale>
        <cfvo type="num" val="0"/>
        <cfvo type="num" val="1"/>
        <color rgb="FFFFFFFF"/>
        <color rgb="FFCDE2FB"/>
      </colorScale>
    </cfRule>
  </conditionalFormatting>
  <conditionalFormatting sqref="H2:H104">
    <cfRule type="colorScale" priority="3">
      <colorScale>
        <cfvo type="num" val="0"/>
        <cfvo type="num" val="1"/>
        <color rgb="FFFFFFFF"/>
        <color rgb="FFCDE2FB"/>
      </colorScale>
    </cfRule>
  </conditionalFormatting>
  <conditionalFormatting sqref="I2:I104">
    <cfRule type="colorScale" priority="4">
      <colorScale>
        <cfvo type="num" val="0"/>
        <cfvo type="num" val="1"/>
        <color rgb="FFFFFFFF"/>
        <color rgb="FFCDE2FB"/>
      </colorScale>
    </cfRule>
  </conditionalFormatting>
  <conditionalFormatting sqref="J2:J104">
    <cfRule type="colorScale" priority="5">
      <colorScale>
        <cfvo type="num" val="0"/>
        <cfvo type="num" val="1"/>
        <color rgb="FFFFFFFF"/>
        <color rgb="FFCDE2FB"/>
      </colorScale>
    </cfRule>
  </conditionalFormatting>
  <conditionalFormatting sqref="K2:K104">
    <cfRule type="colorScale" priority="6">
      <colorScale>
        <cfvo type="num" val="0"/>
        <cfvo type="num" val="1"/>
        <color rgb="FFFFFFFF"/>
        <color rgb="FFCDE2FB"/>
      </colorScale>
    </cfRule>
  </conditionalFormatting>
  <conditionalFormatting sqref="L2:L104">
    <cfRule type="colorScale" priority="7">
      <colorScale>
        <cfvo type="num" val="0"/>
        <cfvo type="num" val="1"/>
        <color rgb="FFFFFFFF"/>
        <color rgb="FFCDE2FB"/>
      </colorScale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7"/>
    <col collapsed="false" customWidth="true" hidden="false" outlineLevel="0" max="15" min="4" style="0" width="11"/>
  </cols>
  <sheetData>
    <row r="1" customFormat="false" ht="33.75" hidden="false" customHeight="true" outlineLevel="0" collapsed="false">
      <c r="A1" s="16" t="s">
        <v>49</v>
      </c>
      <c r="B1" s="16" t="s">
        <v>50</v>
      </c>
      <c r="C1" s="16" t="s">
        <v>51</v>
      </c>
      <c r="D1" s="16" t="s">
        <v>95</v>
      </c>
      <c r="E1" s="16" t="s">
        <v>110</v>
      </c>
      <c r="F1" s="16" t="s">
        <v>111</v>
      </c>
      <c r="G1" s="16" t="s">
        <v>112</v>
      </c>
      <c r="H1" s="16" t="s">
        <v>113</v>
      </c>
      <c r="I1" s="16" t="s">
        <v>114</v>
      </c>
      <c r="J1" s="16" t="s">
        <v>115</v>
      </c>
      <c r="K1" s="16" t="s">
        <v>116</v>
      </c>
      <c r="L1" s="16" t="s">
        <v>117</v>
      </c>
      <c r="M1" s="16" t="s">
        <v>118</v>
      </c>
      <c r="N1" s="16" t="s">
        <v>119</v>
      </c>
      <c r="O1" s="16" t="s">
        <v>120</v>
      </c>
    </row>
    <row r="2" customFormat="false" ht="15" hidden="false" customHeight="false" outlineLevel="0" collapsed="false">
      <c r="A2" s="18" t="n">
        <v>1</v>
      </c>
      <c r="B2" s="18" t="s">
        <v>73</v>
      </c>
      <c r="C2" s="18" t="s">
        <v>74</v>
      </c>
      <c r="D2" s="20" t="n">
        <v>0.312918878285025</v>
      </c>
      <c r="E2" s="20" t="n">
        <v>0.573271807681676</v>
      </c>
      <c r="F2" s="20" t="n">
        <v>0.781565350714434</v>
      </c>
      <c r="G2" s="20" t="n">
        <v>0.482809844711478</v>
      </c>
      <c r="H2" s="20" t="n">
        <v>0.691103387744236</v>
      </c>
      <c r="I2" s="20" t="n">
        <v>0.815370185648016</v>
      </c>
      <c r="J2" s="20" t="n">
        <v>0.468646472429409</v>
      </c>
      <c r="K2" s="20" t="n">
        <v>0.592913270333189</v>
      </c>
      <c r="L2" s="20" t="n">
        <v>0.652222788377463</v>
      </c>
      <c r="M2" s="20" t="n">
        <v>0.332560340936538</v>
      </c>
      <c r="N2" s="20" t="n">
        <v>0.391869858980812</v>
      </c>
      <c r="O2" s="20" t="n">
        <v>0.415459016811529</v>
      </c>
    </row>
    <row r="3" customFormat="false" ht="15" hidden="false" customHeight="false" outlineLevel="0" collapsed="false">
      <c r="A3" s="18" t="n">
        <v>2</v>
      </c>
      <c r="B3" s="18" t="s">
        <v>73</v>
      </c>
      <c r="C3" s="18" t="s">
        <v>77</v>
      </c>
      <c r="D3" s="20" t="n">
        <v>0.332016069659795</v>
      </c>
      <c r="E3" s="20" t="n">
        <v>0.595599850088794</v>
      </c>
      <c r="F3" s="20" t="n">
        <v>0.799010421162418</v>
      </c>
      <c r="G3" s="20" t="n">
        <v>0.497050353353659</v>
      </c>
      <c r="H3" s="20" t="n">
        <v>0.700460924427283</v>
      </c>
      <c r="I3" s="20" t="n">
        <v>0.817506204392828</v>
      </c>
      <c r="J3" s="20" t="n">
        <v>0.466994351502623</v>
      </c>
      <c r="K3" s="20" t="n">
        <v>0.584039631468167</v>
      </c>
      <c r="L3" s="20" t="n">
        <v>0.637919220871627</v>
      </c>
      <c r="M3" s="20" t="n">
        <v>0.320455851039169</v>
      </c>
      <c r="N3" s="20" t="n">
        <v>0.374335440442628</v>
      </c>
      <c r="O3" s="20" t="n">
        <v>0.395004151981302</v>
      </c>
    </row>
    <row r="4" customFormat="false" ht="15" hidden="false" customHeight="false" outlineLevel="0" collapsed="false">
      <c r="A4" s="18" t="n">
        <v>3</v>
      </c>
      <c r="B4" s="18" t="s">
        <v>73</v>
      </c>
      <c r="C4" s="18" t="s">
        <v>79</v>
      </c>
      <c r="D4" s="20" t="n">
        <v>0.229003387543096</v>
      </c>
      <c r="E4" s="20" t="n">
        <v>0.464855535504723</v>
      </c>
      <c r="F4" s="20" t="n">
        <v>0.687632553823219</v>
      </c>
      <c r="G4" s="20" t="n">
        <v>0.406409663737244</v>
      </c>
      <c r="H4" s="20" t="n">
        <v>0.629186682055739</v>
      </c>
      <c r="I4" s="20" t="n">
        <v>0.786208567761444</v>
      </c>
      <c r="J4" s="20" t="n">
        <v>0.458629166280123</v>
      </c>
      <c r="K4" s="20" t="n">
        <v>0.615651051985828</v>
      </c>
      <c r="L4" s="20" t="n">
        <v>0.704191145669373</v>
      </c>
      <c r="M4" s="20" t="n">
        <v>0.3797989040242</v>
      </c>
      <c r="N4" s="20" t="n">
        <v>0.468338997707745</v>
      </c>
      <c r="O4" s="20" t="n">
        <v>0.509943326483627</v>
      </c>
    </row>
    <row r="5" customFormat="false" ht="15" hidden="false" customHeight="false" outlineLevel="0" collapsed="false">
      <c r="A5" s="18" t="n">
        <v>4</v>
      </c>
      <c r="B5" s="18" t="s">
        <v>73</v>
      </c>
      <c r="C5" s="18" t="s">
        <v>81</v>
      </c>
      <c r="D5" s="20" t="n">
        <v>0.342242862557213</v>
      </c>
      <c r="E5" s="20" t="n">
        <v>0.607289602044549</v>
      </c>
      <c r="F5" s="20" t="n">
        <v>0.807893296508872</v>
      </c>
      <c r="G5" s="20" t="n">
        <v>0.504211627720559</v>
      </c>
      <c r="H5" s="20" t="n">
        <v>0.704815322184881</v>
      </c>
      <c r="I5" s="20" t="n">
        <v>0.818040378332609</v>
      </c>
      <c r="J5" s="20" t="n">
        <v>0.465650433951659</v>
      </c>
      <c r="K5" s="20" t="n">
        <v>0.578875490099387</v>
      </c>
      <c r="L5" s="20" t="n">
        <v>0.63000082305555</v>
      </c>
      <c r="M5" s="20" t="n">
        <v>0.313828750612051</v>
      </c>
      <c r="N5" s="20" t="n">
        <v>0.364954083568214</v>
      </c>
      <c r="O5" s="20" t="n">
        <v>0.384191578038727</v>
      </c>
    </row>
    <row r="6" customFormat="false" ht="15" hidden="false" customHeight="false" outlineLevel="0" collapsed="false">
      <c r="A6" s="18" t="n">
        <v>5</v>
      </c>
      <c r="B6" s="18" t="s">
        <v>73</v>
      </c>
      <c r="C6" s="18" t="s">
        <v>82</v>
      </c>
      <c r="D6" s="20" t="n">
        <v>0.248508735032034</v>
      </c>
      <c r="E6" s="20" t="n">
        <v>0.491643893258934</v>
      </c>
      <c r="F6" s="20" t="n">
        <v>0.712307608267739</v>
      </c>
      <c r="G6" s="20" t="n">
        <v>0.426293822504638</v>
      </c>
      <c r="H6" s="20" t="n">
        <v>0.646957537513443</v>
      </c>
      <c r="I6" s="20" t="n">
        <v>0.796352310445417</v>
      </c>
      <c r="J6" s="20" t="n">
        <v>0.463798873235705</v>
      </c>
      <c r="K6" s="20" t="n">
        <v>0.613193646167679</v>
      </c>
      <c r="L6" s="20" t="n">
        <v>0.694108800445782</v>
      </c>
      <c r="M6" s="20" t="n">
        <v>0.37005848794078</v>
      </c>
      <c r="N6" s="20" t="n">
        <v>0.450973642218883</v>
      </c>
      <c r="O6" s="20" t="n">
        <v>0.487494677857964</v>
      </c>
    </row>
    <row r="7" customFormat="false" ht="15" hidden="false" customHeight="false" outlineLevel="0" collapsed="false">
      <c r="A7" s="18" t="n">
        <v>6</v>
      </c>
      <c r="B7" s="18" t="s">
        <v>74</v>
      </c>
      <c r="C7" s="18" t="s">
        <v>83</v>
      </c>
      <c r="D7" s="20" t="n">
        <v>0.288039366852511</v>
      </c>
      <c r="E7" s="20" t="n">
        <v>0.542964068724269</v>
      </c>
      <c r="F7" s="20" t="n">
        <v>0.756868354858637</v>
      </c>
      <c r="G7" s="20" t="n">
        <v>0.462571246213642</v>
      </c>
      <c r="H7" s="20" t="n">
        <v>0.676475532348011</v>
      </c>
      <c r="I7" s="20" t="n">
        <v>0.810342857188946</v>
      </c>
      <c r="J7" s="20" t="n">
        <v>0.468828988006127</v>
      </c>
      <c r="K7" s="20" t="n">
        <v>0.602696312847062</v>
      </c>
      <c r="L7" s="20" t="n">
        <v>0.669718665634556</v>
      </c>
      <c r="M7" s="20" t="n">
        <v>0.347771610975303</v>
      </c>
      <c r="N7" s="20" t="n">
        <v>0.414793963762798</v>
      </c>
      <c r="O7" s="20" t="n">
        <v>0.44275694737679</v>
      </c>
    </row>
    <row r="8" customFormat="false" ht="15" hidden="false" customHeight="false" outlineLevel="0" collapsed="false">
      <c r="A8" s="18" t="n">
        <v>7</v>
      </c>
      <c r="B8" s="18" t="s">
        <v>74</v>
      </c>
      <c r="C8" s="18" t="s">
        <v>84</v>
      </c>
      <c r="D8" s="20" t="n">
        <v>0.333048143976696</v>
      </c>
      <c r="E8" s="20" t="n">
        <v>0.596853990159347</v>
      </c>
      <c r="F8" s="20" t="n">
        <v>0.799971689383058</v>
      </c>
      <c r="G8" s="20" t="n">
        <v>0.497771278914179</v>
      </c>
      <c r="H8" s="20" t="n">
        <v>0.70088897813789</v>
      </c>
      <c r="I8" s="20" t="n">
        <v>0.817525625138665</v>
      </c>
      <c r="J8" s="20" t="n">
        <v>0.466923545406363</v>
      </c>
      <c r="K8" s="20" t="n">
        <v>0.583560192407137</v>
      </c>
      <c r="L8" s="20" t="n">
        <v>0.637141372089958</v>
      </c>
      <c r="M8" s="20" t="n">
        <v>0.319754346224486</v>
      </c>
      <c r="N8" s="20" t="n">
        <v>0.373335525907306</v>
      </c>
      <c r="O8" s="20" t="n">
        <v>0.393847538283825</v>
      </c>
    </row>
    <row r="9" customFormat="false" ht="15" hidden="false" customHeight="false" outlineLevel="0" collapsed="false">
      <c r="A9" s="18" t="n">
        <v>8</v>
      </c>
      <c r="B9" s="18" t="s">
        <v>74</v>
      </c>
      <c r="C9" s="18" t="s">
        <v>85</v>
      </c>
      <c r="D9" s="20" t="n">
        <v>0.222716615109205</v>
      </c>
      <c r="E9" s="20" t="n">
        <v>0.45595750287279</v>
      </c>
      <c r="F9" s="20" t="n">
        <v>0.679214674509884</v>
      </c>
      <c r="G9" s="20" t="n">
        <v>0.399704629170491</v>
      </c>
      <c r="H9" s="20" t="n">
        <v>0.622961800807585</v>
      </c>
      <c r="I9" s="20" t="n">
        <v>0.782428921175602</v>
      </c>
      <c r="J9" s="20" t="n">
        <v>0.456498059400679</v>
      </c>
      <c r="K9" s="20" t="n">
        <v>0.615965179768697</v>
      </c>
      <c r="L9" s="20" t="n">
        <v>0.707087941172498</v>
      </c>
      <c r="M9" s="20" t="n">
        <v>0.382724292005112</v>
      </c>
      <c r="N9" s="20" t="n">
        <v>0.473847053408913</v>
      </c>
      <c r="O9" s="20" t="n">
        <v>0.517238222001596</v>
      </c>
    </row>
    <row r="10" customFormat="false" ht="15" hidden="false" customHeight="false" outlineLevel="0" collapsed="false">
      <c r="A10" s="18" t="n">
        <v>9</v>
      </c>
      <c r="B10" s="18" t="s">
        <v>74</v>
      </c>
      <c r="C10" s="18" t="s">
        <v>86</v>
      </c>
      <c r="D10" s="20" t="n">
        <v>0.339273394363766</v>
      </c>
      <c r="E10" s="20" t="n">
        <v>0.603906106782519</v>
      </c>
      <c r="F10" s="20" t="n">
        <v>0.805339829587318</v>
      </c>
      <c r="G10" s="20" t="n">
        <v>0.502167741236067</v>
      </c>
      <c r="H10" s="20" t="n">
        <v>0.703601464040866</v>
      </c>
      <c r="I10" s="20" t="n">
        <v>0.817934677836534</v>
      </c>
      <c r="J10" s="20" t="n">
        <v>0.466066435223552</v>
      </c>
      <c r="K10" s="20" t="n">
        <v>0.58039964901922</v>
      </c>
      <c r="L10" s="20" t="n">
        <v>0.632315817155629</v>
      </c>
      <c r="M10" s="20" t="n">
        <v>0.315766936600467</v>
      </c>
      <c r="N10" s="20" t="n">
        <v>0.367683104736877</v>
      </c>
      <c r="O10" s="20" t="n">
        <v>0.387328085290419</v>
      </c>
    </row>
    <row r="11" customFormat="false" ht="15" hidden="false" customHeight="false" outlineLevel="0" collapsed="false">
      <c r="A11" s="18" t="n">
        <v>10</v>
      </c>
      <c r="B11" s="18" t="s">
        <v>74</v>
      </c>
      <c r="C11" s="18" t="s">
        <v>87</v>
      </c>
      <c r="D11" s="20" t="n">
        <v>0.269220730843162</v>
      </c>
      <c r="E11" s="20" t="n">
        <v>0.519021623796047</v>
      </c>
      <c r="F11" s="20" t="n">
        <v>0.736514869063</v>
      </c>
      <c r="G11" s="20" t="n">
        <v>0.445953202528443</v>
      </c>
      <c r="H11" s="20" t="n">
        <v>0.663446447795395</v>
      </c>
      <c r="I11" s="20" t="n">
        <v>0.804688998153705</v>
      </c>
      <c r="J11" s="20" t="n">
        <v>0.467294138219838</v>
      </c>
      <c r="K11" s="20" t="n">
        <v>0.608536688578147</v>
      </c>
      <c r="L11" s="20" t="n">
        <v>0.68191628437105</v>
      </c>
      <c r="M11" s="20" t="n">
        <v>0.358735795625261</v>
      </c>
      <c r="N11" s="20" t="n">
        <v>0.432115391418164</v>
      </c>
      <c r="O11" s="20" t="n">
        <v>0.463884412539809</v>
      </c>
    </row>
    <row r="12" customFormat="false" ht="15" hidden="false" customHeight="false" outlineLevel="0" collapsed="false">
      <c r="A12" s="18" t="n">
        <v>11</v>
      </c>
      <c r="B12" s="18" t="s">
        <v>74</v>
      </c>
      <c r="C12" s="18" t="s">
        <v>82</v>
      </c>
      <c r="D12" s="20" t="n">
        <v>0.241338549671982</v>
      </c>
      <c r="E12" s="20" t="n">
        <v>0.481894721536566</v>
      </c>
      <c r="F12" s="20" t="n">
        <v>0.703442152478485</v>
      </c>
      <c r="G12" s="20" t="n">
        <v>0.419141867530856</v>
      </c>
      <c r="H12" s="20" t="n">
        <v>0.640689298472775</v>
      </c>
      <c r="I12" s="20" t="n">
        <v>0.792903145804836</v>
      </c>
      <c r="J12" s="20" t="n">
        <v>0.462103602806503</v>
      </c>
      <c r="K12" s="20" t="n">
        <v>0.614317450138565</v>
      </c>
      <c r="L12" s="20" t="n">
        <v>0.697980095996831</v>
      </c>
      <c r="M12" s="20" t="n">
        <v>0.37376127827398</v>
      </c>
      <c r="N12" s="20" t="n">
        <v>0.457423924132247</v>
      </c>
      <c r="O12" s="20" t="n">
        <v>0.495744125363874</v>
      </c>
    </row>
    <row r="13" customFormat="false" ht="15" hidden="false" customHeight="false" outlineLevel="0" collapsed="false">
      <c r="A13" s="18" t="n">
        <v>12</v>
      </c>
      <c r="B13" s="18" t="s">
        <v>88</v>
      </c>
      <c r="C13" s="18" t="s">
        <v>74</v>
      </c>
      <c r="D13" s="20" t="n">
        <v>0.275534195629297</v>
      </c>
      <c r="E13" s="20" t="n">
        <v>0.527063140487239</v>
      </c>
      <c r="F13" s="20" t="n">
        <v>0.743434827746946</v>
      </c>
      <c r="G13" s="20" t="n">
        <v>0.451665107149763</v>
      </c>
      <c r="H13" s="20" t="n">
        <v>0.66803679440947</v>
      </c>
      <c r="I13" s="20" t="n">
        <v>0.806825386406361</v>
      </c>
      <c r="J13" s="20" t="n">
        <v>0.46790063211765</v>
      </c>
      <c r="K13" s="20" t="n">
        <v>0.606689224114541</v>
      </c>
      <c r="L13" s="20" t="n">
        <v>0.677908424786982</v>
      </c>
      <c r="M13" s="20" t="n">
        <v>0.355160279256599</v>
      </c>
      <c r="N13" s="20" t="n">
        <v>0.426379479929039</v>
      </c>
      <c r="O13" s="20" t="n">
        <v>0.45683451992574</v>
      </c>
    </row>
    <row r="14" customFormat="false" ht="15" hidden="false" customHeight="false" outlineLevel="0" collapsed="false">
      <c r="A14" s="18" t="n">
        <v>13</v>
      </c>
      <c r="B14" s="18" t="s">
        <v>88</v>
      </c>
      <c r="C14" s="18" t="s">
        <v>85</v>
      </c>
      <c r="D14" s="20" t="n">
        <v>0.20008200702493</v>
      </c>
      <c r="E14" s="20" t="n">
        <v>0.422839295292959</v>
      </c>
      <c r="F14" s="20" t="n">
        <v>0.646882892434876</v>
      </c>
      <c r="G14" s="20" t="n">
        <v>0.374298735657533</v>
      </c>
      <c r="H14" s="20" t="n">
        <v>0.59834233279945</v>
      </c>
      <c r="I14" s="20" t="n">
        <v>0.766463639594856</v>
      </c>
      <c r="J14" s="20" t="n">
        <v>0.446800885409946</v>
      </c>
      <c r="K14" s="20" t="n">
        <v>0.614922192205351</v>
      </c>
      <c r="L14" s="20" t="n">
        <v>0.715848169681748</v>
      </c>
      <c r="M14" s="20" t="n">
        <v>0.392164903937323</v>
      </c>
      <c r="N14" s="20" t="n">
        <v>0.493090881413719</v>
      </c>
      <c r="O14" s="20" t="n">
        <v>0.543580480876772</v>
      </c>
    </row>
    <row r="15" customFormat="false" ht="15" hidden="false" customHeight="false" outlineLevel="0" collapsed="false">
      <c r="A15" s="18" t="n">
        <v>14</v>
      </c>
      <c r="B15" s="18" t="s">
        <v>88</v>
      </c>
      <c r="C15" s="18" t="s">
        <v>89</v>
      </c>
      <c r="D15" s="20" t="n">
        <v>0.244708066567233</v>
      </c>
      <c r="E15" s="20" t="n">
        <v>0.486351300904363</v>
      </c>
      <c r="F15" s="20" t="n">
        <v>0.70751041566463</v>
      </c>
      <c r="G15" s="20" t="n">
        <v>0.422525283864577</v>
      </c>
      <c r="H15" s="20" t="n">
        <v>0.643684398624844</v>
      </c>
      <c r="I15" s="20" t="n">
        <v>0.794614900463626</v>
      </c>
      <c r="J15" s="20" t="n">
        <v>0.462802349097397</v>
      </c>
      <c r="K15" s="20" t="n">
        <v>0.613732850936179</v>
      </c>
      <c r="L15" s="20" t="n">
        <v>0.69613512103027</v>
      </c>
      <c r="M15" s="20" t="n">
        <v>0.372089616599049</v>
      </c>
      <c r="N15" s="20" t="n">
        <v>0.45449188669314</v>
      </c>
      <c r="O15" s="20" t="n">
        <v>0.491982288091661</v>
      </c>
    </row>
    <row r="16" customFormat="false" ht="15" hidden="false" customHeight="false" outlineLevel="0" collapsed="false">
      <c r="A16" s="18" t="n">
        <v>15</v>
      </c>
      <c r="B16" s="18" t="s">
        <v>88</v>
      </c>
      <c r="C16" s="18" t="s">
        <v>90</v>
      </c>
      <c r="D16" s="20" t="n">
        <v>0.2379763423711</v>
      </c>
      <c r="E16" s="20" t="n">
        <v>0.477117254835232</v>
      </c>
      <c r="F16" s="20" t="n">
        <v>0.699049373267645</v>
      </c>
      <c r="G16" s="20" t="n">
        <v>0.415722254476894</v>
      </c>
      <c r="H16" s="20" t="n">
        <v>0.637654372909307</v>
      </c>
      <c r="I16" s="20" t="n">
        <v>0.791231278024327</v>
      </c>
      <c r="J16" s="20" t="n">
        <v>0.461073030896545</v>
      </c>
      <c r="K16" s="20" t="n">
        <v>0.614649936011565</v>
      </c>
      <c r="L16" s="20" t="n">
        <v>0.699670043786152</v>
      </c>
      <c r="M16" s="20" t="n">
        <v>0.375509023547433</v>
      </c>
      <c r="N16" s="20" t="n">
        <v>0.46052913132202</v>
      </c>
      <c r="O16" s="20" t="n">
        <v>0.499751710180197</v>
      </c>
    </row>
    <row r="17" customFormat="false" ht="15" hidden="false" customHeight="false" outlineLevel="0" collapsed="false">
      <c r="A17" s="18" t="n">
        <v>16</v>
      </c>
      <c r="B17" s="18" t="s">
        <v>88</v>
      </c>
      <c r="C17" s="18" t="s">
        <v>81</v>
      </c>
      <c r="D17" s="20" t="n">
        <v>0.304483761674612</v>
      </c>
      <c r="E17" s="20" t="n">
        <v>0.563131470739959</v>
      </c>
      <c r="F17" s="20" t="n">
        <v>0.773433542708582</v>
      </c>
      <c r="G17" s="20" t="n">
        <v>0.47616882376257</v>
      </c>
      <c r="H17" s="20" t="n">
        <v>0.686470895731193</v>
      </c>
      <c r="I17" s="20" t="n">
        <v>0.813978564329431</v>
      </c>
      <c r="J17" s="20" t="n">
        <v>0.46894978103397</v>
      </c>
      <c r="K17" s="20" t="n">
        <v>0.596457449632208</v>
      </c>
      <c r="L17" s="20" t="n">
        <v>0.658304507625185</v>
      </c>
      <c r="M17" s="20" t="n">
        <v>0.337809740566861</v>
      </c>
      <c r="N17" s="20" t="n">
        <v>0.399656798559838</v>
      </c>
      <c r="O17" s="20" t="n">
        <v>0.424655677871945</v>
      </c>
    </row>
    <row r="18" customFormat="false" ht="15" hidden="false" customHeight="false" outlineLevel="0" collapsed="false">
      <c r="A18" s="18" t="n">
        <v>17</v>
      </c>
      <c r="B18" s="18" t="s">
        <v>91</v>
      </c>
      <c r="C18" s="18" t="s">
        <v>74</v>
      </c>
      <c r="D18" s="20" t="n">
        <v>0.284703468309491</v>
      </c>
      <c r="E18" s="20" t="n">
        <v>0.538748023990493</v>
      </c>
      <c r="F18" s="20" t="n">
        <v>0.75333871018707</v>
      </c>
      <c r="G18" s="20" t="n">
        <v>0.459713382024787</v>
      </c>
      <c r="H18" s="20" t="n">
        <v>0.674304068221364</v>
      </c>
      <c r="I18" s="20" t="n">
        <v>0.809484746602207</v>
      </c>
      <c r="J18" s="20" t="n">
        <v>0.468635241877579</v>
      </c>
      <c r="K18" s="20" t="n">
        <v>0.603815920258421</v>
      </c>
      <c r="L18" s="20" t="n">
        <v>0.671941209874262</v>
      </c>
      <c r="M18" s="20" t="n">
        <v>0.34977136457742</v>
      </c>
      <c r="N18" s="20" t="n">
        <v>0.417896654193261</v>
      </c>
      <c r="O18" s="20" t="n">
        <v>0.44650685167631</v>
      </c>
    </row>
    <row r="19" customFormat="false" ht="15" hidden="false" customHeight="false" outlineLevel="0" collapsed="false">
      <c r="A19" s="18" t="n">
        <v>18</v>
      </c>
      <c r="B19" s="18" t="s">
        <v>91</v>
      </c>
      <c r="C19" s="18" t="s">
        <v>88</v>
      </c>
      <c r="D19" s="20" t="n">
        <v>0.246343235669207</v>
      </c>
      <c r="E19" s="20" t="n">
        <v>0.488659426638213</v>
      </c>
      <c r="F19" s="20" t="n">
        <v>0.709607277326105</v>
      </c>
      <c r="G19" s="20" t="n">
        <v>0.424153121269771</v>
      </c>
      <c r="H19" s="20" t="n">
        <v>0.645100971957663</v>
      </c>
      <c r="I19" s="20" t="n">
        <v>0.795363508730971</v>
      </c>
      <c r="J19" s="20" t="n">
        <v>0.463264041656898</v>
      </c>
      <c r="K19" s="20" t="n">
        <v>0.613526578430206</v>
      </c>
      <c r="L19" s="20" t="n">
        <v>0.695279190686007</v>
      </c>
      <c r="M19" s="20" t="n">
        <v>0.3712103874612</v>
      </c>
      <c r="N19" s="20" t="n">
        <v>0.452962999717001</v>
      </c>
      <c r="O19" s="20" t="n">
        <v>0.490028623625253</v>
      </c>
    </row>
    <row r="20" customFormat="false" ht="15" hidden="false" customHeight="false" outlineLevel="0" collapsed="false">
      <c r="A20" s="18" t="n">
        <v>19</v>
      </c>
      <c r="B20" s="18" t="s">
        <v>91</v>
      </c>
      <c r="C20" s="18" t="s">
        <v>92</v>
      </c>
      <c r="D20" s="20" t="n">
        <v>0.190859792188544</v>
      </c>
      <c r="E20" s="20" t="n">
        <v>0.409160315946744</v>
      </c>
      <c r="F20" s="20" t="n">
        <v>0.633060822072556</v>
      </c>
      <c r="G20" s="20" t="n">
        <v>0.363397898522766</v>
      </c>
      <c r="H20" s="20" t="n">
        <v>0.587298404648579</v>
      </c>
      <c r="I20" s="20" t="n">
        <v>0.758769628856944</v>
      </c>
      <c r="J20" s="20" t="n">
        <v>0.442201029884012</v>
      </c>
      <c r="K20" s="20" t="n">
        <v>0.613672254092378</v>
      </c>
      <c r="L20" s="20" t="n">
        <v>0.718727418960988</v>
      </c>
      <c r="M20" s="20" t="n">
        <v>0.395371730334178</v>
      </c>
      <c r="N20" s="20" t="n">
        <v>0.500426895202789</v>
      </c>
      <c r="O20" s="20" t="n">
        <v>0.554063628890534</v>
      </c>
    </row>
    <row r="21" customFormat="false" ht="15" hidden="false" customHeight="false" outlineLevel="0" collapsed="false">
      <c r="A21" s="18" t="n">
        <v>20</v>
      </c>
      <c r="B21" s="18" t="s">
        <v>91</v>
      </c>
      <c r="C21" s="18" t="s">
        <v>81</v>
      </c>
      <c r="D21" s="20" t="n">
        <v>0.312891147934278</v>
      </c>
      <c r="E21" s="20" t="n">
        <v>0.573283578418211</v>
      </c>
      <c r="F21" s="20" t="n">
        <v>0.781574767530649</v>
      </c>
      <c r="G21" s="20" t="n">
        <v>0.482779932112433</v>
      </c>
      <c r="H21" s="20" t="n">
        <v>0.691071121224871</v>
      </c>
      <c r="I21" s="20" t="n">
        <v>0.815334192867596</v>
      </c>
      <c r="J21" s="20" t="n">
        <v>0.468683619596372</v>
      </c>
      <c r="K21" s="20" t="n">
        <v>0.592946691239096</v>
      </c>
      <c r="L21" s="20" t="n">
        <v>0.652253322652101</v>
      </c>
      <c r="M21" s="20" t="n">
        <v>0.332554260755163</v>
      </c>
      <c r="N21" s="20" t="n">
        <v>0.391860892168167</v>
      </c>
      <c r="O21" s="20" t="n">
        <v>0.415448461152933</v>
      </c>
    </row>
    <row r="22" customFormat="false" ht="15" hidden="false" customHeight="false" outlineLevel="0" collapsed="false">
      <c r="A22" s="18" t="n">
        <v>21</v>
      </c>
      <c r="B22" s="18" t="s">
        <v>91</v>
      </c>
      <c r="C22" s="18" t="s">
        <v>82</v>
      </c>
      <c r="D22" s="20" t="n">
        <v>0.219736851584954</v>
      </c>
      <c r="E22" s="20" t="n">
        <v>0.451632451889502</v>
      </c>
      <c r="F22" s="20" t="n">
        <v>0.675081928389964</v>
      </c>
      <c r="G22" s="20" t="n">
        <v>0.396470262864833</v>
      </c>
      <c r="H22" s="20" t="n">
        <v>0.619919739365294</v>
      </c>
      <c r="I22" s="20" t="n">
        <v>0.780557569755276</v>
      </c>
      <c r="J22" s="20" t="n">
        <v>0.45534507680501</v>
      </c>
      <c r="K22" s="20" t="n">
        <v>0.615982907194992</v>
      </c>
      <c r="L22" s="20" t="n">
        <v>0.708368937206021</v>
      </c>
      <c r="M22" s="20" t="n">
        <v>0.384087306890444</v>
      </c>
      <c r="N22" s="20" t="n">
        <v>0.476473336901473</v>
      </c>
      <c r="O22" s="20" t="n">
        <v>0.520750882029323</v>
      </c>
    </row>
    <row r="23" customFormat="false" ht="15" hidden="false" customHeight="false" outlineLevel="0" collapsed="false">
      <c r="A23" s="18" t="n">
        <v>22</v>
      </c>
      <c r="B23" s="18" t="s">
        <v>83</v>
      </c>
      <c r="C23" s="18" t="s">
        <v>92</v>
      </c>
      <c r="D23" s="20" t="n">
        <v>0.219450050120319</v>
      </c>
      <c r="E23" s="20" t="n">
        <v>0.451346826127195</v>
      </c>
      <c r="F23" s="20" t="n">
        <v>0.674809126915016</v>
      </c>
      <c r="G23" s="20" t="n">
        <v>0.396166137687971</v>
      </c>
      <c r="H23" s="20" t="n">
        <v>0.619628438475793</v>
      </c>
      <c r="I23" s="20" t="n">
        <v>0.78034441483681</v>
      </c>
      <c r="J23" s="20" t="n">
        <v>0.455359076794697</v>
      </c>
      <c r="K23" s="20" t="n">
        <v>0.616075053155714</v>
      </c>
      <c r="L23" s="20" t="n">
        <v>0.70854568454763</v>
      </c>
      <c r="M23" s="20" t="n">
        <v>0.384178277148839</v>
      </c>
      <c r="N23" s="20" t="n">
        <v>0.476648908540755</v>
      </c>
      <c r="O23" s="20" t="n">
        <v>0.520986015236834</v>
      </c>
    </row>
    <row r="24" customFormat="false" ht="15" hidden="false" customHeight="false" outlineLevel="0" collapsed="false">
      <c r="A24" s="18" t="n">
        <v>23</v>
      </c>
      <c r="B24" s="18" t="s">
        <v>83</v>
      </c>
      <c r="C24" s="18" t="s">
        <v>86</v>
      </c>
      <c r="D24" s="20" t="n">
        <v>0.332590713620623</v>
      </c>
      <c r="E24" s="20" t="n">
        <v>0.596252334197999</v>
      </c>
      <c r="F24" s="20" t="n">
        <v>0.799510745383455</v>
      </c>
      <c r="G24" s="20" t="n">
        <v>0.497463608513207</v>
      </c>
      <c r="H24" s="20" t="n">
        <v>0.700722019698664</v>
      </c>
      <c r="I24" s="20" t="n">
        <v>0.817554706947522</v>
      </c>
      <c r="J24" s="20" t="n">
        <v>0.466920031762832</v>
      </c>
      <c r="K24" s="20" t="n">
        <v>0.583752719011691</v>
      </c>
      <c r="L24" s="20" t="n">
        <v>0.637476948105798</v>
      </c>
      <c r="M24" s="20" t="n">
        <v>0.320091098434315</v>
      </c>
      <c r="N24" s="20" t="n">
        <v>0.373815327528422</v>
      </c>
      <c r="O24" s="20" t="n">
        <v>0.394402408505228</v>
      </c>
    </row>
    <row r="25" customFormat="false" ht="15" hidden="false" customHeight="false" outlineLevel="0" collapsed="false">
      <c r="A25" s="18" t="n">
        <v>24</v>
      </c>
      <c r="B25" s="18" t="s">
        <v>83</v>
      </c>
      <c r="C25" s="18" t="s">
        <v>94</v>
      </c>
      <c r="D25" s="20" t="n">
        <v>0.309179664140849</v>
      </c>
      <c r="E25" s="20" t="n">
        <v>0.568768801167328</v>
      </c>
      <c r="F25" s="20" t="n">
        <v>0.777970446057472</v>
      </c>
      <c r="G25" s="20" t="n">
        <v>0.479898100038566</v>
      </c>
      <c r="H25" s="20" t="n">
        <v>0.68909974492871</v>
      </c>
      <c r="I25" s="20" t="n">
        <v>0.814808965642173</v>
      </c>
      <c r="J25" s="20" t="n">
        <v>0.468790781916623</v>
      </c>
      <c r="K25" s="20" t="n">
        <v>0.594500002630086</v>
      </c>
      <c r="L25" s="20" t="n">
        <v>0.654930916280634</v>
      </c>
      <c r="M25" s="20" t="n">
        <v>0.334910865603607</v>
      </c>
      <c r="N25" s="20" t="n">
        <v>0.395341779254155</v>
      </c>
      <c r="O25" s="20" t="n">
        <v>0.419550394076478</v>
      </c>
    </row>
    <row r="26" customFormat="false" ht="15" hidden="false" customHeight="false" outlineLevel="0" collapsed="false">
      <c r="A26" s="18" t="n">
        <v>25</v>
      </c>
      <c r="B26" s="18" t="s">
        <v>83</v>
      </c>
      <c r="C26" s="18" t="s">
        <v>90</v>
      </c>
      <c r="D26" s="20" t="n">
        <v>0.261965638024467</v>
      </c>
      <c r="E26" s="20" t="n">
        <v>0.509439447790371</v>
      </c>
      <c r="F26" s="20" t="n">
        <v>0.728156514599608</v>
      </c>
      <c r="G26" s="20" t="n">
        <v>0.439238439155557</v>
      </c>
      <c r="H26" s="20" t="n">
        <v>0.657955505964794</v>
      </c>
      <c r="I26" s="20" t="n">
        <v>0.802088020653686</v>
      </c>
      <c r="J26" s="20" t="n">
        <v>0.466190876575141</v>
      </c>
      <c r="K26" s="20" t="n">
        <v>0.610323391264033</v>
      </c>
      <c r="L26" s="20" t="n">
        <v>0.686308981574322</v>
      </c>
      <c r="M26" s="20" t="n">
        <v>0.362849581498129</v>
      </c>
      <c r="N26" s="20" t="n">
        <v>0.438835171808418</v>
      </c>
      <c r="O26" s="20" t="n">
        <v>0.47221770377484</v>
      </c>
    </row>
    <row r="27" customFormat="false" ht="15" hidden="false" customHeight="false" outlineLevel="0" collapsed="false">
      <c r="A27" s="18" t="n">
        <v>26</v>
      </c>
      <c r="B27" s="18" t="s">
        <v>83</v>
      </c>
      <c r="C27" s="18" t="s">
        <v>87</v>
      </c>
      <c r="D27" s="20" t="n">
        <v>0.267225931595133</v>
      </c>
      <c r="E27" s="20" t="n">
        <v>0.516371820221025</v>
      </c>
      <c r="F27" s="20" t="n">
        <v>0.734215656858833</v>
      </c>
      <c r="G27" s="20" t="n">
        <v>0.444126734600315</v>
      </c>
      <c r="H27" s="20" t="n">
        <v>0.661970571238123</v>
      </c>
      <c r="I27" s="20" t="n">
        <v>0.804015977316446</v>
      </c>
      <c r="J27" s="20" t="n">
        <v>0.4669897252637</v>
      </c>
      <c r="K27" s="20" t="n">
        <v>0.609035131342023</v>
      </c>
      <c r="L27" s="20" t="n">
        <v>0.683131870361552</v>
      </c>
      <c r="M27" s="20" t="n">
        <v>0.359889242716131</v>
      </c>
      <c r="N27" s="20" t="n">
        <v>0.43398598173566</v>
      </c>
      <c r="O27" s="20" t="n">
        <v>0.46619590956149</v>
      </c>
    </row>
    <row r="28" customFormat="false" ht="15" hidden="false" customHeight="false" outlineLevel="0" collapsed="false">
      <c r="A28" s="18" t="n">
        <v>27</v>
      </c>
      <c r="B28" s="18" t="s">
        <v>83</v>
      </c>
      <c r="C28" s="18" t="s">
        <v>82</v>
      </c>
      <c r="D28" s="20" t="n">
        <v>0.241167613204868</v>
      </c>
      <c r="E28" s="20" t="n">
        <v>0.481589637268927</v>
      </c>
      <c r="F28" s="20" t="n">
        <v>0.703162311693278</v>
      </c>
      <c r="G28" s="20" t="n">
        <v>0.418968374415337</v>
      </c>
      <c r="H28" s="20" t="n">
        <v>0.640541048839689</v>
      </c>
      <c r="I28" s="20" t="n">
        <v>0.792842002562072</v>
      </c>
      <c r="J28" s="20" t="n">
        <v>0.46199469848841</v>
      </c>
      <c r="K28" s="20" t="n">
        <v>0.614295652210794</v>
      </c>
      <c r="L28" s="20" t="n">
        <v>0.698044537094762</v>
      </c>
      <c r="M28" s="20" t="n">
        <v>0.373873628146735</v>
      </c>
      <c r="N28" s="20" t="n">
        <v>0.457622513030704</v>
      </c>
      <c r="O28" s="20" t="n">
        <v>0.495999793605132</v>
      </c>
    </row>
    <row r="29" customFormat="false" ht="15" hidden="false" customHeight="false" outlineLevel="0" collapsed="false">
      <c r="A29" s="18" t="n">
        <v>28</v>
      </c>
      <c r="B29" s="18" t="s">
        <v>92</v>
      </c>
      <c r="C29" s="18" t="s">
        <v>73</v>
      </c>
      <c r="D29" s="20" t="n">
        <v>0.274438988095627</v>
      </c>
      <c r="E29" s="20" t="n">
        <v>0.525681906242618</v>
      </c>
      <c r="F29" s="20" t="n">
        <v>0.742252318307819</v>
      </c>
      <c r="G29" s="20" t="n">
        <v>0.450682971345092</v>
      </c>
      <c r="H29" s="20" t="n">
        <v>0.667253383410293</v>
      </c>
      <c r="I29" s="20" t="n">
        <v>0.806465236527464</v>
      </c>
      <c r="J29" s="20" t="n">
        <v>0.467813330212192</v>
      </c>
      <c r="K29" s="20" t="n">
        <v>0.607025183329362</v>
      </c>
      <c r="L29" s="20" t="n">
        <v>0.678613688383255</v>
      </c>
      <c r="M29" s="20" t="n">
        <v>0.355782265182371</v>
      </c>
      <c r="N29" s="20" t="n">
        <v>0.427370770236264</v>
      </c>
      <c r="O29" s="20" t="n">
        <v>0.458048917373741</v>
      </c>
    </row>
    <row r="30" customFormat="false" ht="15" hidden="false" customHeight="false" outlineLevel="0" collapsed="false">
      <c r="A30" s="18" t="n">
        <v>29</v>
      </c>
      <c r="B30" s="18" t="s">
        <v>92</v>
      </c>
      <c r="C30" s="18" t="s">
        <v>86</v>
      </c>
      <c r="D30" s="20" t="n">
        <v>0.294441165842684</v>
      </c>
      <c r="E30" s="20" t="n">
        <v>0.550889474339797</v>
      </c>
      <c r="F30" s="20" t="n">
        <v>0.763440783868039</v>
      </c>
      <c r="G30" s="20" t="n">
        <v>0.467966127309011</v>
      </c>
      <c r="H30" s="20" t="n">
        <v>0.680517436837253</v>
      </c>
      <c r="I30" s="20" t="n">
        <v>0.811900149705938</v>
      </c>
      <c r="J30" s="20" t="n">
        <v>0.468999618025355</v>
      </c>
      <c r="K30" s="20" t="n">
        <v>0.60038233089404</v>
      </c>
      <c r="L30" s="20" t="n">
        <v>0.665350802851412</v>
      </c>
      <c r="M30" s="20" t="n">
        <v>0.343934022396927</v>
      </c>
      <c r="N30" s="20" t="n">
        <v>0.408902494354299</v>
      </c>
      <c r="O30" s="20" t="n">
        <v>0.435674803640114</v>
      </c>
    </row>
    <row r="31" customFormat="false" ht="15" hidden="false" customHeight="false" outlineLevel="0" collapsed="false">
      <c r="A31" s="18" t="n">
        <v>30</v>
      </c>
      <c r="B31" s="18" t="s">
        <v>92</v>
      </c>
      <c r="C31" s="18" t="s">
        <v>94</v>
      </c>
      <c r="D31" s="20" t="n">
        <v>0.274981992067524</v>
      </c>
      <c r="E31" s="20" t="n">
        <v>0.526390582814484</v>
      </c>
      <c r="F31" s="20" t="n">
        <v>0.742859394290951</v>
      </c>
      <c r="G31" s="20" t="n">
        <v>0.451168503817921</v>
      </c>
      <c r="H31" s="20" t="n">
        <v>0.667637315294388</v>
      </c>
      <c r="I31" s="20" t="n">
        <v>0.806632140245642</v>
      </c>
      <c r="J31" s="20" t="n">
        <v>0.467877402223426</v>
      </c>
      <c r="K31" s="20" t="n">
        <v>0.606872227174681</v>
      </c>
      <c r="L31" s="20" t="n">
        <v>0.678271192157976</v>
      </c>
      <c r="M31" s="20" t="n">
        <v>0.355463636427721</v>
      </c>
      <c r="N31" s="20" t="n">
        <v>0.426862601411016</v>
      </c>
      <c r="O31" s="20" t="n">
        <v>0.457426162575216</v>
      </c>
    </row>
    <row r="32" customFormat="false" ht="15" hidden="false" customHeight="false" outlineLevel="0" collapsed="false">
      <c r="A32" s="18" t="n">
        <v>31</v>
      </c>
      <c r="B32" s="18" t="s">
        <v>92</v>
      </c>
      <c r="C32" s="18" t="s">
        <v>90</v>
      </c>
      <c r="D32" s="20" t="n">
        <v>0.230266410422377</v>
      </c>
      <c r="E32" s="20" t="n">
        <v>0.466418798509464</v>
      </c>
      <c r="F32" s="20" t="n">
        <v>0.689098792758931</v>
      </c>
      <c r="G32" s="20" t="n">
        <v>0.407730694700089</v>
      </c>
      <c r="H32" s="20" t="n">
        <v>0.630410688949556</v>
      </c>
      <c r="I32" s="20" t="n">
        <v>0.78699690589814</v>
      </c>
      <c r="J32" s="20" t="n">
        <v>0.458832382336553</v>
      </c>
      <c r="K32" s="20" t="n">
        <v>0.615418599285138</v>
      </c>
      <c r="L32" s="20" t="n">
        <v>0.703506416678561</v>
      </c>
      <c r="M32" s="20" t="n">
        <v>0.379266211198052</v>
      </c>
      <c r="N32" s="20" t="n">
        <v>0.467354028591474</v>
      </c>
      <c r="O32" s="20" t="n">
        <v>0.508648976322436</v>
      </c>
    </row>
    <row r="33" customFormat="false" ht="15" hidden="false" customHeight="false" outlineLevel="0" collapsed="false">
      <c r="A33" s="18" t="n">
        <v>32</v>
      </c>
      <c r="B33" s="18" t="s">
        <v>92</v>
      </c>
      <c r="C33" s="18" t="s">
        <v>77</v>
      </c>
      <c r="D33" s="20" t="n">
        <v>0.245257888142994</v>
      </c>
      <c r="E33" s="20" t="n">
        <v>0.487387060286407</v>
      </c>
      <c r="F33" s="20" t="n">
        <v>0.708453417100477</v>
      </c>
      <c r="G33" s="20" t="n">
        <v>0.423073850920449</v>
      </c>
      <c r="H33" s="20" t="n">
        <v>0.644140207734519</v>
      </c>
      <c r="I33" s="20" t="n">
        <v>0.794772546549076</v>
      </c>
      <c r="J33" s="20" t="n">
        <v>0.463195528957483</v>
      </c>
      <c r="K33" s="20" t="n">
        <v>0.61382786777204</v>
      </c>
      <c r="L33" s="20" t="n">
        <v>0.695939327240572</v>
      </c>
      <c r="M33" s="20" t="n">
        <v>0.371698695628627</v>
      </c>
      <c r="N33" s="20" t="n">
        <v>0.45381015509716</v>
      </c>
      <c r="O33" s="20" t="n">
        <v>0.491110090318644</v>
      </c>
    </row>
    <row r="34" customFormat="false" ht="15" hidden="false" customHeight="false" outlineLevel="0" collapsed="false">
      <c r="A34" s="18" t="n">
        <v>33</v>
      </c>
      <c r="B34" s="18" t="s">
        <v>92</v>
      </c>
      <c r="C34" s="18" t="s">
        <v>82</v>
      </c>
      <c r="D34" s="20" t="n">
        <v>0.22890248412551</v>
      </c>
      <c r="E34" s="20" t="n">
        <v>0.464443205920466</v>
      </c>
      <c r="F34" s="20" t="n">
        <v>0.687243558391915</v>
      </c>
      <c r="G34" s="20" t="n">
        <v>0.406291650445159</v>
      </c>
      <c r="H34" s="20" t="n">
        <v>0.629092002916607</v>
      </c>
      <c r="I34" s="20" t="n">
        <v>0.786226646197878</v>
      </c>
      <c r="J34" s="20" t="n">
        <v>0.458341074266405</v>
      </c>
      <c r="K34" s="20" t="n">
        <v>0.615475717547675</v>
      </c>
      <c r="L34" s="20" t="n">
        <v>0.704133732116288</v>
      </c>
      <c r="M34" s="20" t="n">
        <v>0.379934995752719</v>
      </c>
      <c r="N34" s="20" t="n">
        <v>0.468593010321331</v>
      </c>
      <c r="O34" s="20" t="n">
        <v>0.510278298932802</v>
      </c>
    </row>
    <row r="35" customFormat="false" ht="15" hidden="false" customHeight="false" outlineLevel="0" collapsed="false">
      <c r="A35" s="18" t="n">
        <v>34</v>
      </c>
      <c r="B35" s="18" t="s">
        <v>84</v>
      </c>
      <c r="C35" s="18" t="s">
        <v>91</v>
      </c>
      <c r="D35" s="20" t="n">
        <v>0.324941322680932</v>
      </c>
      <c r="E35" s="20" t="n">
        <v>0.587409036235681</v>
      </c>
      <c r="F35" s="20" t="n">
        <v>0.792684047593728</v>
      </c>
      <c r="G35" s="20" t="n">
        <v>0.49190596171843</v>
      </c>
      <c r="H35" s="20" t="n">
        <v>0.697180973076476</v>
      </c>
      <c r="I35" s="20" t="n">
        <v>0.816887829063282</v>
      </c>
      <c r="J35" s="20" t="n">
        <v>0.467742724912796</v>
      </c>
      <c r="K35" s="20" t="n">
        <v>0.587449580899602</v>
      </c>
      <c r="L35" s="20" t="n">
        <v>0.643295565368706</v>
      </c>
      <c r="M35" s="20" t="n">
        <v>0.324981867344852</v>
      </c>
      <c r="N35" s="20" t="n">
        <v>0.380827851813957</v>
      </c>
      <c r="O35" s="20" t="n">
        <v>0.40253904200724</v>
      </c>
    </row>
    <row r="36" customFormat="false" ht="15" hidden="false" customHeight="false" outlineLevel="0" collapsed="false">
      <c r="A36" s="18" t="n">
        <v>35</v>
      </c>
      <c r="B36" s="18" t="s">
        <v>84</v>
      </c>
      <c r="C36" s="18" t="s">
        <v>97</v>
      </c>
      <c r="D36" s="20" t="n">
        <v>0.313366939066674</v>
      </c>
      <c r="E36" s="20" t="n">
        <v>0.573827541357515</v>
      </c>
      <c r="F36" s="20" t="n">
        <v>0.782007242071329</v>
      </c>
      <c r="G36" s="20" t="n">
        <v>0.483152351914978</v>
      </c>
      <c r="H36" s="20" t="n">
        <v>0.691332052628792</v>
      </c>
      <c r="I36" s="20" t="n">
        <v>0.815420504773993</v>
      </c>
      <c r="J36" s="20" t="n">
        <v>0.468640303004655</v>
      </c>
      <c r="K36" s="20" t="n">
        <v>0.592728755149856</v>
      </c>
      <c r="L36" s="20" t="n">
        <v>0.651900495345446</v>
      </c>
      <c r="M36" s="20" t="n">
        <v>0.332268152859015</v>
      </c>
      <c r="N36" s="20" t="n">
        <v>0.391439893054605</v>
      </c>
      <c r="O36" s="20" t="n">
        <v>0.414953327606364</v>
      </c>
    </row>
    <row r="37" customFormat="false" ht="15" hidden="false" customHeight="false" outlineLevel="0" collapsed="false">
      <c r="A37" s="18" t="n">
        <v>36</v>
      </c>
      <c r="B37" s="18" t="s">
        <v>84</v>
      </c>
      <c r="C37" s="18" t="s">
        <v>90</v>
      </c>
      <c r="D37" s="20" t="n">
        <v>0.302221642312672</v>
      </c>
      <c r="E37" s="20" t="n">
        <v>0.560370886137125</v>
      </c>
      <c r="F37" s="20" t="n">
        <v>0.77119695954153</v>
      </c>
      <c r="G37" s="20" t="n">
        <v>0.474352299834193</v>
      </c>
      <c r="H37" s="20" t="n">
        <v>0.685178373238598</v>
      </c>
      <c r="I37" s="20" t="n">
        <v>0.81356357802561</v>
      </c>
      <c r="J37" s="20" t="n">
        <v>0.468975317228858</v>
      </c>
      <c r="K37" s="20" t="n">
        <v>0.597360522015869</v>
      </c>
      <c r="L37" s="20" t="n">
        <v>0.659905957851354</v>
      </c>
      <c r="M37" s="20" t="n">
        <v>0.339211278191417</v>
      </c>
      <c r="N37" s="20" t="n">
        <v>0.401756714026901</v>
      </c>
      <c r="O37" s="20" t="n">
        <v>0.427148603681298</v>
      </c>
    </row>
    <row r="38" customFormat="false" ht="15" hidden="false" customHeight="false" outlineLevel="0" collapsed="false">
      <c r="A38" s="18" t="n">
        <v>37</v>
      </c>
      <c r="B38" s="18" t="s">
        <v>84</v>
      </c>
      <c r="C38" s="18" t="s">
        <v>98</v>
      </c>
      <c r="D38" s="20" t="n">
        <v>0.329884211342004</v>
      </c>
      <c r="E38" s="20" t="n">
        <v>0.593301917633404</v>
      </c>
      <c r="F38" s="20" t="n">
        <v>0.797244251201233</v>
      </c>
      <c r="G38" s="20" t="n">
        <v>0.495478005294457</v>
      </c>
      <c r="H38" s="20" t="n">
        <v>0.699420338862286</v>
      </c>
      <c r="I38" s="20" t="n">
        <v>0.81721381816444</v>
      </c>
      <c r="J38" s="20" t="n">
        <v>0.467360039859229</v>
      </c>
      <c r="K38" s="20" t="n">
        <v>0.585153519161382</v>
      </c>
      <c r="L38" s="20" t="n">
        <v>0.639581860833729</v>
      </c>
      <c r="M38" s="20" t="n">
        <v>0.321735812869983</v>
      </c>
      <c r="N38" s="20" t="n">
        <v>0.37616415454233</v>
      </c>
      <c r="O38" s="20" t="n">
        <v>0.397122051891941</v>
      </c>
    </row>
    <row r="39" customFormat="false" ht="15" hidden="false" customHeight="false" outlineLevel="0" collapsed="false">
      <c r="A39" s="18" t="n">
        <v>38</v>
      </c>
      <c r="B39" s="18" t="s">
        <v>85</v>
      </c>
      <c r="C39" s="18" t="s">
        <v>91</v>
      </c>
      <c r="D39" s="20" t="n">
        <v>0.240325729910496</v>
      </c>
      <c r="E39" s="20" t="n">
        <v>0.480341014061777</v>
      </c>
      <c r="F39" s="20" t="n">
        <v>0.70201658660213</v>
      </c>
      <c r="G39" s="20" t="n">
        <v>0.418114808966849</v>
      </c>
      <c r="H39" s="20" t="n">
        <v>0.639790381507203</v>
      </c>
      <c r="I39" s="20" t="n">
        <v>0.792448355214792</v>
      </c>
      <c r="J39" s="20" t="n">
        <v>0.461690856691634</v>
      </c>
      <c r="K39" s="20" t="n">
        <v>0.614348830399224</v>
      </c>
      <c r="L39" s="20" t="n">
        <v>0.698451762154646</v>
      </c>
      <c r="M39" s="20" t="n">
        <v>0.374333546247943</v>
      </c>
      <c r="N39" s="20" t="n">
        <v>0.458436478003366</v>
      </c>
      <c r="O39" s="20" t="n">
        <v>0.49704840983846</v>
      </c>
    </row>
    <row r="40" customFormat="false" ht="15" hidden="false" customHeight="false" outlineLevel="0" collapsed="false">
      <c r="A40" s="18" t="n">
        <v>39</v>
      </c>
      <c r="B40" s="18" t="s">
        <v>85</v>
      </c>
      <c r="C40" s="18" t="s">
        <v>89</v>
      </c>
      <c r="D40" s="20" t="n">
        <v>0.208596478644739</v>
      </c>
      <c r="E40" s="20" t="n">
        <v>0.435414837532678</v>
      </c>
      <c r="F40" s="20" t="n">
        <v>0.659347363010518</v>
      </c>
      <c r="G40" s="20" t="n">
        <v>0.384085653330567</v>
      </c>
      <c r="H40" s="20" t="n">
        <v>0.608018178808407</v>
      </c>
      <c r="I40" s="20" t="n">
        <v>0.772940559387439</v>
      </c>
      <c r="J40" s="20" t="n">
        <v>0.450750884365778</v>
      </c>
      <c r="K40" s="20" t="n">
        <v>0.61567326494481</v>
      </c>
      <c r="L40" s="20" t="n">
        <v>0.71284321935966</v>
      </c>
      <c r="M40" s="20" t="n">
        <v>0.388854906056872</v>
      </c>
      <c r="N40" s="20" t="n">
        <v>0.486024860471722</v>
      </c>
      <c r="O40" s="20" t="n">
        <v>0.53373417281527</v>
      </c>
    </row>
    <row r="41" customFormat="false" ht="15" hidden="false" customHeight="false" outlineLevel="0" collapsed="false">
      <c r="A41" s="18" t="n">
        <v>40</v>
      </c>
      <c r="B41" s="18" t="s">
        <v>85</v>
      </c>
      <c r="C41" s="18" t="s">
        <v>97</v>
      </c>
      <c r="D41" s="20" t="n">
        <v>0.238625328163461</v>
      </c>
      <c r="E41" s="20" t="n">
        <v>0.47798597958878</v>
      </c>
      <c r="F41" s="20" t="n">
        <v>0.699850311510728</v>
      </c>
      <c r="G41" s="20" t="n">
        <v>0.416384746103302</v>
      </c>
      <c r="H41" s="20" t="n">
        <v>0.63824907802525</v>
      </c>
      <c r="I41" s="20" t="n">
        <v>0.791578815920128</v>
      </c>
      <c r="J41" s="20" t="n">
        <v>0.461224983347267</v>
      </c>
      <c r="K41" s="20" t="n">
        <v>0.614554721242146</v>
      </c>
      <c r="L41" s="20" t="n">
        <v>0.699327278666772</v>
      </c>
      <c r="M41" s="20" t="n">
        <v>0.375194069816827</v>
      </c>
      <c r="N41" s="20" t="n">
        <v>0.459966627241453</v>
      </c>
      <c r="O41" s="20" t="n">
        <v>0.499023991406292</v>
      </c>
    </row>
    <row r="42" customFormat="false" ht="15" hidden="false" customHeight="false" outlineLevel="0" collapsed="false">
      <c r="A42" s="18" t="n">
        <v>41</v>
      </c>
      <c r="B42" s="18" t="s">
        <v>85</v>
      </c>
      <c r="C42" s="18" t="s">
        <v>87</v>
      </c>
      <c r="D42" s="20" t="n">
        <v>0.233702499869568</v>
      </c>
      <c r="E42" s="20" t="n">
        <v>0.471163850344657</v>
      </c>
      <c r="F42" s="20" t="n">
        <v>0.693531692043117</v>
      </c>
      <c r="G42" s="20" t="n">
        <v>0.4113176433781</v>
      </c>
      <c r="H42" s="20" t="n">
        <v>0.63368548507656</v>
      </c>
      <c r="I42" s="20" t="n">
        <v>0.788944613855901</v>
      </c>
      <c r="J42" s="20" t="n">
        <v>0.459829192173549</v>
      </c>
      <c r="K42" s="20" t="n">
        <v>0.61508832095289</v>
      </c>
      <c r="L42" s="20" t="n">
        <v>0.701810922153501</v>
      </c>
      <c r="M42" s="20" t="n">
        <v>0.3776269704778</v>
      </c>
      <c r="N42" s="20" t="n">
        <v>0.464349571678411</v>
      </c>
      <c r="O42" s="20" t="n">
        <v>0.504716546222459</v>
      </c>
    </row>
    <row r="43" customFormat="false" ht="15" hidden="false" customHeight="false" outlineLevel="0" collapsed="false">
      <c r="A43" s="18" t="n">
        <v>42</v>
      </c>
      <c r="B43" s="18" t="s">
        <v>85</v>
      </c>
      <c r="C43" s="18" t="s">
        <v>98</v>
      </c>
      <c r="D43" s="20" t="n">
        <v>0.26477204553235</v>
      </c>
      <c r="E43" s="20" t="n">
        <v>0.513145243651683</v>
      </c>
      <c r="F43" s="20" t="n">
        <v>0.731403487845033</v>
      </c>
      <c r="G43" s="20" t="n">
        <v>0.44185826459077</v>
      </c>
      <c r="H43" s="20" t="n">
        <v>0.66011650878412</v>
      </c>
      <c r="I43" s="20" t="n">
        <v>0.803135807045643</v>
      </c>
      <c r="J43" s="20" t="n">
        <v>0.466631442312683</v>
      </c>
      <c r="K43" s="20" t="n">
        <v>0.609650740574206</v>
      </c>
      <c r="L43" s="20" t="n">
        <v>0.684624383840934</v>
      </c>
      <c r="M43" s="20" t="n">
        <v>0.361277542454874</v>
      </c>
      <c r="N43" s="20" t="n">
        <v>0.436251185721602</v>
      </c>
      <c r="O43" s="20" t="n">
        <v>0.469003450934604</v>
      </c>
    </row>
    <row r="44" customFormat="false" ht="15" hidden="false" customHeight="false" outlineLevel="0" collapsed="false">
      <c r="A44" s="18" t="n">
        <v>43</v>
      </c>
      <c r="B44" s="18" t="s">
        <v>86</v>
      </c>
      <c r="C44" s="18" t="s">
        <v>88</v>
      </c>
      <c r="D44" s="20" t="n">
        <v>0.293536816497602</v>
      </c>
      <c r="E44" s="20" t="n">
        <v>0.54980390524643</v>
      </c>
      <c r="F44" s="20" t="n">
        <v>0.762545394077766</v>
      </c>
      <c r="G44" s="20" t="n">
        <v>0.467208178576919</v>
      </c>
      <c r="H44" s="20" t="n">
        <v>0.679949667408256</v>
      </c>
      <c r="I44" s="20" t="n">
        <v>0.81167391761352</v>
      </c>
      <c r="J44" s="20" t="n">
        <v>0.469008577580164</v>
      </c>
      <c r="K44" s="20" t="n">
        <v>0.600732827785429</v>
      </c>
      <c r="L44" s="20" t="n">
        <v>0.665981137130093</v>
      </c>
      <c r="M44" s="20" t="n">
        <v>0.344465739036602</v>
      </c>
      <c r="N44" s="20" t="n">
        <v>0.409714048381265</v>
      </c>
      <c r="O44" s="20" t="n">
        <v>0.436647470952171</v>
      </c>
    </row>
    <row r="45" customFormat="false" ht="15" hidden="false" customHeight="false" outlineLevel="0" collapsed="false">
      <c r="A45" s="18" t="n">
        <v>44</v>
      </c>
      <c r="B45" s="18" t="s">
        <v>86</v>
      </c>
      <c r="C45" s="18" t="s">
        <v>99</v>
      </c>
      <c r="D45" s="20" t="n">
        <v>0.336129836337914</v>
      </c>
      <c r="E45" s="20" t="n">
        <v>0.600394081443094</v>
      </c>
      <c r="F45" s="20" t="n">
        <v>0.802674272547007</v>
      </c>
      <c r="G45" s="20" t="n">
        <v>0.499951798365597</v>
      </c>
      <c r="H45" s="20" t="n">
        <v>0.70223198946951</v>
      </c>
      <c r="I45" s="20" t="n">
        <v>0.817713471977819</v>
      </c>
      <c r="J45" s="20" t="n">
        <v>0.466544436209093</v>
      </c>
      <c r="K45" s="20" t="n">
        <v>0.582025918717402</v>
      </c>
      <c r="L45" s="20" t="n">
        <v>0.634768494169947</v>
      </c>
      <c r="M45" s="20" t="n">
        <v>0.317761673612222</v>
      </c>
      <c r="N45" s="20" t="n">
        <v>0.370504249064768</v>
      </c>
      <c r="O45" s="20" t="n">
        <v>0.390578024855094</v>
      </c>
    </row>
    <row r="46" customFormat="false" ht="15" hidden="false" customHeight="false" outlineLevel="0" collapsed="false">
      <c r="A46" s="18" t="n">
        <v>45</v>
      </c>
      <c r="B46" s="18" t="s">
        <v>86</v>
      </c>
      <c r="C46" s="18" t="s">
        <v>77</v>
      </c>
      <c r="D46" s="20" t="n">
        <v>0.358743754562847</v>
      </c>
      <c r="E46" s="20" t="n">
        <v>0.625568524849888</v>
      </c>
      <c r="F46" s="20" t="n">
        <v>0.821440879668821</v>
      </c>
      <c r="G46" s="20" t="n">
        <v>0.515152093092397</v>
      </c>
      <c r="H46" s="20" t="n">
        <v>0.71102444791133</v>
      </c>
      <c r="I46" s="20" t="n">
        <v>0.81823316171905</v>
      </c>
      <c r="J46" s="20" t="n">
        <v>0.462697125105973</v>
      </c>
      <c r="K46" s="20" t="n">
        <v>0.569905838913693</v>
      </c>
      <c r="L46" s="20" t="n">
        <v>0.616849506188967</v>
      </c>
      <c r="M46" s="20" t="n">
        <v>0.303081068626653</v>
      </c>
      <c r="N46" s="20" t="n">
        <v>0.350024735901927</v>
      </c>
      <c r="O46" s="20" t="n">
        <v>0.367154157405886</v>
      </c>
    </row>
    <row r="47" customFormat="false" ht="15" hidden="false" customHeight="false" outlineLevel="0" collapsed="false">
      <c r="A47" s="18" t="n">
        <v>46</v>
      </c>
      <c r="B47" s="18" t="s">
        <v>86</v>
      </c>
      <c r="C47" s="18" t="s">
        <v>79</v>
      </c>
      <c r="D47" s="20" t="n">
        <v>0.243567601542379</v>
      </c>
      <c r="E47" s="20" t="n">
        <v>0.485092299792048</v>
      </c>
      <c r="F47" s="20" t="n">
        <v>0.706365073719583</v>
      </c>
      <c r="G47" s="20" t="n">
        <v>0.42138552522706</v>
      </c>
      <c r="H47" s="20" t="n">
        <v>0.642658299154594</v>
      </c>
      <c r="I47" s="20" t="n">
        <v>0.793953684375213</v>
      </c>
      <c r="J47" s="20" t="n">
        <v>0.462797472177204</v>
      </c>
      <c r="K47" s="20" t="n">
        <v>0.614092857397823</v>
      </c>
      <c r="L47" s="20" t="n">
        <v>0.696851502061633</v>
      </c>
      <c r="M47" s="20" t="n">
        <v>0.372568159148154</v>
      </c>
      <c r="N47" s="20" t="n">
        <v>0.455326803811964</v>
      </c>
      <c r="O47" s="20" t="n">
        <v>0.4930509841001</v>
      </c>
    </row>
    <row r="48" customFormat="false" ht="15" hidden="false" customHeight="false" outlineLevel="0" collapsed="false">
      <c r="A48" s="18" t="n">
        <v>47</v>
      </c>
      <c r="B48" s="18" t="s">
        <v>86</v>
      </c>
      <c r="C48" s="18" t="s">
        <v>81</v>
      </c>
      <c r="D48" s="20" t="n">
        <v>0.362801066794272</v>
      </c>
      <c r="E48" s="20" t="n">
        <v>0.630070610074968</v>
      </c>
      <c r="F48" s="20" t="n">
        <v>0.824713901131381</v>
      </c>
      <c r="G48" s="20" t="n">
        <v>0.517690016386827</v>
      </c>
      <c r="H48" s="20" t="n">
        <v>0.712333307443241</v>
      </c>
      <c r="I48" s="20" t="n">
        <v>0.818053658479767</v>
      </c>
      <c r="J48" s="20" t="n">
        <v>0.461912834337109</v>
      </c>
      <c r="K48" s="20" t="n">
        <v>0.567633185373635</v>
      </c>
      <c r="L48" s="20" t="n">
        <v>0.613570726041489</v>
      </c>
      <c r="M48" s="20" t="n">
        <v>0.300363642092939</v>
      </c>
      <c r="N48" s="20" t="n">
        <v>0.346301182760794</v>
      </c>
      <c r="O48" s="20" t="n">
        <v>0.362935142242269</v>
      </c>
    </row>
    <row r="49" customFormat="false" ht="15" hidden="false" customHeight="false" outlineLevel="0" collapsed="false">
      <c r="A49" s="18" t="n">
        <v>48</v>
      </c>
      <c r="B49" s="18" t="s">
        <v>89</v>
      </c>
      <c r="C49" s="18" t="s">
        <v>73</v>
      </c>
      <c r="D49" s="20" t="n">
        <v>0.243090662375253</v>
      </c>
      <c r="E49" s="20" t="n">
        <v>0.484430011516507</v>
      </c>
      <c r="F49" s="20" t="n">
        <v>0.705760930626939</v>
      </c>
      <c r="G49" s="20" t="n">
        <v>0.420907225085362</v>
      </c>
      <c r="H49" s="20" t="n">
        <v>0.642238144195795</v>
      </c>
      <c r="I49" s="20" t="n">
        <v>0.793724304856651</v>
      </c>
      <c r="J49" s="20" t="n">
        <v>0.462670268251686</v>
      </c>
      <c r="K49" s="20" t="n">
        <v>0.614156428912542</v>
      </c>
      <c r="L49" s="20" t="n">
        <v>0.697102117527576</v>
      </c>
      <c r="M49" s="20" t="n">
        <v>0.372817079771288</v>
      </c>
      <c r="N49" s="20" t="n">
        <v>0.455762768386322</v>
      </c>
      <c r="O49" s="20" t="n">
        <v>0.49360993997947</v>
      </c>
    </row>
    <row r="50" customFormat="false" ht="15" hidden="false" customHeight="false" outlineLevel="0" collapsed="false">
      <c r="A50" s="18" t="n">
        <v>49</v>
      </c>
      <c r="B50" s="18" t="s">
        <v>89</v>
      </c>
      <c r="C50" s="18" t="s">
        <v>74</v>
      </c>
      <c r="D50" s="20" t="n">
        <v>0.239832365874186</v>
      </c>
      <c r="E50" s="20" t="n">
        <v>0.479948099822084</v>
      </c>
      <c r="F50" s="20" t="n">
        <v>0.701657010983587</v>
      </c>
      <c r="G50" s="20" t="n">
        <v>0.417618089651532</v>
      </c>
      <c r="H50" s="20" t="n">
        <v>0.639327000813035</v>
      </c>
      <c r="I50" s="20" t="n">
        <v>0.792098713961968</v>
      </c>
      <c r="J50" s="20" t="n">
        <v>0.461824645109401</v>
      </c>
      <c r="K50" s="20" t="n">
        <v>0.614596358258334</v>
      </c>
      <c r="L50" s="20" t="n">
        <v>0.698811994756439</v>
      </c>
      <c r="M50" s="20" t="n">
        <v>0.374480624310436</v>
      </c>
      <c r="N50" s="20" t="n">
        <v>0.458696260808542</v>
      </c>
      <c r="O50" s="20" t="n">
        <v>0.497382924309019</v>
      </c>
    </row>
    <row r="51" customFormat="false" ht="15" hidden="false" customHeight="false" outlineLevel="0" collapsed="false">
      <c r="A51" s="18" t="n">
        <v>50</v>
      </c>
      <c r="B51" s="18" t="s">
        <v>89</v>
      </c>
      <c r="C51" s="18" t="s">
        <v>92</v>
      </c>
      <c r="D51" s="20" t="n">
        <v>0.130877979910651</v>
      </c>
      <c r="E51" s="20" t="n">
        <v>0.310927170255904</v>
      </c>
      <c r="F51" s="20" t="n">
        <v>0.525006080692295</v>
      </c>
      <c r="G51" s="20" t="n">
        <v>0.282954845614277</v>
      </c>
      <c r="H51" s="20" t="n">
        <v>0.497033756050668</v>
      </c>
      <c r="I51" s="20" t="n">
        <v>0.687278258510865</v>
      </c>
      <c r="J51" s="20" t="n">
        <v>0.394128100781644</v>
      </c>
      <c r="K51" s="20" t="n">
        <v>0.584372603241841</v>
      </c>
      <c r="L51" s="20" t="n">
        <v>0.719623555865057</v>
      </c>
      <c r="M51" s="20" t="n">
        <v>0.404323412896588</v>
      </c>
      <c r="N51" s="20" t="n">
        <v>0.539574365519804</v>
      </c>
      <c r="O51" s="20" t="n">
        <v>0.619702919165811</v>
      </c>
    </row>
    <row r="52" customFormat="false" ht="15" hidden="false" customHeight="false" outlineLevel="0" collapsed="false">
      <c r="A52" s="18" t="n">
        <v>51</v>
      </c>
      <c r="B52" s="18" t="s">
        <v>89</v>
      </c>
      <c r="C52" s="18" t="s">
        <v>94</v>
      </c>
      <c r="D52" s="20" t="n">
        <v>0.248878075938153</v>
      </c>
      <c r="E52" s="20" t="n">
        <v>0.492266751498386</v>
      </c>
      <c r="F52" s="20" t="n">
        <v>0.712870182006573</v>
      </c>
      <c r="G52" s="20" t="n">
        <v>0.426656188448047</v>
      </c>
      <c r="H52" s="20" t="n">
        <v>0.647259618956234</v>
      </c>
      <c r="I52" s="20" t="n">
        <v>0.796473340661102</v>
      </c>
      <c r="J52" s="20" t="n">
        <v>0.46399210606842</v>
      </c>
      <c r="K52" s="20" t="n">
        <v>0.613205827773288</v>
      </c>
      <c r="L52" s="20" t="n">
        <v>0.69394703725939</v>
      </c>
      <c r="M52" s="20" t="n">
        <v>0.369817152213055</v>
      </c>
      <c r="N52" s="20" t="n">
        <v>0.450558361699157</v>
      </c>
      <c r="O52" s="20" t="n">
        <v>0.48696666938691</v>
      </c>
    </row>
    <row r="53" customFormat="false" ht="15" hidden="false" customHeight="false" outlineLevel="0" collapsed="false">
      <c r="A53" s="18" t="n">
        <v>52</v>
      </c>
      <c r="B53" s="18" t="s">
        <v>89</v>
      </c>
      <c r="C53" s="18" t="s">
        <v>97</v>
      </c>
      <c r="D53" s="20" t="n">
        <v>0.204704194761496</v>
      </c>
      <c r="E53" s="20" t="n">
        <v>0.42990974058563</v>
      </c>
      <c r="F53" s="20" t="n">
        <v>0.653921881021177</v>
      </c>
      <c r="G53" s="20" t="n">
        <v>0.379670268956957</v>
      </c>
      <c r="H53" s="20" t="n">
        <v>0.603682409392504</v>
      </c>
      <c r="I53" s="20" t="n">
        <v>0.770021884955852</v>
      </c>
      <c r="J53" s="20" t="n">
        <v>0.449217686259681</v>
      </c>
      <c r="K53" s="20" t="n">
        <v>0.615557161823028</v>
      </c>
      <c r="L53" s="20" t="n">
        <v>0.71436902470472</v>
      </c>
      <c r="M53" s="20" t="n">
        <v>0.390351615998895</v>
      </c>
      <c r="N53" s="20" t="n">
        <v>0.489163478880586</v>
      </c>
      <c r="O53" s="20" t="n">
        <v>0.538078427327044</v>
      </c>
    </row>
    <row r="54" customFormat="false" ht="15" hidden="false" customHeight="false" outlineLevel="0" collapsed="false">
      <c r="A54" s="18" t="n">
        <v>53</v>
      </c>
      <c r="B54" s="18" t="s">
        <v>94</v>
      </c>
      <c r="C54" s="18" t="s">
        <v>85</v>
      </c>
      <c r="D54" s="20" t="n">
        <v>0.228766555365577</v>
      </c>
      <c r="E54" s="20" t="n">
        <v>0.464536252150762</v>
      </c>
      <c r="F54" s="20" t="n">
        <v>0.687332531560921</v>
      </c>
      <c r="G54" s="20" t="n">
        <v>0.406160352978094</v>
      </c>
      <c r="H54" s="20" t="n">
        <v>0.628956632388253</v>
      </c>
      <c r="I54" s="20" t="n">
        <v>0.786067176363151</v>
      </c>
      <c r="J54" s="20" t="n">
        <v>0.458565976195344</v>
      </c>
      <c r="K54" s="20" t="n">
        <v>0.615676520170242</v>
      </c>
      <c r="L54" s="20" t="n">
        <v>0.704308962663221</v>
      </c>
      <c r="M54" s="20" t="n">
        <v>0.379906823385057</v>
      </c>
      <c r="N54" s="20" t="n">
        <v>0.468539265878036</v>
      </c>
      <c r="O54" s="20" t="n">
        <v>0.510206901414147</v>
      </c>
    </row>
    <row r="55" customFormat="false" ht="15" hidden="false" customHeight="false" outlineLevel="0" collapsed="false">
      <c r="A55" s="18" t="n">
        <v>54</v>
      </c>
      <c r="B55" s="18" t="s">
        <v>94</v>
      </c>
      <c r="C55" s="18" t="s">
        <v>86</v>
      </c>
      <c r="D55" s="20" t="n">
        <v>0.347063775232623</v>
      </c>
      <c r="E55" s="20" t="n">
        <v>0.612682641327083</v>
      </c>
      <c r="F55" s="20" t="n">
        <v>0.811933702470049</v>
      </c>
      <c r="G55" s="20" t="n">
        <v>0.507491329308745</v>
      </c>
      <c r="H55" s="20" t="n">
        <v>0.706742390451711</v>
      </c>
      <c r="I55" s="20" t="n">
        <v>0.818197312008934</v>
      </c>
      <c r="J55" s="20" t="n">
        <v>0.464869927237426</v>
      </c>
      <c r="K55" s="20" t="n">
        <v>0.576324848794648</v>
      </c>
      <c r="L55" s="20" t="n">
        <v>0.626200415702324</v>
      </c>
      <c r="M55" s="20" t="n">
        <v>0.310705982700189</v>
      </c>
      <c r="N55" s="20" t="n">
        <v>0.360581549607864</v>
      </c>
      <c r="O55" s="20" t="n">
        <v>0.379180789399209</v>
      </c>
    </row>
    <row r="56" customFormat="false" ht="15" hidden="false" customHeight="false" outlineLevel="0" collapsed="false">
      <c r="A56" s="18" t="n">
        <v>55</v>
      </c>
      <c r="B56" s="18" t="s">
        <v>94</v>
      </c>
      <c r="C56" s="18" t="s">
        <v>99</v>
      </c>
      <c r="D56" s="20" t="n">
        <v>0.316389447811329</v>
      </c>
      <c r="E56" s="20" t="n">
        <v>0.577432124134003</v>
      </c>
      <c r="F56" s="20" t="n">
        <v>0.784863743334404</v>
      </c>
      <c r="G56" s="20" t="n">
        <v>0.485471516655481</v>
      </c>
      <c r="H56" s="20" t="n">
        <v>0.692903135855882</v>
      </c>
      <c r="I56" s="20" t="n">
        <v>0.815832856021549</v>
      </c>
      <c r="J56" s="20" t="n">
        <v>0.468474295523076</v>
      </c>
      <c r="K56" s="20" t="n">
        <v>0.591404015688743</v>
      </c>
      <c r="L56" s="20" t="n">
        <v>0.649685260016918</v>
      </c>
      <c r="M56" s="20" t="n">
        <v>0.330361339366069</v>
      </c>
      <c r="N56" s="20" t="n">
        <v>0.388642583694243</v>
      </c>
      <c r="O56" s="20" t="n">
        <v>0.41166863627577</v>
      </c>
    </row>
    <row r="57" customFormat="false" ht="15" hidden="false" customHeight="false" outlineLevel="0" collapsed="false">
      <c r="A57" s="18" t="n">
        <v>56</v>
      </c>
      <c r="B57" s="18" t="s">
        <v>94</v>
      </c>
      <c r="C57" s="18" t="s">
        <v>90</v>
      </c>
      <c r="D57" s="20" t="n">
        <v>0.274471063238249</v>
      </c>
      <c r="E57" s="20" t="n">
        <v>0.525728887652824</v>
      </c>
      <c r="F57" s="20" t="n">
        <v>0.742292594591141</v>
      </c>
      <c r="G57" s="20" t="n">
        <v>0.45071127699203</v>
      </c>
      <c r="H57" s="20" t="n">
        <v>0.667274983930347</v>
      </c>
      <c r="I57" s="20" t="n">
        <v>0.806472465331955</v>
      </c>
      <c r="J57" s="20" t="n">
        <v>0.467821531352892</v>
      </c>
      <c r="K57" s="20" t="n">
        <v>0.607019012754501</v>
      </c>
      <c r="L57" s="20" t="n">
        <v>0.678594953534162</v>
      </c>
      <c r="M57" s="20" t="n">
        <v>0.355761188339926</v>
      </c>
      <c r="N57" s="20" t="n">
        <v>0.427337129119587</v>
      </c>
      <c r="O57" s="20" t="n">
        <v>0.458007675064504</v>
      </c>
    </row>
    <row r="58" customFormat="false" ht="15" hidden="false" customHeight="false" outlineLevel="0" collapsed="false">
      <c r="A58" s="18" t="n">
        <v>57</v>
      </c>
      <c r="B58" s="18" t="s">
        <v>94</v>
      </c>
      <c r="C58" s="18" t="s">
        <v>87</v>
      </c>
      <c r="D58" s="20" t="n">
        <v>0.276153555627353</v>
      </c>
      <c r="E58" s="20" t="n">
        <v>0.527957135244385</v>
      </c>
      <c r="F58" s="20" t="n">
        <v>0.744199100766593</v>
      </c>
      <c r="G58" s="20" t="n">
        <v>0.452209291988309</v>
      </c>
      <c r="H58" s="20" t="n">
        <v>0.668451257510517</v>
      </c>
      <c r="I58" s="20" t="n">
        <v>0.806965764910911</v>
      </c>
      <c r="J58" s="20" t="n">
        <v>0.46804554513924</v>
      </c>
      <c r="K58" s="20" t="n">
        <v>0.606560052539634</v>
      </c>
      <c r="L58" s="20" t="n">
        <v>0.677540793818193</v>
      </c>
      <c r="M58" s="20" t="n">
        <v>0.354756472922602</v>
      </c>
      <c r="N58" s="20" t="n">
        <v>0.425737214201162</v>
      </c>
      <c r="O58" s="20" t="n">
        <v>0.456048513519254</v>
      </c>
    </row>
    <row r="59" customFormat="false" ht="15" hidden="false" customHeight="false" outlineLevel="0" collapsed="false">
      <c r="A59" s="18" t="n">
        <v>58</v>
      </c>
      <c r="B59" s="18" t="s">
        <v>97</v>
      </c>
      <c r="C59" s="18" t="s">
        <v>73</v>
      </c>
      <c r="D59" s="20" t="n">
        <v>0.294196133937892</v>
      </c>
      <c r="E59" s="20" t="n">
        <v>0.550529206522361</v>
      </c>
      <c r="F59" s="20" t="n">
        <v>0.76314369678338</v>
      </c>
      <c r="G59" s="20" t="n">
        <v>0.467769898134464</v>
      </c>
      <c r="H59" s="20" t="n">
        <v>0.680384388395483</v>
      </c>
      <c r="I59" s="20" t="n">
        <v>0.81188038578858</v>
      </c>
      <c r="J59" s="20" t="n">
        <v>0.468947562845488</v>
      </c>
      <c r="K59" s="20" t="n">
        <v>0.600443560238586</v>
      </c>
      <c r="L59" s="20" t="n">
        <v>0.665504779007552</v>
      </c>
      <c r="M59" s="20" t="n">
        <v>0.344110487654116</v>
      </c>
      <c r="N59" s="20" t="n">
        <v>0.409171706423082</v>
      </c>
      <c r="O59" s="20" t="n">
        <v>0.435997378380287</v>
      </c>
    </row>
    <row r="60" customFormat="false" ht="15" hidden="false" customHeight="false" outlineLevel="0" collapsed="false">
      <c r="A60" s="18" t="n">
        <v>59</v>
      </c>
      <c r="B60" s="18" t="s">
        <v>97</v>
      </c>
      <c r="C60" s="18" t="s">
        <v>88</v>
      </c>
      <c r="D60" s="20" t="n">
        <v>0.252824112855636</v>
      </c>
      <c r="E60" s="20" t="n">
        <v>0.497323936403663</v>
      </c>
      <c r="F60" s="20" t="n">
        <v>0.717412571099666</v>
      </c>
      <c r="G60" s="20" t="n">
        <v>0.430513623283449</v>
      </c>
      <c r="H60" s="20" t="n">
        <v>0.650602257979452</v>
      </c>
      <c r="I60" s="20" t="n">
        <v>0.798332835461199</v>
      </c>
      <c r="J60" s="20" t="n">
        <v>0.464588458244031</v>
      </c>
      <c r="K60" s="20" t="n">
        <v>0.612319035725777</v>
      </c>
      <c r="L60" s="20" t="n">
        <v>0.691648251623673</v>
      </c>
      <c r="M60" s="20" t="n">
        <v>0.36781921217775</v>
      </c>
      <c r="N60" s="20" t="n">
        <v>0.447148428075645</v>
      </c>
      <c r="O60" s="20" t="n">
        <v>0.482647310581043</v>
      </c>
    </row>
    <row r="61" customFormat="false" ht="15" hidden="false" customHeight="false" outlineLevel="0" collapsed="false">
      <c r="A61" s="18" t="n">
        <v>60</v>
      </c>
      <c r="B61" s="18" t="s">
        <v>97</v>
      </c>
      <c r="C61" s="18" t="s">
        <v>86</v>
      </c>
      <c r="D61" s="20" t="n">
        <v>0.320574362211874</v>
      </c>
      <c r="E61" s="20" t="n">
        <v>0.582293147749607</v>
      </c>
      <c r="F61" s="20" t="n">
        <v>0.788689709327712</v>
      </c>
      <c r="G61" s="20" t="n">
        <v>0.488656331094699</v>
      </c>
      <c r="H61" s="20" t="n">
        <v>0.695052892672804</v>
      </c>
      <c r="I61" s="20" t="n">
        <v>0.816415073797958</v>
      </c>
      <c r="J61" s="20" t="n">
        <v>0.468115347115838</v>
      </c>
      <c r="K61" s="20" t="n">
        <v>0.589477528240992</v>
      </c>
      <c r="L61" s="20" t="n">
        <v>0.646566770018427</v>
      </c>
      <c r="M61" s="20" t="n">
        <v>0.327758742703258</v>
      </c>
      <c r="N61" s="20" t="n">
        <v>0.384847984480694</v>
      </c>
      <c r="O61" s="20" t="n">
        <v>0.407227152195233</v>
      </c>
    </row>
    <row r="62" customFormat="false" ht="15" hidden="false" customHeight="false" outlineLevel="0" collapsed="false">
      <c r="A62" s="18" t="n">
        <v>61</v>
      </c>
      <c r="B62" s="18" t="s">
        <v>97</v>
      </c>
      <c r="C62" s="18" t="s">
        <v>99</v>
      </c>
      <c r="D62" s="20" t="n">
        <v>0.293366736256516</v>
      </c>
      <c r="E62" s="20" t="n">
        <v>0.549515743485195</v>
      </c>
      <c r="F62" s="20" t="n">
        <v>0.762307319356417</v>
      </c>
      <c r="G62" s="20" t="n">
        <v>0.467076395247121</v>
      </c>
      <c r="H62" s="20" t="n">
        <v>0.679867971118343</v>
      </c>
      <c r="I62" s="20" t="n">
        <v>0.811682682900119</v>
      </c>
      <c r="J62" s="20" t="n">
        <v>0.468940583099901</v>
      </c>
      <c r="K62" s="20" t="n">
        <v>0.600755294881677</v>
      </c>
      <c r="L62" s="20" t="n">
        <v>0.666077874202685</v>
      </c>
      <c r="M62" s="20" t="n">
        <v>0.344606287652998</v>
      </c>
      <c r="N62" s="20" t="n">
        <v>0.409928866974006</v>
      </c>
      <c r="O62" s="20" t="n">
        <v>0.436905113349635</v>
      </c>
    </row>
    <row r="63" customFormat="false" ht="15" hidden="false" customHeight="false" outlineLevel="0" collapsed="false">
      <c r="A63" s="18" t="n">
        <v>62</v>
      </c>
      <c r="B63" s="18" t="s">
        <v>97</v>
      </c>
      <c r="C63" s="18" t="s">
        <v>90</v>
      </c>
      <c r="D63" s="20" t="n">
        <v>0.250757360172482</v>
      </c>
      <c r="E63" s="20" t="n">
        <v>0.494527064446571</v>
      </c>
      <c r="F63" s="20" t="n">
        <v>0.714904081876872</v>
      </c>
      <c r="G63" s="20" t="n">
        <v>0.428501626870533</v>
      </c>
      <c r="H63" s="20" t="n">
        <v>0.648878644300834</v>
      </c>
      <c r="I63" s="20" t="n">
        <v>0.797430291633234</v>
      </c>
      <c r="J63" s="20" t="n">
        <v>0.46414672170439</v>
      </c>
      <c r="K63" s="20" t="n">
        <v>0.61269836903679</v>
      </c>
      <c r="L63" s="20" t="n">
        <v>0.692806874660427</v>
      </c>
      <c r="M63" s="20" t="n">
        <v>0.368928664762701</v>
      </c>
      <c r="N63" s="20" t="n">
        <v>0.449037170386339</v>
      </c>
      <c r="O63" s="20" t="n">
        <v>0.485036842265287</v>
      </c>
    </row>
    <row r="64" customFormat="false" ht="15" hidden="false" customHeight="false" outlineLevel="0" collapsed="false">
      <c r="A64" s="18" t="n">
        <v>63</v>
      </c>
      <c r="B64" s="18" t="s">
        <v>99</v>
      </c>
      <c r="C64" s="18" t="s">
        <v>91</v>
      </c>
      <c r="D64" s="20" t="n">
        <v>0.299022838052422</v>
      </c>
      <c r="E64" s="20" t="n">
        <v>0.556461845043118</v>
      </c>
      <c r="F64" s="20" t="n">
        <v>0.768013192634593</v>
      </c>
      <c r="G64" s="20" t="n">
        <v>0.471753701106234</v>
      </c>
      <c r="H64" s="20" t="n">
        <v>0.683305048697709</v>
      </c>
      <c r="I64" s="20" t="n">
        <v>0.81292921818265</v>
      </c>
      <c r="J64" s="20" t="n">
        <v>0.468990354582171</v>
      </c>
      <c r="K64" s="20" t="n">
        <v>0.598614524067112</v>
      </c>
      <c r="L64" s="20" t="n">
        <v>0.662154371034603</v>
      </c>
      <c r="M64" s="20" t="n">
        <v>0.341175517076416</v>
      </c>
      <c r="N64" s="20" t="n">
        <v>0.404715364043907</v>
      </c>
      <c r="O64" s="20" t="n">
        <v>0.430670606860468</v>
      </c>
    </row>
    <row r="65" customFormat="false" ht="15" hidden="false" customHeight="false" outlineLevel="0" collapsed="false">
      <c r="A65" s="18" t="n">
        <v>64</v>
      </c>
      <c r="B65" s="18" t="s">
        <v>99</v>
      </c>
      <c r="C65" s="18" t="s">
        <v>83</v>
      </c>
      <c r="D65" s="20" t="n">
        <v>0.299091593345303</v>
      </c>
      <c r="E65" s="20" t="n">
        <v>0.556602267769734</v>
      </c>
      <c r="F65" s="20" t="n">
        <v>0.768127977794584</v>
      </c>
      <c r="G65" s="20" t="n">
        <v>0.471801577846804</v>
      </c>
      <c r="H65" s="20" t="n">
        <v>0.683327287871654</v>
      </c>
      <c r="I65" s="20" t="n">
        <v>0.812907100379441</v>
      </c>
      <c r="J65" s="20" t="n">
        <v>0.469036384449281</v>
      </c>
      <c r="K65" s="20" t="n">
        <v>0.598616196957068</v>
      </c>
      <c r="L65" s="20" t="n">
        <v>0.662120261054357</v>
      </c>
      <c r="M65" s="20" t="n">
        <v>0.341105522532636</v>
      </c>
      <c r="N65" s="20" t="n">
        <v>0.404609586629925</v>
      </c>
      <c r="O65" s="20" t="n">
        <v>0.430544478794232</v>
      </c>
    </row>
    <row r="66" customFormat="false" ht="15" hidden="false" customHeight="false" outlineLevel="0" collapsed="false">
      <c r="A66" s="18" t="n">
        <v>65</v>
      </c>
      <c r="B66" s="18" t="s">
        <v>99</v>
      </c>
      <c r="C66" s="18" t="s">
        <v>84</v>
      </c>
      <c r="D66" s="20" t="n">
        <v>0.344030352408325</v>
      </c>
      <c r="E66" s="20" t="n">
        <v>0.609301882214727</v>
      </c>
      <c r="F66" s="20" t="n">
        <v>0.80940512870564</v>
      </c>
      <c r="G66" s="20" t="n">
        <v>0.50543358617203</v>
      </c>
      <c r="H66" s="20" t="n">
        <v>0.705536832662943</v>
      </c>
      <c r="I66" s="20" t="n">
        <v>0.818101938553411</v>
      </c>
      <c r="J66" s="20" t="n">
        <v>0.465374776297314</v>
      </c>
      <c r="K66" s="20" t="n">
        <v>0.577939882187782</v>
      </c>
      <c r="L66" s="20" t="n">
        <v>0.628597343418758</v>
      </c>
      <c r="M66" s="20" t="n">
        <v>0.312668352381381</v>
      </c>
      <c r="N66" s="20" t="n">
        <v>0.363325813612357</v>
      </c>
      <c r="O66" s="20" t="n">
        <v>0.382323547990665</v>
      </c>
    </row>
    <row r="67" customFormat="false" ht="15" hidden="false" customHeight="false" outlineLevel="0" collapsed="false">
      <c r="A67" s="18" t="n">
        <v>66</v>
      </c>
      <c r="B67" s="18" t="s">
        <v>99</v>
      </c>
      <c r="C67" s="18" t="s">
        <v>85</v>
      </c>
      <c r="D67" s="20" t="n">
        <v>0.235472587770971</v>
      </c>
      <c r="E67" s="20" t="n">
        <v>0.473852099692879</v>
      </c>
      <c r="F67" s="20" t="n">
        <v>0.696030243755316</v>
      </c>
      <c r="G67" s="20" t="n">
        <v>0.413155539026374</v>
      </c>
      <c r="H67" s="20" t="n">
        <v>0.63533368308881</v>
      </c>
      <c r="I67" s="20" t="n">
        <v>0.789836655481569</v>
      </c>
      <c r="J67" s="20" t="n">
        <v>0.460557655984345</v>
      </c>
      <c r="K67" s="20" t="n">
        <v>0.615060628377104</v>
      </c>
      <c r="L67" s="20" t="n">
        <v>0.701013883874601</v>
      </c>
      <c r="M67" s="20" t="n">
        <v>0.376681116455196</v>
      </c>
      <c r="N67" s="20" t="n">
        <v>0.462634371952692</v>
      </c>
      <c r="O67" s="20" t="n">
        <v>0.502482376256439</v>
      </c>
    </row>
    <row r="68" customFormat="false" ht="15" hidden="false" customHeight="false" outlineLevel="0" collapsed="false">
      <c r="A68" s="18" t="n">
        <v>67</v>
      </c>
      <c r="B68" s="18" t="s">
        <v>99</v>
      </c>
      <c r="C68" s="18" t="s">
        <v>98</v>
      </c>
      <c r="D68" s="20" t="n">
        <v>0.302398147679733</v>
      </c>
      <c r="E68" s="20" t="n">
        <v>0.560753994439806</v>
      </c>
      <c r="F68" s="20" t="n">
        <v>0.771508200918843</v>
      </c>
      <c r="G68" s="20" t="n">
        <v>0.474468268424322</v>
      </c>
      <c r="H68" s="20" t="n">
        <v>0.685222474903359</v>
      </c>
      <c r="I68" s="20" t="n">
        <v>0.813486283268034</v>
      </c>
      <c r="J68" s="20" t="n">
        <v>0.46911005323911</v>
      </c>
      <c r="K68" s="20" t="n">
        <v>0.597373861603785</v>
      </c>
      <c r="L68" s="20" t="n">
        <v>0.659822359542911</v>
      </c>
      <c r="M68" s="20" t="n">
        <v>0.339018014843713</v>
      </c>
      <c r="N68" s="20" t="n">
        <v>0.401466512782838</v>
      </c>
      <c r="O68" s="20" t="n">
        <v>0.426803712630132</v>
      </c>
    </row>
    <row r="69" customFormat="false" ht="15" hidden="false" customHeight="false" outlineLevel="0" collapsed="false">
      <c r="A69" s="18" t="n">
        <v>68</v>
      </c>
      <c r="B69" s="18" t="s">
        <v>90</v>
      </c>
      <c r="C69" s="18" t="s">
        <v>73</v>
      </c>
      <c r="D69" s="20" t="n">
        <v>0.271494469041891</v>
      </c>
      <c r="E69" s="20" t="n">
        <v>0.521903107328392</v>
      </c>
      <c r="F69" s="20" t="n">
        <v>0.739004231076914</v>
      </c>
      <c r="G69" s="20" t="n">
        <v>0.448027021863654</v>
      </c>
      <c r="H69" s="20" t="n">
        <v>0.665128145612175</v>
      </c>
      <c r="I69" s="20" t="n">
        <v>0.805494171589327</v>
      </c>
      <c r="J69" s="20" t="n">
        <v>0.467509762035022</v>
      </c>
      <c r="K69" s="20" t="n">
        <v>0.607875788012174</v>
      </c>
      <c r="L69" s="20" t="n">
        <v>0.68047834633496</v>
      </c>
      <c r="M69" s="20" t="n">
        <v>0.357467149725673</v>
      </c>
      <c r="N69" s="20" t="n">
        <v>0.43006970804846</v>
      </c>
      <c r="O69" s="20" t="n">
        <v>0.461363673464467</v>
      </c>
    </row>
    <row r="70" customFormat="false" ht="15" hidden="false" customHeight="false" outlineLevel="0" collapsed="false">
      <c r="A70" s="18" t="n">
        <v>69</v>
      </c>
      <c r="B70" s="18" t="s">
        <v>90</v>
      </c>
      <c r="C70" s="18" t="s">
        <v>74</v>
      </c>
      <c r="D70" s="20" t="n">
        <v>0.266828837379244</v>
      </c>
      <c r="E70" s="20" t="n">
        <v>0.515844792288792</v>
      </c>
      <c r="F70" s="20" t="n">
        <v>0.733757252171721</v>
      </c>
      <c r="G70" s="20" t="n">
        <v>0.443761385951123</v>
      </c>
      <c r="H70" s="20" t="n">
        <v>0.661673845834052</v>
      </c>
      <c r="I70" s="20" t="n">
        <v>0.803878603641571</v>
      </c>
      <c r="J70" s="20" t="n">
        <v>0.466928414792477</v>
      </c>
      <c r="K70" s="20" t="n">
        <v>0.609133172599996</v>
      </c>
      <c r="L70" s="20" t="n">
        <v>0.683372867398391</v>
      </c>
      <c r="M70" s="20" t="n">
        <v>0.360117217690448</v>
      </c>
      <c r="N70" s="20" t="n">
        <v>0.434356912488843</v>
      </c>
      <c r="O70" s="20" t="n">
        <v>0.466655013063057</v>
      </c>
    </row>
    <row r="71" customFormat="false" ht="15" hidden="false" customHeight="false" outlineLevel="0" collapsed="false">
      <c r="A71" s="18" t="n">
        <v>70</v>
      </c>
      <c r="B71" s="18" t="s">
        <v>90</v>
      </c>
      <c r="C71" s="18" t="s">
        <v>99</v>
      </c>
      <c r="D71" s="20" t="n">
        <v>0.269642236607157</v>
      </c>
      <c r="E71" s="20" t="n">
        <v>0.519527029816684</v>
      </c>
      <c r="F71" s="20" t="n">
        <v>0.736952216139584</v>
      </c>
      <c r="G71" s="20" t="n">
        <v>0.446340843917538</v>
      </c>
      <c r="H71" s="20" t="n">
        <v>0.663766030240438</v>
      </c>
      <c r="I71" s="20" t="n">
        <v>0.804854995294494</v>
      </c>
      <c r="J71" s="20" t="n">
        <v>0.467309979532427</v>
      </c>
      <c r="K71" s="20" t="n">
        <v>0.608398944586483</v>
      </c>
      <c r="L71" s="20" t="n">
        <v>0.681641962644058</v>
      </c>
      <c r="M71" s="20" t="n">
        <v>0.358514151376956</v>
      </c>
      <c r="N71" s="20" t="n">
        <v>0.431757169434531</v>
      </c>
      <c r="O71" s="20" t="n">
        <v>0.463442494671973</v>
      </c>
    </row>
    <row r="72" customFormat="false" ht="15" hidden="false" customHeight="false" outlineLevel="0" collapsed="false">
      <c r="A72" s="18" t="n">
        <v>71</v>
      </c>
      <c r="B72" s="18" t="s">
        <v>90</v>
      </c>
      <c r="C72" s="18" t="s">
        <v>81</v>
      </c>
      <c r="D72" s="20" t="n">
        <v>0.294889617502971</v>
      </c>
      <c r="E72" s="20" t="n">
        <v>0.551435195068806</v>
      </c>
      <c r="F72" s="20" t="n">
        <v>0.763890340766602</v>
      </c>
      <c r="G72" s="20" t="n">
        <v>0.468339974285264</v>
      </c>
      <c r="H72" s="20" t="n">
        <v>0.68079511998306</v>
      </c>
      <c r="I72" s="20" t="n">
        <v>0.812006019704946</v>
      </c>
      <c r="J72" s="20" t="n">
        <v>0.46900072326363</v>
      </c>
      <c r="K72" s="20" t="n">
        <v>0.600211622985516</v>
      </c>
      <c r="L72" s="20" t="n">
        <v>0.665039613474637</v>
      </c>
      <c r="M72" s="20" t="n">
        <v>0.343666045419682</v>
      </c>
      <c r="N72" s="20" t="n">
        <v>0.408494035908802</v>
      </c>
      <c r="O72" s="20" t="n">
        <v>0.435185596085113</v>
      </c>
    </row>
    <row r="73" customFormat="false" ht="15" hidden="false" customHeight="false" outlineLevel="0" collapsed="false">
      <c r="A73" s="18" t="n">
        <v>72</v>
      </c>
      <c r="B73" s="18" t="s">
        <v>77</v>
      </c>
      <c r="C73" s="18" t="s">
        <v>88</v>
      </c>
      <c r="D73" s="20" t="n">
        <v>0.240567966830967</v>
      </c>
      <c r="E73" s="20" t="n">
        <v>0.481030809357228</v>
      </c>
      <c r="F73" s="20" t="n">
        <v>0.702651409272552</v>
      </c>
      <c r="G73" s="20" t="n">
        <v>0.418364929353821</v>
      </c>
      <c r="H73" s="20" t="n">
        <v>0.639985529269145</v>
      </c>
      <c r="I73" s="20" t="n">
        <v>0.792448152898918</v>
      </c>
      <c r="J73" s="20" t="n">
        <v>0.462083442441585</v>
      </c>
      <c r="K73" s="20" t="n">
        <v>0.614546066071358</v>
      </c>
      <c r="L73" s="20" t="n">
        <v>0.698454697716449</v>
      </c>
      <c r="M73" s="20" t="n">
        <v>0.374083223545097</v>
      </c>
      <c r="N73" s="20" t="n">
        <v>0.457991855190189</v>
      </c>
      <c r="O73" s="20" t="n">
        <v>0.496474830541405</v>
      </c>
    </row>
    <row r="74" customFormat="false" ht="15" hidden="false" customHeight="false" outlineLevel="0" collapsed="false">
      <c r="A74" s="18" t="n">
        <v>73</v>
      </c>
      <c r="B74" s="18" t="s">
        <v>77</v>
      </c>
      <c r="C74" s="18" t="s">
        <v>83</v>
      </c>
      <c r="D74" s="20" t="n">
        <v>0.257658618804067</v>
      </c>
      <c r="E74" s="20" t="n">
        <v>0.504134746940303</v>
      </c>
      <c r="F74" s="20" t="n">
        <v>0.723478219470015</v>
      </c>
      <c r="G74" s="20" t="n">
        <v>0.43515112970471</v>
      </c>
      <c r="H74" s="20" t="n">
        <v>0.654494602234422</v>
      </c>
      <c r="I74" s="20" t="n">
        <v>0.800212174923728</v>
      </c>
      <c r="J74" s="20" t="n">
        <v>0.465819600665948</v>
      </c>
      <c r="K74" s="20" t="n">
        <v>0.611537173355255</v>
      </c>
      <c r="L74" s="20" t="n">
        <v>0.688981414555866</v>
      </c>
      <c r="M74" s="20" t="n">
        <v>0.365061045219019</v>
      </c>
      <c r="N74" s="20" t="n">
        <v>0.442505286419631</v>
      </c>
      <c r="O74" s="20" t="n">
        <v>0.476804572728807</v>
      </c>
    </row>
    <row r="75" customFormat="false" ht="15" hidden="false" customHeight="false" outlineLevel="0" collapsed="false">
      <c r="A75" s="18" t="n">
        <v>74</v>
      </c>
      <c r="B75" s="18" t="s">
        <v>77</v>
      </c>
      <c r="C75" s="18" t="s">
        <v>84</v>
      </c>
      <c r="D75" s="20" t="n">
        <v>0.303893049066314</v>
      </c>
      <c r="E75" s="20" t="n">
        <v>0.56273396019414</v>
      </c>
      <c r="F75" s="20" t="n">
        <v>0.773112749726203</v>
      </c>
      <c r="G75" s="20" t="n">
        <v>0.475643940391091</v>
      </c>
      <c r="H75" s="20" t="n">
        <v>0.686022729923154</v>
      </c>
      <c r="I75" s="20" t="n">
        <v>0.813657526989605</v>
      </c>
      <c r="J75" s="20" t="n">
        <v>0.469219700659889</v>
      </c>
      <c r="K75" s="20" t="n">
        <v>0.59685449772634</v>
      </c>
      <c r="L75" s="20" t="n">
        <v>0.658802345067523</v>
      </c>
      <c r="M75" s="20" t="n">
        <v>0.338013586598514</v>
      </c>
      <c r="N75" s="20" t="n">
        <v>0.399961433939698</v>
      </c>
      <c r="O75" s="20" t="n">
        <v>0.425016877794666</v>
      </c>
    </row>
    <row r="76" customFormat="false" ht="15" hidden="false" customHeight="false" outlineLevel="0" collapsed="false">
      <c r="A76" s="18" t="n">
        <v>75</v>
      </c>
      <c r="B76" s="18" t="s">
        <v>77</v>
      </c>
      <c r="C76" s="18" t="s">
        <v>85</v>
      </c>
      <c r="D76" s="20" t="n">
        <v>0.18135427151663</v>
      </c>
      <c r="E76" s="20" t="n">
        <v>0.394630457627446</v>
      </c>
      <c r="F76" s="20" t="n">
        <v>0.61806738915015</v>
      </c>
      <c r="G76" s="20" t="n">
        <v>0.351780099306364</v>
      </c>
      <c r="H76" s="20" t="n">
        <v>0.575217030829068</v>
      </c>
      <c r="I76" s="20" t="n">
        <v>0.750081023408082</v>
      </c>
      <c r="J76" s="20" t="n">
        <v>0.43671311763352</v>
      </c>
      <c r="K76" s="20" t="n">
        <v>0.611577110212535</v>
      </c>
      <c r="L76" s="20" t="n">
        <v>0.721057367365338</v>
      </c>
      <c r="M76" s="20" t="n">
        <v>0.398300924101718</v>
      </c>
      <c r="N76" s="20" t="n">
        <v>0.507781181254521</v>
      </c>
      <c r="O76" s="20" t="n">
        <v>0.564901415717257</v>
      </c>
    </row>
    <row r="77" customFormat="false" ht="15" hidden="false" customHeight="false" outlineLevel="0" collapsed="false">
      <c r="A77" s="18" t="n">
        <v>76</v>
      </c>
      <c r="B77" s="18" t="s">
        <v>77</v>
      </c>
      <c r="C77" s="18" t="s">
        <v>89</v>
      </c>
      <c r="D77" s="20" t="n">
        <v>0.288101431013452</v>
      </c>
      <c r="E77" s="20" t="n">
        <v>0.542992261755171</v>
      </c>
      <c r="F77" s="20" t="n">
        <v>0.756891790981948</v>
      </c>
      <c r="G77" s="20" t="n">
        <v>0.462629910356224</v>
      </c>
      <c r="H77" s="20" t="n">
        <v>0.676529439583001</v>
      </c>
      <c r="I77" s="20" t="n">
        <v>0.810387873219712</v>
      </c>
      <c r="J77" s="20" t="n">
        <v>0.468790359968496</v>
      </c>
      <c r="K77" s="20" t="n">
        <v>0.602648793605207</v>
      </c>
      <c r="L77" s="20" t="n">
        <v>0.669663734013708</v>
      </c>
      <c r="M77" s="20" t="n">
        <v>0.347757962863488</v>
      </c>
      <c r="N77" s="20" t="n">
        <v>0.41477290327199</v>
      </c>
      <c r="O77" s="20" t="n">
        <v>0.442731559019595</v>
      </c>
    </row>
    <row r="78" customFormat="false" ht="15" hidden="false" customHeight="false" outlineLevel="0" collapsed="false">
      <c r="A78" s="18" t="n">
        <v>77</v>
      </c>
      <c r="B78" s="18" t="s">
        <v>77</v>
      </c>
      <c r="C78" s="18" t="s">
        <v>79</v>
      </c>
      <c r="D78" s="20" t="n">
        <v>0.179693936034717</v>
      </c>
      <c r="E78" s="20" t="n">
        <v>0.392044930506783</v>
      </c>
      <c r="F78" s="20" t="n">
        <v>0.615364944096109</v>
      </c>
      <c r="G78" s="20" t="n">
        <v>0.349708934424404</v>
      </c>
      <c r="H78" s="20" t="n">
        <v>0.57302894801373</v>
      </c>
      <c r="I78" s="20" t="n">
        <v>0.748477407462069</v>
      </c>
      <c r="J78" s="20" t="n">
        <v>0.435671008061392</v>
      </c>
      <c r="K78" s="20" t="n">
        <v>0.611119467509732</v>
      </c>
      <c r="L78" s="20" t="n">
        <v>0.721390504764467</v>
      </c>
      <c r="M78" s="20" t="n">
        <v>0.398768473037665</v>
      </c>
      <c r="N78" s="20" t="n">
        <v>0.5090395102924</v>
      </c>
      <c r="O78" s="20" t="n">
        <v>0.56679484622538</v>
      </c>
    </row>
    <row r="79" customFormat="false" ht="15" hidden="false" customHeight="false" outlineLevel="0" collapsed="false">
      <c r="A79" s="18" t="n">
        <v>78</v>
      </c>
      <c r="B79" s="18" t="s">
        <v>79</v>
      </c>
      <c r="C79" s="18" t="s">
        <v>91</v>
      </c>
      <c r="D79" s="20" t="n">
        <v>0.240311763507</v>
      </c>
      <c r="E79" s="20" t="n">
        <v>0.480324630495064</v>
      </c>
      <c r="F79" s="20" t="n">
        <v>0.702001551076228</v>
      </c>
      <c r="G79" s="20" t="n">
        <v>0.418100677807323</v>
      </c>
      <c r="H79" s="20" t="n">
        <v>0.639777598388487</v>
      </c>
      <c r="I79" s="20" t="n">
        <v>0.792440264810426</v>
      </c>
      <c r="J79" s="20" t="n">
        <v>0.461689787569228</v>
      </c>
      <c r="K79" s="20" t="n">
        <v>0.614352453991167</v>
      </c>
      <c r="L79" s="20" t="n">
        <v>0.698460045013114</v>
      </c>
      <c r="M79" s="20" t="n">
        <v>0.374339587003103</v>
      </c>
      <c r="N79" s="20" t="n">
        <v>0.45844717802505</v>
      </c>
      <c r="O79" s="20" t="n">
        <v>0.497062201119843</v>
      </c>
    </row>
    <row r="80" customFormat="false" ht="15" hidden="false" customHeight="false" outlineLevel="0" collapsed="false">
      <c r="A80" s="18" t="n">
        <v>79</v>
      </c>
      <c r="B80" s="18" t="s">
        <v>79</v>
      </c>
      <c r="C80" s="18" t="s">
        <v>83</v>
      </c>
      <c r="D80" s="20" t="n">
        <v>0.250178661690213</v>
      </c>
      <c r="E80" s="20" t="n">
        <v>0.49373201056332</v>
      </c>
      <c r="F80" s="20" t="n">
        <v>0.714189042501858</v>
      </c>
      <c r="G80" s="20" t="n">
        <v>0.427935682846335</v>
      </c>
      <c r="H80" s="20" t="n">
        <v>0.648392714784873</v>
      </c>
      <c r="I80" s="20" t="n">
        <v>0.797177066122731</v>
      </c>
      <c r="J80" s="20" t="n">
        <v>0.464010380811646</v>
      </c>
      <c r="K80" s="20" t="n">
        <v>0.612794732149504</v>
      </c>
      <c r="L80" s="20" t="n">
        <v>0.693125245568368</v>
      </c>
      <c r="M80" s="20" t="n">
        <v>0.369241383276397</v>
      </c>
      <c r="N80" s="20" t="n">
        <v>0.449571896695261</v>
      </c>
      <c r="O80" s="20" t="n">
        <v>0.485714762348994</v>
      </c>
    </row>
    <row r="81" customFormat="false" ht="15" hidden="false" customHeight="false" outlineLevel="0" collapsed="false">
      <c r="A81" s="18" t="n">
        <v>80</v>
      </c>
      <c r="B81" s="18" t="s">
        <v>79</v>
      </c>
      <c r="C81" s="18" t="s">
        <v>92</v>
      </c>
      <c r="D81" s="20" t="n">
        <v>0.206340308353245</v>
      </c>
      <c r="E81" s="20" t="n">
        <v>0.432070128745918</v>
      </c>
      <c r="F81" s="20" t="n">
        <v>0.656054639991946</v>
      </c>
      <c r="G81" s="20" t="n">
        <v>0.381516779184915</v>
      </c>
      <c r="H81" s="20" t="n">
        <v>0.605501290430943</v>
      </c>
      <c r="I81" s="20" t="n">
        <v>0.77128515142024</v>
      </c>
      <c r="J81" s="20" t="n">
        <v>0.449714331638701</v>
      </c>
      <c r="K81" s="20" t="n">
        <v>0.615498192627999</v>
      </c>
      <c r="L81" s="20" t="n">
        <v>0.713663153809014</v>
      </c>
      <c r="M81" s="20" t="n">
        <v>0.389768372235325</v>
      </c>
      <c r="N81" s="20" t="n">
        <v>0.48793333341634</v>
      </c>
      <c r="O81" s="20" t="n">
        <v>0.536371701432413</v>
      </c>
    </row>
    <row r="82" customFormat="false" ht="15" hidden="false" customHeight="false" outlineLevel="0" collapsed="false">
      <c r="A82" s="18" t="n">
        <v>81</v>
      </c>
      <c r="B82" s="18" t="s">
        <v>79</v>
      </c>
      <c r="C82" s="18" t="s">
        <v>84</v>
      </c>
      <c r="D82" s="20" t="n">
        <v>0.29102972802717</v>
      </c>
      <c r="E82" s="20" t="n">
        <v>0.54658570896727</v>
      </c>
      <c r="F82" s="20" t="n">
        <v>0.759881691409893</v>
      </c>
      <c r="G82" s="20" t="n">
        <v>0.465119027597924</v>
      </c>
      <c r="H82" s="20" t="n">
        <v>0.678415010040547</v>
      </c>
      <c r="I82" s="20" t="n">
        <v>0.811149276407833</v>
      </c>
      <c r="J82" s="20" t="n">
        <v>0.468851963382723</v>
      </c>
      <c r="K82" s="20" t="n">
        <v>0.601586229750009</v>
      </c>
      <c r="L82" s="20" t="n">
        <v>0.667666744783812</v>
      </c>
      <c r="M82" s="20" t="n">
        <v>0.346030248809909</v>
      </c>
      <c r="N82" s="20" t="n">
        <v>0.412110763843712</v>
      </c>
      <c r="O82" s="20" t="n">
        <v>0.439525403299923</v>
      </c>
    </row>
    <row r="83" customFormat="false" ht="15" hidden="false" customHeight="false" outlineLevel="0" collapsed="false">
      <c r="A83" s="18" t="n">
        <v>82</v>
      </c>
      <c r="B83" s="18" t="s">
        <v>79</v>
      </c>
      <c r="C83" s="18" t="s">
        <v>97</v>
      </c>
      <c r="D83" s="20" t="n">
        <v>0.239020534411089</v>
      </c>
      <c r="E83" s="20" t="n">
        <v>0.478530331368083</v>
      </c>
      <c r="F83" s="20" t="n">
        <v>0.700351703855021</v>
      </c>
      <c r="G83" s="20" t="n">
        <v>0.416787726950969</v>
      </c>
      <c r="H83" s="20" t="n">
        <v>0.638609099437907</v>
      </c>
      <c r="I83" s="20" t="n">
        <v>0.791783810720465</v>
      </c>
      <c r="J83" s="20" t="n">
        <v>0.461331169443933</v>
      </c>
      <c r="K83" s="20" t="n">
        <v>0.61450588072649</v>
      </c>
      <c r="L83" s="20" t="n">
        <v>0.699123487816181</v>
      </c>
      <c r="M83" s="20" t="n">
        <v>0.374996083769495</v>
      </c>
      <c r="N83" s="20" t="n">
        <v>0.459613690859187</v>
      </c>
      <c r="O83" s="20" t="n">
        <v>0.498567789796452</v>
      </c>
    </row>
    <row r="84" customFormat="false" ht="15" hidden="false" customHeight="false" outlineLevel="0" collapsed="false">
      <c r="A84" s="18" t="n">
        <v>83</v>
      </c>
      <c r="B84" s="18" t="s">
        <v>87</v>
      </c>
      <c r="C84" s="18" t="s">
        <v>88</v>
      </c>
      <c r="D84" s="20" t="n">
        <v>0.248940112131308</v>
      </c>
      <c r="E84" s="20" t="n">
        <v>0.492092211301852</v>
      </c>
      <c r="F84" s="20" t="n">
        <v>0.71271171218382</v>
      </c>
      <c r="G84" s="20" t="n">
        <v>0.426719656126095</v>
      </c>
      <c r="H84" s="20" t="n">
        <v>0.647339157008063</v>
      </c>
      <c r="I84" s="20" t="n">
        <v>0.796602678188079</v>
      </c>
      <c r="J84" s="20" t="n">
        <v>0.463771600052513</v>
      </c>
      <c r="K84" s="20" t="n">
        <v>0.613035121232528</v>
      </c>
      <c r="L84" s="20" t="n">
        <v>0.693824348534702</v>
      </c>
      <c r="M84" s="20" t="n">
        <v>0.369883022061983</v>
      </c>
      <c r="N84" s="20" t="n">
        <v>0.450672249364158</v>
      </c>
      <c r="O84" s="20" t="n">
        <v>0.487111713365383</v>
      </c>
    </row>
    <row r="85" customFormat="false" ht="15" hidden="false" customHeight="false" outlineLevel="0" collapsed="false">
      <c r="A85" s="18" t="n">
        <v>84</v>
      </c>
      <c r="B85" s="18" t="s">
        <v>87</v>
      </c>
      <c r="C85" s="18" t="s">
        <v>91</v>
      </c>
      <c r="D85" s="20" t="n">
        <v>0.267456356869179</v>
      </c>
      <c r="E85" s="20" t="n">
        <v>0.516611162855472</v>
      </c>
      <c r="F85" s="20" t="n">
        <v>0.734423578508063</v>
      </c>
      <c r="G85" s="20" t="n">
        <v>0.444342454615296</v>
      </c>
      <c r="H85" s="20" t="n">
        <v>0.662154870267888</v>
      </c>
      <c r="I85" s="20" t="n">
        <v>0.804127731053426</v>
      </c>
      <c r="J85" s="20" t="n">
        <v>0.466967221638885</v>
      </c>
      <c r="K85" s="20" t="n">
        <v>0.608940082424423</v>
      </c>
      <c r="L85" s="20" t="n">
        <v>0.682971833605325</v>
      </c>
      <c r="M85" s="20" t="n">
        <v>0.35978527643813</v>
      </c>
      <c r="N85" s="20" t="n">
        <v>0.433817027619031</v>
      </c>
      <c r="O85" s="20" t="n">
        <v>0.465986909434155</v>
      </c>
    </row>
    <row r="86" customFormat="false" ht="15" hidden="false" customHeight="false" outlineLevel="0" collapsed="false">
      <c r="A86" s="18" t="n">
        <v>85</v>
      </c>
      <c r="B86" s="18" t="s">
        <v>87</v>
      </c>
      <c r="C86" s="18" t="s">
        <v>89</v>
      </c>
      <c r="D86" s="20" t="n">
        <v>0.248271691796078</v>
      </c>
      <c r="E86" s="20" t="n">
        <v>0.491210777346922</v>
      </c>
      <c r="F86" s="20" t="n">
        <v>0.711916115856198</v>
      </c>
      <c r="G86" s="20" t="n">
        <v>0.42606119711209</v>
      </c>
      <c r="H86" s="20" t="n">
        <v>0.646766535621365</v>
      </c>
      <c r="I86" s="20" t="n">
        <v>0.796287111479944</v>
      </c>
      <c r="J86" s="20" t="n">
        <v>0.463644424060119</v>
      </c>
      <c r="K86" s="20" t="n">
        <v>0.613164999918697</v>
      </c>
      <c r="L86" s="20" t="n">
        <v>0.694201200514783</v>
      </c>
      <c r="M86" s="20" t="n">
        <v>0.370225914367854</v>
      </c>
      <c r="N86" s="20" t="n">
        <v>0.451262114963939</v>
      </c>
      <c r="O86" s="20" t="n">
        <v>0.487861680883995</v>
      </c>
    </row>
    <row r="87" customFormat="false" ht="15" hidden="false" customHeight="false" outlineLevel="0" collapsed="false">
      <c r="A87" s="18" t="n">
        <v>86</v>
      </c>
      <c r="B87" s="18" t="s">
        <v>87</v>
      </c>
      <c r="C87" s="18" t="s">
        <v>97</v>
      </c>
      <c r="D87" s="20" t="n">
        <v>0.258503979579303</v>
      </c>
      <c r="E87" s="20" t="n">
        <v>0.504898073921137</v>
      </c>
      <c r="F87" s="20" t="n">
        <v>0.7241524617197</v>
      </c>
      <c r="G87" s="20" t="n">
        <v>0.435967467833173</v>
      </c>
      <c r="H87" s="20" t="n">
        <v>0.655221855631736</v>
      </c>
      <c r="I87" s="20" t="n">
        <v>0.800710738168361</v>
      </c>
      <c r="J87" s="20" t="n">
        <v>0.465648482140398</v>
      </c>
      <c r="K87" s="20" t="n">
        <v>0.611137364677023</v>
      </c>
      <c r="L87" s="20" t="n">
        <v>0.688370081082051</v>
      </c>
      <c r="M87" s="20" t="n">
        <v>0.364743270335188</v>
      </c>
      <c r="N87" s="20" t="n">
        <v>0.441975986740217</v>
      </c>
      <c r="O87" s="20" t="n">
        <v>0.4761417844934</v>
      </c>
    </row>
    <row r="88" customFormat="false" ht="15" hidden="false" customHeight="false" outlineLevel="0" collapsed="false">
      <c r="A88" s="18" t="n">
        <v>87</v>
      </c>
      <c r="B88" s="18" t="s">
        <v>87</v>
      </c>
      <c r="C88" s="18" t="s">
        <v>77</v>
      </c>
      <c r="D88" s="20" t="n">
        <v>0.293032166315999</v>
      </c>
      <c r="E88" s="20" t="n">
        <v>0.549123563255714</v>
      </c>
      <c r="F88" s="20" t="n">
        <v>0.761983335202056</v>
      </c>
      <c r="G88" s="20" t="n">
        <v>0.466793802906745</v>
      </c>
      <c r="H88" s="20" t="n">
        <v>0.679653574853087</v>
      </c>
      <c r="I88" s="20" t="n">
        <v>0.811591560087066</v>
      </c>
      <c r="J88" s="20" t="n">
        <v>0.468951168886057</v>
      </c>
      <c r="K88" s="20" t="n">
        <v>0.600889154120035</v>
      </c>
      <c r="L88" s="20" t="n">
        <v>0.666313003026497</v>
      </c>
      <c r="M88" s="20" t="n">
        <v>0.34479775718032</v>
      </c>
      <c r="N88" s="20" t="n">
        <v>0.410221606086782</v>
      </c>
      <c r="O88" s="20" t="n">
        <v>0.437256276947141</v>
      </c>
    </row>
    <row r="89" customFormat="false" ht="15" hidden="false" customHeight="false" outlineLevel="0" collapsed="false">
      <c r="A89" s="18" t="n">
        <v>88</v>
      </c>
      <c r="B89" s="18" t="s">
        <v>81</v>
      </c>
      <c r="C89" s="18" t="s">
        <v>84</v>
      </c>
      <c r="D89" s="20" t="n">
        <v>0.367774834565259</v>
      </c>
      <c r="E89" s="20" t="n">
        <v>0.635425921967804</v>
      </c>
      <c r="F89" s="20" t="n">
        <v>0.828574420119051</v>
      </c>
      <c r="G89" s="20" t="n">
        <v>0.520776366159052</v>
      </c>
      <c r="H89" s="20" t="n">
        <v>0.713924864310299</v>
      </c>
      <c r="I89" s="20" t="n">
        <v>0.817871916372911</v>
      </c>
      <c r="J89" s="20" t="n">
        <v>0.460799585553792</v>
      </c>
      <c r="K89" s="20" t="n">
        <v>0.564746637616404</v>
      </c>
      <c r="L89" s="20" t="n">
        <v>0.609499725467167</v>
      </c>
      <c r="M89" s="20" t="n">
        <v>0.297095550213858</v>
      </c>
      <c r="N89" s="20" t="n">
        <v>0.341848638064622</v>
      </c>
      <c r="O89" s="20" t="n">
        <v>0.357905201097083</v>
      </c>
    </row>
    <row r="90" customFormat="false" ht="15" hidden="false" customHeight="false" outlineLevel="0" collapsed="false">
      <c r="A90" s="18" t="n">
        <v>89</v>
      </c>
      <c r="B90" s="18" t="s">
        <v>81</v>
      </c>
      <c r="C90" s="18" t="s">
        <v>94</v>
      </c>
      <c r="D90" s="20" t="n">
        <v>0.348524626632591</v>
      </c>
      <c r="E90" s="20" t="n">
        <v>0.61430919413595</v>
      </c>
      <c r="F90" s="20" t="n">
        <v>0.81314517318971</v>
      </c>
      <c r="G90" s="20" t="n">
        <v>0.508471257020831</v>
      </c>
      <c r="H90" s="20" t="n">
        <v>0.70730723607459</v>
      </c>
      <c r="I90" s="20" t="n">
        <v>0.818227419757298</v>
      </c>
      <c r="J90" s="20" t="n">
        <v>0.464620546557119</v>
      </c>
      <c r="K90" s="20" t="n">
        <v>0.575540730239827</v>
      </c>
      <c r="L90" s="20" t="n">
        <v>0.625041981298134</v>
      </c>
      <c r="M90" s="20" t="n">
        <v>0.309756162736467</v>
      </c>
      <c r="N90" s="20" t="n">
        <v>0.359257413794775</v>
      </c>
      <c r="O90" s="20" t="n">
        <v>0.377666851516731</v>
      </c>
    </row>
    <row r="91" customFormat="false" ht="15" hidden="false" customHeight="false" outlineLevel="0" collapsed="false">
      <c r="A91" s="18" t="n">
        <v>90</v>
      </c>
      <c r="B91" s="18" t="s">
        <v>81</v>
      </c>
      <c r="C91" s="18" t="s">
        <v>79</v>
      </c>
      <c r="D91" s="20" t="n">
        <v>0.254928590212374</v>
      </c>
      <c r="E91" s="20" t="n">
        <v>0.50035141330151</v>
      </c>
      <c r="F91" s="20" t="n">
        <v>0.720116632729406</v>
      </c>
      <c r="G91" s="20" t="n">
        <v>0.432541956211005</v>
      </c>
      <c r="H91" s="20" t="n">
        <v>0.652307175638901</v>
      </c>
      <c r="I91" s="20" t="n">
        <v>0.799145640408442</v>
      </c>
      <c r="J91" s="20" t="n">
        <v>0.465188042517032</v>
      </c>
      <c r="K91" s="20" t="n">
        <v>0.612026507286573</v>
      </c>
      <c r="L91" s="20" t="n">
        <v>0.690515850748675</v>
      </c>
      <c r="M91" s="20" t="n">
        <v>0.366603684197436</v>
      </c>
      <c r="N91" s="20" t="n">
        <v>0.445093027659539</v>
      </c>
      <c r="O91" s="20" t="n">
        <v>0.480055353135025</v>
      </c>
    </row>
    <row r="92" customFormat="false" ht="15" hidden="false" customHeight="false" outlineLevel="0" collapsed="false">
      <c r="A92" s="18" t="n">
        <v>91</v>
      </c>
      <c r="B92" s="18" t="s">
        <v>81</v>
      </c>
      <c r="C92" s="18" t="s">
        <v>87</v>
      </c>
      <c r="D92" s="20" t="n">
        <v>0.302928061698203</v>
      </c>
      <c r="E92" s="20" t="n">
        <v>0.561302891404761</v>
      </c>
      <c r="F92" s="20" t="n">
        <v>0.771953242011009</v>
      </c>
      <c r="G92" s="20" t="n">
        <v>0.474910380453335</v>
      </c>
      <c r="H92" s="20" t="n">
        <v>0.685560731059584</v>
      </c>
      <c r="I92" s="20" t="n">
        <v>0.813649995185065</v>
      </c>
      <c r="J92" s="20" t="n">
        <v>0.469025180312806</v>
      </c>
      <c r="K92" s="20" t="n">
        <v>0.597114444438287</v>
      </c>
      <c r="L92" s="20" t="n">
        <v>0.659423800342946</v>
      </c>
      <c r="M92" s="20" t="n">
        <v>0.33873961473173</v>
      </c>
      <c r="N92" s="20" t="n">
        <v>0.401048970636389</v>
      </c>
      <c r="O92" s="20" t="n">
        <v>0.426307760927159</v>
      </c>
    </row>
    <row r="93" customFormat="false" ht="15" hidden="false" customHeight="false" outlineLevel="0" collapsed="false">
      <c r="A93" s="18" t="n">
        <v>92</v>
      </c>
      <c r="B93" s="18" t="s">
        <v>81</v>
      </c>
      <c r="C93" s="18" t="s">
        <v>82</v>
      </c>
      <c r="D93" s="20" t="n">
        <v>0.274590890901653</v>
      </c>
      <c r="E93" s="20" t="n">
        <v>0.525974270938378</v>
      </c>
      <c r="F93" s="20" t="n">
        <v>0.742503063464461</v>
      </c>
      <c r="G93" s="20" t="n">
        <v>0.450811455499217</v>
      </c>
      <c r="H93" s="20" t="n">
        <v>0.667340248025301</v>
      </c>
      <c r="I93" s="20" t="n">
        <v>0.806462810671217</v>
      </c>
      <c r="J93" s="20" t="n">
        <v>0.467912172562808</v>
      </c>
      <c r="K93" s="20" t="n">
        <v>0.607034735208725</v>
      </c>
      <c r="L93" s="20" t="n">
        <v>0.678545178550196</v>
      </c>
      <c r="M93" s="20" t="n">
        <v>0.355651355172</v>
      </c>
      <c r="N93" s="20" t="n">
        <v>0.427161798513472</v>
      </c>
      <c r="O93" s="20" t="n">
        <v>0.457792724521192</v>
      </c>
    </row>
    <row r="94" customFormat="false" ht="15" hidden="false" customHeight="false" outlineLevel="0" collapsed="false">
      <c r="A94" s="18" t="n">
        <v>93</v>
      </c>
      <c r="B94" s="18" t="s">
        <v>81</v>
      </c>
      <c r="C94" s="18" t="s">
        <v>98</v>
      </c>
      <c r="D94" s="20" t="n">
        <v>0.324604594783382</v>
      </c>
      <c r="E94" s="20" t="n">
        <v>0.587205071753359</v>
      </c>
      <c r="F94" s="20" t="n">
        <v>0.792525654000105</v>
      </c>
      <c r="G94" s="20" t="n">
        <v>0.491615266359009</v>
      </c>
      <c r="H94" s="20" t="n">
        <v>0.696935848605755</v>
      </c>
      <c r="I94" s="20" t="n">
        <v>0.816709013712443</v>
      </c>
      <c r="J94" s="20" t="n">
        <v>0.467921059216723</v>
      </c>
      <c r="K94" s="20" t="n">
        <v>0.587694224323411</v>
      </c>
      <c r="L94" s="20" t="n">
        <v>0.643589686620255</v>
      </c>
      <c r="M94" s="20" t="n">
        <v>0.325093747353434</v>
      </c>
      <c r="N94" s="20" t="n">
        <v>0.380989209650278</v>
      </c>
      <c r="O94" s="20" t="n">
        <v>0.402726846670188</v>
      </c>
    </row>
    <row r="95" customFormat="false" ht="15" hidden="false" customHeight="false" outlineLevel="0" collapsed="false">
      <c r="A95" s="18" t="n">
        <v>94</v>
      </c>
      <c r="B95" s="18" t="s">
        <v>82</v>
      </c>
      <c r="C95" s="18" t="s">
        <v>84</v>
      </c>
      <c r="D95" s="20" t="n">
        <v>0.294651458661136</v>
      </c>
      <c r="E95" s="20" t="n">
        <v>0.551082094703412</v>
      </c>
      <c r="F95" s="20" t="n">
        <v>0.763599414102858</v>
      </c>
      <c r="G95" s="20" t="n">
        <v>0.468150091778627</v>
      </c>
      <c r="H95" s="20" t="n">
        <v>0.680667411178072</v>
      </c>
      <c r="I95" s="20" t="n">
        <v>0.811989400170914</v>
      </c>
      <c r="J95" s="20" t="n">
        <v>0.468947955441722</v>
      </c>
      <c r="K95" s="20" t="n">
        <v>0.600269944434563</v>
      </c>
      <c r="L95" s="20" t="n">
        <v>0.66518875610326</v>
      </c>
      <c r="M95" s="20" t="n">
        <v>0.343839308392287</v>
      </c>
      <c r="N95" s="20" t="n">
        <v>0.408758120060984</v>
      </c>
      <c r="O95" s="20" t="n">
        <v>0.435501877528145</v>
      </c>
    </row>
    <row r="96" customFormat="false" ht="15" hidden="false" customHeight="false" outlineLevel="0" collapsed="false">
      <c r="A96" s="18" t="n">
        <v>95</v>
      </c>
      <c r="B96" s="18" t="s">
        <v>82</v>
      </c>
      <c r="C96" s="18" t="s">
        <v>89</v>
      </c>
      <c r="D96" s="20" t="n">
        <v>0.223410087459502</v>
      </c>
      <c r="E96" s="20" t="n">
        <v>0.456758811364714</v>
      </c>
      <c r="F96" s="20" t="n">
        <v>0.679976170632305</v>
      </c>
      <c r="G96" s="20" t="n">
        <v>0.400440851013774</v>
      </c>
      <c r="H96" s="20" t="n">
        <v>0.623658210281365</v>
      </c>
      <c r="I96" s="20" t="n">
        <v>0.782905714894701</v>
      </c>
      <c r="J96" s="20" t="n">
        <v>0.456566083172803</v>
      </c>
      <c r="K96" s="20" t="n">
        <v>0.615813587786139</v>
      </c>
      <c r="L96" s="20" t="n">
        <v>0.706701743828423</v>
      </c>
      <c r="M96" s="20" t="n">
        <v>0.382464863880927</v>
      </c>
      <c r="N96" s="20" t="n">
        <v>0.473353019923211</v>
      </c>
      <c r="O96" s="20" t="n">
        <v>0.516580578019146</v>
      </c>
    </row>
    <row r="97" customFormat="false" ht="15" hidden="false" customHeight="false" outlineLevel="0" collapsed="false">
      <c r="A97" s="18" t="n">
        <v>96</v>
      </c>
      <c r="B97" s="18" t="s">
        <v>82</v>
      </c>
      <c r="C97" s="18" t="s">
        <v>99</v>
      </c>
      <c r="D97" s="20" t="n">
        <v>0.270460602855078</v>
      </c>
      <c r="E97" s="20" t="n">
        <v>0.520512600198002</v>
      </c>
      <c r="F97" s="20" t="n">
        <v>0.737804143874251</v>
      </c>
      <c r="G97" s="20" t="n">
        <v>0.44709167207575</v>
      </c>
      <c r="H97" s="20" t="n">
        <v>0.664383215752</v>
      </c>
      <c r="I97" s="20" t="n">
        <v>0.805172443928332</v>
      </c>
      <c r="J97" s="20" t="n">
        <v>0.467343541019174</v>
      </c>
      <c r="K97" s="20" t="n">
        <v>0.608132769195506</v>
      </c>
      <c r="L97" s="20" t="n">
        <v>0.681109771190652</v>
      </c>
      <c r="M97" s="20" t="n">
        <v>0.358080771852582</v>
      </c>
      <c r="N97" s="20" t="n">
        <v>0.431057773847728</v>
      </c>
      <c r="O97" s="20" t="n">
        <v>0.462580325260121</v>
      </c>
    </row>
    <row r="98" customFormat="false" ht="15" hidden="false" customHeight="false" outlineLevel="0" collapsed="false">
      <c r="A98" s="18" t="n">
        <v>97</v>
      </c>
      <c r="B98" s="18" t="s">
        <v>82</v>
      </c>
      <c r="C98" s="18" t="s">
        <v>79</v>
      </c>
      <c r="D98" s="20" t="n">
        <v>0.199317418876943</v>
      </c>
      <c r="E98" s="20" t="n">
        <v>0.42160112460232</v>
      </c>
      <c r="F98" s="20" t="n">
        <v>0.645642137694309</v>
      </c>
      <c r="G98" s="20" t="n">
        <v>0.37339413645607</v>
      </c>
      <c r="H98" s="20" t="n">
        <v>0.597435149548059</v>
      </c>
      <c r="I98" s="20" t="n">
        <v>0.765864132125228</v>
      </c>
      <c r="J98" s="20" t="n">
        <v>0.446324718817365</v>
      </c>
      <c r="K98" s="20" t="n">
        <v>0.614753701394534</v>
      </c>
      <c r="L98" s="20" t="n">
        <v>0.716050590854081</v>
      </c>
      <c r="M98" s="20" t="n">
        <v>0.392469995669157</v>
      </c>
      <c r="N98" s="20" t="n">
        <v>0.493766885128704</v>
      </c>
      <c r="O98" s="20" t="n">
        <v>0.544535363615269</v>
      </c>
    </row>
    <row r="99" customFormat="false" ht="15" hidden="false" customHeight="false" outlineLevel="0" collapsed="false">
      <c r="A99" s="18" t="n">
        <v>98</v>
      </c>
      <c r="B99" s="18" t="s">
        <v>82</v>
      </c>
      <c r="C99" s="18" t="s">
        <v>98</v>
      </c>
      <c r="D99" s="20" t="n">
        <v>0.262310362525413</v>
      </c>
      <c r="E99" s="20" t="n">
        <v>0.509974483028939</v>
      </c>
      <c r="F99" s="20" t="n">
        <v>0.728626629749443</v>
      </c>
      <c r="G99" s="20" t="n">
        <v>0.439558092985278</v>
      </c>
      <c r="H99" s="20" t="n">
        <v>0.658210239705783</v>
      </c>
      <c r="I99" s="20" t="n">
        <v>0.802182588236568</v>
      </c>
      <c r="J99" s="20" t="n">
        <v>0.46631626722403</v>
      </c>
      <c r="K99" s="20" t="n">
        <v>0.610288615754816</v>
      </c>
      <c r="L99" s="20" t="n">
        <v>0.686127933876731</v>
      </c>
      <c r="M99" s="20" t="n">
        <v>0.36262449525129</v>
      </c>
      <c r="N99" s="20" t="n">
        <v>0.438463813373205</v>
      </c>
      <c r="O99" s="20" t="n">
        <v>0.471754940870321</v>
      </c>
    </row>
    <row r="100" customFormat="false" ht="15" hidden="false" customHeight="false" outlineLevel="0" collapsed="false">
      <c r="A100" s="18" t="n">
        <v>99</v>
      </c>
      <c r="B100" s="18" t="s">
        <v>98</v>
      </c>
      <c r="C100" s="18" t="s">
        <v>73</v>
      </c>
      <c r="D100" s="20" t="n">
        <v>0.33039868212142</v>
      </c>
      <c r="E100" s="20" t="n">
        <v>0.593722738460784</v>
      </c>
      <c r="F100" s="20" t="n">
        <v>0.797568040994425</v>
      </c>
      <c r="G100" s="20" t="n">
        <v>0.495890926407836</v>
      </c>
      <c r="H100" s="20" t="n">
        <v>0.699736228941476</v>
      </c>
      <c r="I100" s="20" t="n">
        <v>0.817392633118308</v>
      </c>
      <c r="J100" s="20" t="n">
        <v>0.467169358873004</v>
      </c>
      <c r="K100" s="20" t="n">
        <v>0.584825763049836</v>
      </c>
      <c r="L100" s="20" t="n">
        <v>0.639153350771559</v>
      </c>
      <c r="M100" s="20" t="n">
        <v>0.321501706710472</v>
      </c>
      <c r="N100" s="20" t="n">
        <v>0.375829294432195</v>
      </c>
      <c r="O100" s="20" t="n">
        <v>0.396733998602439</v>
      </c>
    </row>
    <row r="101" customFormat="false" ht="15" hidden="false" customHeight="false" outlineLevel="0" collapsed="false">
      <c r="A101" s="18" t="n">
        <v>100</v>
      </c>
      <c r="B101" s="18" t="s">
        <v>98</v>
      </c>
      <c r="C101" s="18" t="s">
        <v>83</v>
      </c>
      <c r="D101" s="20" t="n">
        <v>0.313671292241831</v>
      </c>
      <c r="E101" s="20" t="n">
        <v>0.574125797979136</v>
      </c>
      <c r="F101" s="20" t="n">
        <v>0.782244157948908</v>
      </c>
      <c r="G101" s="20" t="n">
        <v>0.483399671992775</v>
      </c>
      <c r="H101" s="20" t="n">
        <v>0.691518031962547</v>
      </c>
      <c r="I101" s="20" t="n">
        <v>0.815510660319285</v>
      </c>
      <c r="J101" s="20" t="n">
        <v>0.468572865707078</v>
      </c>
      <c r="K101" s="20" t="n">
        <v>0.592565494063815</v>
      </c>
      <c r="L101" s="20" t="n">
        <v>0.651663295484296</v>
      </c>
      <c r="M101" s="20" t="n">
        <v>0.33211098832651</v>
      </c>
      <c r="N101" s="20" t="n">
        <v>0.391208789746991</v>
      </c>
      <c r="O101" s="20" t="n">
        <v>0.414681624241408</v>
      </c>
    </row>
    <row r="102" customFormat="false" ht="15" hidden="false" customHeight="false" outlineLevel="0" collapsed="false">
      <c r="A102" s="18" t="n">
        <v>101</v>
      </c>
      <c r="B102" s="18" t="s">
        <v>98</v>
      </c>
      <c r="C102" s="18" t="s">
        <v>92</v>
      </c>
      <c r="D102" s="20" t="n">
        <v>0.262159194442211</v>
      </c>
      <c r="E102" s="20" t="n">
        <v>0.509851521941869</v>
      </c>
      <c r="F102" s="20" t="n">
        <v>0.728518902675651</v>
      </c>
      <c r="G102" s="20" t="n">
        <v>0.439412939162638</v>
      </c>
      <c r="H102" s="20" t="n">
        <v>0.658080319896419</v>
      </c>
      <c r="I102" s="20" t="n">
        <v>0.802089784662631</v>
      </c>
      <c r="J102" s="20" t="n">
        <v>0.46635970823344</v>
      </c>
      <c r="K102" s="20" t="n">
        <v>0.610369172999652</v>
      </c>
      <c r="L102" s="20" t="n">
        <v>0.686242312825658</v>
      </c>
      <c r="M102" s="20" t="n">
        <v>0.362676845499993</v>
      </c>
      <c r="N102" s="20" t="n">
        <v>0.438549985325999</v>
      </c>
      <c r="O102" s="20" t="n">
        <v>0.471862224886099</v>
      </c>
    </row>
    <row r="103" customFormat="false" ht="15" hidden="false" customHeight="false" outlineLevel="0" collapsed="false">
      <c r="A103" s="18" t="n">
        <v>102</v>
      </c>
      <c r="B103" s="18" t="s">
        <v>98</v>
      </c>
      <c r="C103" s="18" t="s">
        <v>94</v>
      </c>
      <c r="D103" s="20" t="n">
        <v>0.332380722749707</v>
      </c>
      <c r="E103" s="20" t="n">
        <v>0.596006664416002</v>
      </c>
      <c r="F103" s="20" t="n">
        <v>0.799322423542505</v>
      </c>
      <c r="G103" s="20" t="n">
        <v>0.497314511205919</v>
      </c>
      <c r="H103" s="20" t="n">
        <v>0.700630270332421</v>
      </c>
      <c r="I103" s="20" t="n">
        <v>0.817543006461994</v>
      </c>
      <c r="J103" s="20" t="n">
        <v>0.466941700792798</v>
      </c>
      <c r="K103" s="20" t="n">
        <v>0.58385443692237</v>
      </c>
      <c r="L103" s="20" t="n">
        <v>0.637637136022633</v>
      </c>
      <c r="M103" s="20" t="n">
        <v>0.320228495256075</v>
      </c>
      <c r="N103" s="20" t="n">
        <v>0.374011194356338</v>
      </c>
      <c r="O103" s="20" t="n">
        <v>0.394628984586536</v>
      </c>
    </row>
    <row r="104" customFormat="false" ht="15" hidden="false" customHeight="false" outlineLevel="0" collapsed="false">
      <c r="A104" s="18" t="n">
        <v>103</v>
      </c>
      <c r="B104" s="18" t="s">
        <v>98</v>
      </c>
      <c r="C104" s="18" t="s">
        <v>87</v>
      </c>
      <c r="D104" s="20" t="n">
        <v>0.296188349262008</v>
      </c>
      <c r="E104" s="20" t="n">
        <v>0.552970521204529</v>
      </c>
      <c r="F104" s="20" t="n">
        <v>0.76515300322437</v>
      </c>
      <c r="G104" s="20" t="n">
        <v>0.469425094459868</v>
      </c>
      <c r="H104" s="20" t="n">
        <v>0.68160757647971</v>
      </c>
      <c r="I104" s="20" t="n">
        <v>0.812334561999908</v>
      </c>
      <c r="J104" s="20" t="n">
        <v>0.468964653962362</v>
      </c>
      <c r="K104" s="20" t="n">
        <v>0.599691639482561</v>
      </c>
      <c r="L104" s="20" t="n">
        <v>0.664125025615164</v>
      </c>
      <c r="M104" s="20" t="n">
        <v>0.34290946754004</v>
      </c>
      <c r="N104" s="20" t="n">
        <v>0.407342853672643</v>
      </c>
      <c r="O104" s="20" t="n">
        <v>0.433808068129529</v>
      </c>
    </row>
  </sheetData>
  <autoFilter ref="A1:O104"/>
  <conditionalFormatting sqref="D2:D104">
    <cfRule type="colorScale" priority="2">
      <colorScale>
        <cfvo type="num" val="0"/>
        <cfvo type="num" val="1"/>
        <color rgb="FFFFFFFF"/>
        <color rgb="FFCDE2FB"/>
      </colorScale>
    </cfRule>
  </conditionalFormatting>
  <conditionalFormatting sqref="E2:E104">
    <cfRule type="colorScale" priority="3">
      <colorScale>
        <cfvo type="num" val="0"/>
        <cfvo type="num" val="1"/>
        <color rgb="FFFFFFFF"/>
        <color rgb="FFCDE2FB"/>
      </colorScale>
    </cfRule>
  </conditionalFormatting>
  <conditionalFormatting sqref="F2:F104">
    <cfRule type="colorScale" priority="4">
      <colorScale>
        <cfvo type="num" val="0"/>
        <cfvo type="num" val="1"/>
        <color rgb="FFFFFFFF"/>
        <color rgb="FFCDE2FB"/>
      </colorScale>
    </cfRule>
  </conditionalFormatting>
  <conditionalFormatting sqref="G2:G104">
    <cfRule type="colorScale" priority="5">
      <colorScale>
        <cfvo type="num" val="0"/>
        <cfvo type="num" val="1"/>
        <color rgb="FFFFFFFF"/>
        <color rgb="FFCDE2FB"/>
      </colorScale>
    </cfRule>
  </conditionalFormatting>
  <conditionalFormatting sqref="H2:H104">
    <cfRule type="colorScale" priority="6">
      <colorScale>
        <cfvo type="num" val="0"/>
        <cfvo type="num" val="1"/>
        <color rgb="FFFFFFFF"/>
        <color rgb="FFCDE2FB"/>
      </colorScale>
    </cfRule>
  </conditionalFormatting>
  <conditionalFormatting sqref="I2:I104">
    <cfRule type="colorScale" priority="7">
      <colorScale>
        <cfvo type="num" val="0"/>
        <cfvo type="num" val="1"/>
        <color rgb="FFFFFFFF"/>
        <color rgb="FFCDE2FB"/>
      </colorScale>
    </cfRule>
  </conditionalFormatting>
  <conditionalFormatting sqref="J2:J104">
    <cfRule type="colorScale" priority="8">
      <colorScale>
        <cfvo type="num" val="0"/>
        <cfvo type="num" val="1"/>
        <color rgb="FFFFFFFF"/>
        <color rgb="FFCDE2FB"/>
      </colorScale>
    </cfRule>
  </conditionalFormatting>
  <conditionalFormatting sqref="K2:K104">
    <cfRule type="colorScale" priority="9">
      <colorScale>
        <cfvo type="num" val="0"/>
        <cfvo type="num" val="1"/>
        <color rgb="FFFFFFFF"/>
        <color rgb="FFCDE2FB"/>
      </colorScale>
    </cfRule>
  </conditionalFormatting>
  <conditionalFormatting sqref="L2:L104">
    <cfRule type="colorScale" priority="10">
      <colorScale>
        <cfvo type="num" val="0"/>
        <cfvo type="num" val="1"/>
        <color rgb="FFFFFFFF"/>
        <color rgb="FFCDE2FB"/>
      </colorScale>
    </cfRule>
  </conditionalFormatting>
  <conditionalFormatting sqref="M2:M104">
    <cfRule type="colorScale" priority="11">
      <colorScale>
        <cfvo type="num" val="0"/>
        <cfvo type="num" val="1"/>
        <color rgb="FFFFFFFF"/>
        <color rgb="FFCDE2FB"/>
      </colorScale>
    </cfRule>
  </conditionalFormatting>
  <conditionalFormatting sqref="N2:N104">
    <cfRule type="colorScale" priority="12">
      <colorScale>
        <cfvo type="num" val="0"/>
        <cfvo type="num" val="1"/>
        <color rgb="FFFFFFFF"/>
        <color rgb="FFCDE2FB"/>
      </colorScale>
    </cfRule>
  </conditionalFormatting>
  <conditionalFormatting sqref="O2:O104">
    <cfRule type="colorScale" priority="13">
      <colorScale>
        <cfvo type="num" val="0"/>
        <cfvo type="num" val="1"/>
        <color rgb="FFFFFFFF"/>
        <color rgb="FFCDE2FB"/>
      </colorScale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7"/>
    <col collapsed="false" customWidth="true" hidden="false" outlineLevel="0" max="7" min="4" style="0" width="11"/>
  </cols>
  <sheetData>
    <row r="1" customFormat="false" ht="15" hidden="false" customHeight="false" outlineLevel="0" collapsed="false">
      <c r="A1" s="13" t="s">
        <v>121</v>
      </c>
      <c r="B1" s="13"/>
      <c r="C1" s="13"/>
      <c r="D1" s="13"/>
      <c r="E1" s="13"/>
      <c r="F1" s="13"/>
      <c r="G1" s="13"/>
    </row>
    <row r="3" customFormat="false" ht="33.75" hidden="false" customHeight="true" outlineLevel="0" collapsed="false">
      <c r="A3" s="16" t="s">
        <v>49</v>
      </c>
      <c r="B3" s="16" t="s">
        <v>50</v>
      </c>
      <c r="C3" s="16" t="s">
        <v>51</v>
      </c>
      <c r="D3" s="16" t="s">
        <v>122</v>
      </c>
      <c r="E3" s="16" t="s">
        <v>123</v>
      </c>
      <c r="F3" s="16" t="s">
        <v>124</v>
      </c>
      <c r="G3" s="16" t="s">
        <v>125</v>
      </c>
    </row>
    <row r="4" customFormat="false" ht="15" hidden="false" customHeight="false" outlineLevel="0" collapsed="false">
      <c r="A4" s="18" t="n">
        <v>1</v>
      </c>
      <c r="B4" s="18" t="s">
        <v>73</v>
      </c>
      <c r="C4" s="18" t="s">
        <v>74</v>
      </c>
      <c r="D4" s="20" t="n">
        <v>0.473378218688515</v>
      </c>
      <c r="E4" s="20" t="n">
        <v>0.526621781311485</v>
      </c>
      <c r="F4" s="20" t="n">
        <v>0.748343299583863</v>
      </c>
      <c r="G4" s="20" t="n">
        <v>0.634572956134454</v>
      </c>
    </row>
    <row r="5" customFormat="false" ht="15" hidden="false" customHeight="false" outlineLevel="0" collapsed="false">
      <c r="A5" s="18" t="n">
        <v>2</v>
      </c>
      <c r="B5" s="18" t="s">
        <v>73</v>
      </c>
      <c r="C5" s="18" t="s">
        <v>77</v>
      </c>
      <c r="D5" s="20" t="n">
        <v>0.462160628033405</v>
      </c>
      <c r="E5" s="20" t="n">
        <v>0.537839371966595</v>
      </c>
      <c r="F5" s="20" t="n">
        <v>0.64782448752571</v>
      </c>
      <c r="G5" s="20" t="n">
        <v>0.71578664377256</v>
      </c>
    </row>
    <row r="6" customFormat="false" ht="15" hidden="false" customHeight="false" outlineLevel="0" collapsed="false">
      <c r="A6" s="18" t="n">
        <v>3</v>
      </c>
      <c r="B6" s="18" t="s">
        <v>73</v>
      </c>
      <c r="C6" s="18" t="s">
        <v>79</v>
      </c>
      <c r="D6" s="20" t="n">
        <v>0.501073756540422</v>
      </c>
      <c r="E6" s="20" t="n">
        <v>0.498926243459578</v>
      </c>
      <c r="F6" s="20" t="n">
        <v>0.855556870549716</v>
      </c>
      <c r="G6" s="20" t="n">
        <v>0.587071014223227</v>
      </c>
    </row>
    <row r="7" customFormat="false" ht="15" hidden="false" customHeight="false" outlineLevel="0" collapsed="false">
      <c r="A7" s="18" t="n">
        <v>4</v>
      </c>
      <c r="B7" s="18" t="s">
        <v>73</v>
      </c>
      <c r="C7" s="18" t="s">
        <v>81</v>
      </c>
      <c r="D7" s="20" t="n">
        <v>0.442743147432094</v>
      </c>
      <c r="E7" s="20" t="n">
        <v>0.557256852567906</v>
      </c>
      <c r="F7" s="20" t="n">
        <v>0.736302943083425</v>
      </c>
      <c r="G7" s="20" t="n">
        <v>0.603362230024678</v>
      </c>
    </row>
    <row r="8" customFormat="false" ht="15" hidden="false" customHeight="false" outlineLevel="0" collapsed="false">
      <c r="A8" s="18" t="n">
        <v>5</v>
      </c>
      <c r="B8" s="18" t="s">
        <v>73</v>
      </c>
      <c r="C8" s="18" t="s">
        <v>82</v>
      </c>
      <c r="D8" s="20" t="n">
        <v>0.508199065873314</v>
      </c>
      <c r="E8" s="20" t="n">
        <v>0.491800934126686</v>
      </c>
      <c r="F8" s="20" t="n">
        <v>0.826022343319009</v>
      </c>
      <c r="G8" s="20" t="n">
        <v>0.61682665180001</v>
      </c>
    </row>
    <row r="9" customFormat="false" ht="15" hidden="false" customHeight="false" outlineLevel="0" collapsed="false">
      <c r="A9" s="18" t="n">
        <v>6</v>
      </c>
      <c r="B9" s="18" t="s">
        <v>74</v>
      </c>
      <c r="C9" s="18" t="s">
        <v>83</v>
      </c>
      <c r="D9" s="20" t="n">
        <v>0.482947349799624</v>
      </c>
      <c r="E9" s="20" t="n">
        <v>0.517052650200376</v>
      </c>
      <c r="F9" s="20" t="n">
        <v>0.787426433514615</v>
      </c>
      <c r="G9" s="20" t="n">
        <v>0.615128093774383</v>
      </c>
    </row>
    <row r="10" customFormat="false" ht="15" hidden="false" customHeight="false" outlineLevel="0" collapsed="false">
      <c r="A10" s="18" t="n">
        <v>7</v>
      </c>
      <c r="B10" s="18" t="s">
        <v>74</v>
      </c>
      <c r="C10" s="18" t="s">
        <v>84</v>
      </c>
      <c r="D10" s="20" t="n">
        <v>0.445065720633014</v>
      </c>
      <c r="E10" s="20" t="n">
        <v>0.554934279366987</v>
      </c>
      <c r="F10" s="20" t="n">
        <v>0.752785894362339</v>
      </c>
      <c r="G10" s="20" t="n">
        <v>0.593197115025506</v>
      </c>
    </row>
    <row r="11" customFormat="false" ht="15" hidden="false" customHeight="false" outlineLevel="0" collapsed="false">
      <c r="A11" s="18" t="n">
        <v>8</v>
      </c>
      <c r="B11" s="18" t="s">
        <v>74</v>
      </c>
      <c r="C11" s="18" t="s">
        <v>85</v>
      </c>
      <c r="D11" s="20" t="n">
        <v>0.506285283107282</v>
      </c>
      <c r="E11" s="20" t="n">
        <v>0.493714716892718</v>
      </c>
      <c r="F11" s="20" t="n">
        <v>0.859852061181185</v>
      </c>
      <c r="G11" s="20" t="n">
        <v>0.590180348223797</v>
      </c>
    </row>
    <row r="12" customFormat="false" ht="15" hidden="false" customHeight="false" outlineLevel="0" collapsed="false">
      <c r="A12" s="18" t="n">
        <v>9</v>
      </c>
      <c r="B12" s="18" t="s">
        <v>74</v>
      </c>
      <c r="C12" s="18" t="s">
        <v>86</v>
      </c>
      <c r="D12" s="20" t="n">
        <v>0.451207343807505</v>
      </c>
      <c r="E12" s="20" t="n">
        <v>0.548792656192495</v>
      </c>
      <c r="F12" s="20" t="n">
        <v>0.724989953658162</v>
      </c>
      <c r="G12" s="20" t="n">
        <v>0.624479024602891</v>
      </c>
    </row>
    <row r="13" customFormat="false" ht="15" hidden="false" customHeight="false" outlineLevel="0" collapsed="false">
      <c r="A13" s="18" t="n">
        <v>10</v>
      </c>
      <c r="B13" s="18" t="s">
        <v>74</v>
      </c>
      <c r="C13" s="18" t="s">
        <v>87</v>
      </c>
      <c r="D13" s="20" t="n">
        <v>0.497539348904862</v>
      </c>
      <c r="E13" s="20" t="n">
        <v>0.502460651095138</v>
      </c>
      <c r="F13" s="20" t="n">
        <v>0.803666451674171</v>
      </c>
      <c r="G13" s="20" t="n">
        <v>0.620804475963087</v>
      </c>
    </row>
    <row r="14" customFormat="false" ht="15" hidden="false" customHeight="false" outlineLevel="0" collapsed="false">
      <c r="A14" s="18" t="n">
        <v>11</v>
      </c>
      <c r="B14" s="18" t="s">
        <v>74</v>
      </c>
      <c r="C14" s="18" t="s">
        <v>82</v>
      </c>
      <c r="D14" s="20" t="n">
        <v>0.512403756353808</v>
      </c>
      <c r="E14" s="20" t="n">
        <v>0.487596243646192</v>
      </c>
      <c r="F14" s="20" t="n">
        <v>0.832887672086167</v>
      </c>
      <c r="G14" s="20" t="n">
        <v>0.616763230261931</v>
      </c>
    </row>
    <row r="15" customFormat="false" ht="15" hidden="false" customHeight="false" outlineLevel="0" collapsed="false">
      <c r="A15" s="18" t="n">
        <v>12</v>
      </c>
      <c r="B15" s="18" t="s">
        <v>88</v>
      </c>
      <c r="C15" s="18" t="s">
        <v>74</v>
      </c>
      <c r="D15" s="20" t="n">
        <v>0.514219507996275</v>
      </c>
      <c r="E15" s="20" t="n">
        <v>0.485780492003725</v>
      </c>
      <c r="F15" s="20" t="n">
        <v>0.762634944530562</v>
      </c>
      <c r="G15" s="20" t="n">
        <v>0.676186530128236</v>
      </c>
    </row>
    <row r="16" customFormat="false" ht="15" hidden="false" customHeight="false" outlineLevel="0" collapsed="false">
      <c r="A16" s="18" t="n">
        <v>13</v>
      </c>
      <c r="B16" s="18" t="s">
        <v>88</v>
      </c>
      <c r="C16" s="18" t="s">
        <v>85</v>
      </c>
      <c r="D16" s="20" t="n">
        <v>0.545385015443542</v>
      </c>
      <c r="E16" s="20" t="n">
        <v>0.454614984556458</v>
      </c>
      <c r="F16" s="20" t="n">
        <v>0.864966596650561</v>
      </c>
      <c r="G16" s="20" t="n">
        <v>0.631877859157555</v>
      </c>
    </row>
    <row r="17" customFormat="false" ht="15" hidden="false" customHeight="false" outlineLevel="0" collapsed="false">
      <c r="A17" s="18" t="n">
        <v>14</v>
      </c>
      <c r="B17" s="18" t="s">
        <v>88</v>
      </c>
      <c r="C17" s="18" t="s">
        <v>89</v>
      </c>
      <c r="D17" s="20" t="n">
        <v>0.545824247784222</v>
      </c>
      <c r="E17" s="20" t="n">
        <v>0.454175752215778</v>
      </c>
      <c r="F17" s="20" t="n">
        <v>0.697991876461311</v>
      </c>
      <c r="G17" s="20" t="n">
        <v>0.784006354283125</v>
      </c>
    </row>
    <row r="18" customFormat="false" ht="15" hidden="false" customHeight="false" outlineLevel="0" collapsed="false">
      <c r="A18" s="18" t="n">
        <v>15</v>
      </c>
      <c r="B18" s="18" t="s">
        <v>88</v>
      </c>
      <c r="C18" s="18" t="s">
        <v>90</v>
      </c>
      <c r="D18" s="20" t="n">
        <v>0.553460051456648</v>
      </c>
      <c r="E18" s="20" t="n">
        <v>0.446539948543352</v>
      </c>
      <c r="F18" s="20" t="n">
        <v>0.787406860236152</v>
      </c>
      <c r="G18" s="20" t="n">
        <v>0.704658190862158</v>
      </c>
    </row>
    <row r="19" customFormat="false" ht="15" hidden="false" customHeight="false" outlineLevel="0" collapsed="false">
      <c r="A19" s="18" t="n">
        <v>16</v>
      </c>
      <c r="B19" s="18" t="s">
        <v>88</v>
      </c>
      <c r="C19" s="18" t="s">
        <v>81</v>
      </c>
      <c r="D19" s="20" t="n">
        <v>0.482801438085528</v>
      </c>
      <c r="E19" s="20" t="n">
        <v>0.517198561914472</v>
      </c>
      <c r="F19" s="20" t="n">
        <v>0.750785294642707</v>
      </c>
      <c r="G19" s="20" t="n">
        <v>0.645053496465432</v>
      </c>
    </row>
    <row r="20" customFormat="false" ht="15" hidden="false" customHeight="false" outlineLevel="0" collapsed="false">
      <c r="A20" s="18" t="n">
        <v>17</v>
      </c>
      <c r="B20" s="18" t="s">
        <v>91</v>
      </c>
      <c r="C20" s="18" t="s">
        <v>74</v>
      </c>
      <c r="D20" s="20" t="n">
        <v>0.494111806149052</v>
      </c>
      <c r="E20" s="20" t="n">
        <v>0.505888193850948</v>
      </c>
      <c r="F20" s="20" t="n">
        <v>0.778650088797329</v>
      </c>
      <c r="G20" s="20" t="n">
        <v>0.636427075386017</v>
      </c>
    </row>
    <row r="21" customFormat="false" ht="15" hidden="false" customHeight="false" outlineLevel="0" collapsed="false">
      <c r="A21" s="18" t="n">
        <v>18</v>
      </c>
      <c r="B21" s="18" t="s">
        <v>91</v>
      </c>
      <c r="C21" s="18" t="s">
        <v>88</v>
      </c>
      <c r="D21" s="20" t="n">
        <v>0.523197700898735</v>
      </c>
      <c r="E21" s="20" t="n">
        <v>0.476802299101265</v>
      </c>
      <c r="F21" s="20" t="n">
        <v>0.815370948704234</v>
      </c>
      <c r="G21" s="20" t="n">
        <v>0.643320446826059</v>
      </c>
    </row>
    <row r="22" customFormat="false" ht="15" hidden="false" customHeight="false" outlineLevel="0" collapsed="false">
      <c r="A22" s="18" t="n">
        <v>19</v>
      </c>
      <c r="B22" s="18" t="s">
        <v>91</v>
      </c>
      <c r="C22" s="18" t="s">
        <v>92</v>
      </c>
      <c r="D22" s="20" t="n">
        <v>0.482117753830597</v>
      </c>
      <c r="E22" s="20" t="n">
        <v>0.517882246169403</v>
      </c>
      <c r="F22" s="20" t="n">
        <v>0.898985449955673</v>
      </c>
      <c r="G22" s="20" t="n">
        <v>0.537369886450947</v>
      </c>
    </row>
    <row r="23" customFormat="false" ht="15" hidden="false" customHeight="false" outlineLevel="0" collapsed="false">
      <c r="A23" s="18" t="n">
        <v>20</v>
      </c>
      <c r="B23" s="18" t="s">
        <v>91</v>
      </c>
      <c r="C23" s="18" t="s">
        <v>81</v>
      </c>
      <c r="D23" s="20" t="n">
        <v>0.462764286656838</v>
      </c>
      <c r="E23" s="20" t="n">
        <v>0.537235713343162</v>
      </c>
      <c r="F23" s="20" t="n">
        <v>0.767049390498203</v>
      </c>
      <c r="G23" s="20" t="n">
        <v>0.605211249852858</v>
      </c>
    </row>
    <row r="24" customFormat="false" ht="15" hidden="false" customHeight="false" outlineLevel="0" collapsed="false">
      <c r="A24" s="18" t="n">
        <v>21</v>
      </c>
      <c r="B24" s="18" t="s">
        <v>91</v>
      </c>
      <c r="C24" s="18" t="s">
        <v>82</v>
      </c>
      <c r="D24" s="20" t="n">
        <v>0.525980197558623</v>
      </c>
      <c r="E24" s="20" t="n">
        <v>0.474019802441377</v>
      </c>
      <c r="F24" s="20" t="n">
        <v>0.852138554887321</v>
      </c>
      <c r="G24" s="20" t="n">
        <v>0.618679453646633</v>
      </c>
    </row>
    <row r="25" customFormat="false" ht="15" hidden="false" customHeight="false" outlineLevel="0" collapsed="false">
      <c r="A25" s="18" t="n">
        <v>22</v>
      </c>
      <c r="B25" s="18" t="s">
        <v>83</v>
      </c>
      <c r="C25" s="18" t="s">
        <v>92</v>
      </c>
      <c r="D25" s="20" t="n">
        <v>0.49340637223671</v>
      </c>
      <c r="E25" s="20" t="n">
        <v>0.50659362776329</v>
      </c>
      <c r="F25" s="20" t="n">
        <v>0.869393474215552</v>
      </c>
      <c r="G25" s="20" t="n">
        <v>0.568832209581936</v>
      </c>
    </row>
    <row r="26" customFormat="false" ht="15" hidden="false" customHeight="false" outlineLevel="0" collapsed="false">
      <c r="A26" s="18" t="n">
        <v>23</v>
      </c>
      <c r="B26" s="18" t="s">
        <v>83</v>
      </c>
      <c r="C26" s="18" t="s">
        <v>86</v>
      </c>
      <c r="D26" s="20" t="n">
        <v>0.463473890042686</v>
      </c>
      <c r="E26" s="20" t="n">
        <v>0.536526109957314</v>
      </c>
      <c r="F26" s="20" t="n">
        <v>0.706147072793699</v>
      </c>
      <c r="G26" s="20" t="n">
        <v>0.658538091564195</v>
      </c>
    </row>
    <row r="27" customFormat="false" ht="15" hidden="false" customHeight="false" outlineLevel="0" collapsed="false">
      <c r="A27" s="18" t="n">
        <v>24</v>
      </c>
      <c r="B27" s="18" t="s">
        <v>83</v>
      </c>
      <c r="C27" s="18" t="s">
        <v>94</v>
      </c>
      <c r="D27" s="20" t="n">
        <v>0.484147799004946</v>
      </c>
      <c r="E27" s="20" t="n">
        <v>0.515852200995055</v>
      </c>
      <c r="F27" s="20" t="n">
        <v>0.729738290048892</v>
      </c>
      <c r="G27" s="20" t="n">
        <v>0.665538807827292</v>
      </c>
    </row>
    <row r="28" customFormat="false" ht="15" hidden="false" customHeight="false" outlineLevel="0" collapsed="false">
      <c r="A28" s="18" t="n">
        <v>25</v>
      </c>
      <c r="B28" s="18" t="s">
        <v>83</v>
      </c>
      <c r="C28" s="18" t="s">
        <v>90</v>
      </c>
      <c r="D28" s="20" t="n">
        <v>0.53075408371458</v>
      </c>
      <c r="E28" s="20" t="n">
        <v>0.46924591628542</v>
      </c>
      <c r="F28" s="20" t="n">
        <v>0.76345432625637</v>
      </c>
      <c r="G28" s="20" t="n">
        <v>0.697098748823396</v>
      </c>
    </row>
    <row r="29" customFormat="false" ht="15" hidden="false" customHeight="false" outlineLevel="0" collapsed="false">
      <c r="A29" s="18" t="n">
        <v>26</v>
      </c>
      <c r="B29" s="18" t="s">
        <v>83</v>
      </c>
      <c r="C29" s="18" t="s">
        <v>87</v>
      </c>
      <c r="D29" s="20" t="n">
        <v>0.513669327911794</v>
      </c>
      <c r="E29" s="20" t="n">
        <v>0.486330672088206</v>
      </c>
      <c r="F29" s="20" t="n">
        <v>0.78655351066565</v>
      </c>
      <c r="G29" s="20" t="n">
        <v>0.654870731625434</v>
      </c>
    </row>
    <row r="30" customFormat="false" ht="15" hidden="false" customHeight="false" outlineLevel="0" collapsed="false">
      <c r="A30" s="18" t="n">
        <v>27</v>
      </c>
      <c r="B30" s="18" t="s">
        <v>83</v>
      </c>
      <c r="C30" s="18" t="s">
        <v>82</v>
      </c>
      <c r="D30" s="20" t="n">
        <v>0.530267302887112</v>
      </c>
      <c r="E30" s="20" t="n">
        <v>0.469732697112888</v>
      </c>
      <c r="F30" s="20" t="n">
        <v>0.816812632242635</v>
      </c>
      <c r="G30" s="20" t="n">
        <v>0.650833407790888</v>
      </c>
    </row>
    <row r="31" customFormat="false" ht="15" hidden="false" customHeight="false" outlineLevel="0" collapsed="false">
      <c r="A31" s="18" t="n">
        <v>28</v>
      </c>
      <c r="B31" s="18" t="s">
        <v>92</v>
      </c>
      <c r="C31" s="18" t="s">
        <v>73</v>
      </c>
      <c r="D31" s="20" t="n">
        <v>0.509782718557892</v>
      </c>
      <c r="E31" s="20" t="n">
        <v>0.490217281442108</v>
      </c>
      <c r="F31" s="20" t="n">
        <v>0.658876115067002</v>
      </c>
      <c r="G31" s="20" t="n">
        <v>0.775907668593365</v>
      </c>
    </row>
    <row r="32" customFormat="false" ht="15" hidden="false" customHeight="false" outlineLevel="0" collapsed="false">
      <c r="A32" s="18" t="n">
        <v>29</v>
      </c>
      <c r="B32" s="18" t="s">
        <v>92</v>
      </c>
      <c r="C32" s="18" t="s">
        <v>86</v>
      </c>
      <c r="D32" s="20" t="n">
        <v>0.483325354102893</v>
      </c>
      <c r="E32" s="20" t="n">
        <v>0.516674645897107</v>
      </c>
      <c r="F32" s="20" t="n">
        <v>0.626006424287367</v>
      </c>
      <c r="G32" s="20" t="n">
        <v>0.774395582784739</v>
      </c>
    </row>
    <row r="33" customFormat="false" ht="15" hidden="false" customHeight="false" outlineLevel="0" collapsed="false">
      <c r="A33" s="18" t="n">
        <v>30</v>
      </c>
      <c r="B33" s="18" t="s">
        <v>92</v>
      </c>
      <c r="C33" s="18" t="s">
        <v>94</v>
      </c>
      <c r="D33" s="20" t="n">
        <v>0.506317715794563</v>
      </c>
      <c r="E33" s="20" t="n">
        <v>0.493682284205438</v>
      </c>
      <c r="F33" s="20" t="n">
        <v>0.650316081096902</v>
      </c>
      <c r="G33" s="20" t="n">
        <v>0.780779555701098</v>
      </c>
    </row>
    <row r="34" customFormat="false" ht="15" hidden="false" customHeight="false" outlineLevel="0" collapsed="false">
      <c r="A34" s="18" t="n">
        <v>31</v>
      </c>
      <c r="B34" s="18" t="s">
        <v>92</v>
      </c>
      <c r="C34" s="18" t="s">
        <v>90</v>
      </c>
      <c r="D34" s="20" t="n">
        <v>0.553403221302399</v>
      </c>
      <c r="E34" s="20" t="n">
        <v>0.446596778697601</v>
      </c>
      <c r="F34" s="20" t="n">
        <v>0.68580334192923</v>
      </c>
      <c r="G34" s="20" t="n">
        <v>0.808911775563794</v>
      </c>
    </row>
    <row r="35" customFormat="false" ht="15" hidden="false" customHeight="false" outlineLevel="0" collapsed="false">
      <c r="A35" s="18" t="n">
        <v>32</v>
      </c>
      <c r="B35" s="18" t="s">
        <v>92</v>
      </c>
      <c r="C35" s="18" t="s">
        <v>77</v>
      </c>
      <c r="D35" s="20" t="n">
        <v>0.473202399823418</v>
      </c>
      <c r="E35" s="20" t="n">
        <v>0.526797600176583</v>
      </c>
      <c r="F35" s="20" t="n">
        <v>0.556650643168204</v>
      </c>
      <c r="G35" s="20" t="n">
        <v>0.852238547289256</v>
      </c>
    </row>
    <row r="36" customFormat="false" ht="15" hidden="false" customHeight="false" outlineLevel="0" collapsed="false">
      <c r="A36" s="18" t="n">
        <v>33</v>
      </c>
      <c r="B36" s="18" t="s">
        <v>92</v>
      </c>
      <c r="C36" s="18" t="s">
        <v>82</v>
      </c>
      <c r="D36" s="20" t="n">
        <v>0.569578573025788</v>
      </c>
      <c r="E36" s="20" t="n">
        <v>0.430421426974213</v>
      </c>
      <c r="F36" s="20" t="n">
        <v>0.744115924766535</v>
      </c>
      <c r="G36" s="20" t="n">
        <v>0.767311092783945</v>
      </c>
    </row>
    <row r="37" customFormat="false" ht="15" hidden="false" customHeight="false" outlineLevel="0" collapsed="false">
      <c r="A37" s="18" t="n">
        <v>34</v>
      </c>
      <c r="B37" s="18" t="s">
        <v>84</v>
      </c>
      <c r="C37" s="18" t="s">
        <v>91</v>
      </c>
      <c r="D37" s="20" t="n">
        <v>0.46925641905771</v>
      </c>
      <c r="E37" s="20" t="n">
        <v>0.53074358094229</v>
      </c>
      <c r="F37" s="20" t="n">
        <v>0.718570294839224</v>
      </c>
      <c r="G37" s="20" t="n">
        <v>0.655183049701234</v>
      </c>
    </row>
    <row r="38" customFormat="false" ht="15" hidden="false" customHeight="false" outlineLevel="0" collapsed="false">
      <c r="A38" s="18" t="n">
        <v>35</v>
      </c>
      <c r="B38" s="18" t="s">
        <v>84</v>
      </c>
      <c r="C38" s="18" t="s">
        <v>97</v>
      </c>
      <c r="D38" s="20" t="n">
        <v>0.467756718010159</v>
      </c>
      <c r="E38" s="20" t="n">
        <v>0.532243281989842</v>
      </c>
      <c r="F38" s="20" t="n">
        <v>0.758178064700206</v>
      </c>
      <c r="G38" s="20" t="n">
        <v>0.618903463867415</v>
      </c>
    </row>
    <row r="39" customFormat="false" ht="15" hidden="false" customHeight="false" outlineLevel="0" collapsed="false">
      <c r="A39" s="18" t="n">
        <v>36</v>
      </c>
      <c r="B39" s="18" t="s">
        <v>84</v>
      </c>
      <c r="C39" s="18" t="s">
        <v>90</v>
      </c>
      <c r="D39" s="20" t="n">
        <v>0.488522288223722</v>
      </c>
      <c r="E39" s="20" t="n">
        <v>0.511477711776278</v>
      </c>
      <c r="F39" s="20" t="n">
        <v>0.742811073014995</v>
      </c>
      <c r="G39" s="20" t="n">
        <v>0.659692628905795</v>
      </c>
    </row>
    <row r="40" customFormat="false" ht="15" hidden="false" customHeight="false" outlineLevel="0" collapsed="false">
      <c r="A40" s="18" t="n">
        <v>37</v>
      </c>
      <c r="B40" s="18" t="s">
        <v>84</v>
      </c>
      <c r="C40" s="18" t="s">
        <v>98</v>
      </c>
      <c r="D40" s="20" t="n">
        <v>0.426702263682028</v>
      </c>
      <c r="E40" s="20" t="n">
        <v>0.573297736317972</v>
      </c>
      <c r="F40" s="20" t="n">
        <v>0.780078360674305</v>
      </c>
      <c r="G40" s="20" t="n">
        <v>0.548799990668776</v>
      </c>
    </row>
    <row r="41" customFormat="false" ht="15" hidden="false" customHeight="false" outlineLevel="0" collapsed="false">
      <c r="A41" s="18" t="n">
        <v>38</v>
      </c>
      <c r="B41" s="18" t="s">
        <v>85</v>
      </c>
      <c r="C41" s="18" t="s">
        <v>91</v>
      </c>
      <c r="D41" s="20" t="n">
        <v>0.554085665548008</v>
      </c>
      <c r="E41" s="20" t="n">
        <v>0.445914334451992</v>
      </c>
      <c r="F41" s="20" t="n">
        <v>0.715623869284901</v>
      </c>
      <c r="G41" s="20" t="n">
        <v>0.77623559116818</v>
      </c>
    </row>
    <row r="42" customFormat="false" ht="15" hidden="false" customHeight="false" outlineLevel="0" collapsed="false">
      <c r="A42" s="18" t="n">
        <v>39</v>
      </c>
      <c r="B42" s="18" t="s">
        <v>85</v>
      </c>
      <c r="C42" s="18" t="s">
        <v>89</v>
      </c>
      <c r="D42" s="20" t="n">
        <v>0.549480123685872</v>
      </c>
      <c r="E42" s="20" t="n">
        <v>0.450519876314128</v>
      </c>
      <c r="F42" s="20" t="n">
        <v>0.647047663287077</v>
      </c>
      <c r="G42" s="20" t="n">
        <v>0.851103276196685</v>
      </c>
    </row>
    <row r="43" customFormat="false" ht="15" hidden="false" customHeight="false" outlineLevel="0" collapsed="false">
      <c r="A43" s="18" t="n">
        <v>40</v>
      </c>
      <c r="B43" s="18" t="s">
        <v>85</v>
      </c>
      <c r="C43" s="18" t="s">
        <v>97</v>
      </c>
      <c r="D43" s="20" t="n">
        <v>0.559380753123951</v>
      </c>
      <c r="E43" s="20" t="n">
        <v>0.440619246876049</v>
      </c>
      <c r="F43" s="20" t="n">
        <v>0.755341661496878</v>
      </c>
      <c r="G43" s="20" t="n">
        <v>0.742437858141594</v>
      </c>
    </row>
    <row r="44" customFormat="false" ht="15" hidden="false" customHeight="false" outlineLevel="0" collapsed="false">
      <c r="A44" s="18" t="n">
        <v>41</v>
      </c>
      <c r="B44" s="18" t="s">
        <v>85</v>
      </c>
      <c r="C44" s="18" t="s">
        <v>87</v>
      </c>
      <c r="D44" s="20" t="n">
        <v>0.56434970264234</v>
      </c>
      <c r="E44" s="20" t="n">
        <v>0.43565029735766</v>
      </c>
      <c r="F44" s="20" t="n">
        <v>0.763731348406066</v>
      </c>
      <c r="G44" s="20" t="n">
        <v>0.740772147269717</v>
      </c>
    </row>
    <row r="45" customFormat="false" ht="15" hidden="false" customHeight="false" outlineLevel="0" collapsed="false">
      <c r="A45" s="18" t="n">
        <v>42</v>
      </c>
      <c r="B45" s="18" t="s">
        <v>85</v>
      </c>
      <c r="C45" s="18" t="s">
        <v>98</v>
      </c>
      <c r="D45" s="20" t="n">
        <v>0.522025142088135</v>
      </c>
      <c r="E45" s="20" t="n">
        <v>0.477974857911865</v>
      </c>
      <c r="F45" s="20" t="n">
        <v>0.777325259454745</v>
      </c>
      <c r="G45" s="20" t="n">
        <v>0.673412903572477</v>
      </c>
    </row>
    <row r="46" customFormat="false" ht="15" hidden="false" customHeight="false" outlineLevel="0" collapsed="false">
      <c r="A46" s="18" t="n">
        <v>43</v>
      </c>
      <c r="B46" s="18" t="s">
        <v>86</v>
      </c>
      <c r="C46" s="18" t="s">
        <v>88</v>
      </c>
      <c r="D46" s="20" t="n">
        <v>0.476525716331916</v>
      </c>
      <c r="E46" s="20" t="n">
        <v>0.523474283668085</v>
      </c>
      <c r="F46" s="20" t="n">
        <v>0.785340225221735</v>
      </c>
      <c r="G46" s="20" t="n">
        <v>0.608589764440669</v>
      </c>
    </row>
    <row r="47" customFormat="false" ht="15" hidden="false" customHeight="false" outlineLevel="0" collapsed="false">
      <c r="A47" s="18" t="n">
        <v>44</v>
      </c>
      <c r="B47" s="18" t="s">
        <v>86</v>
      </c>
      <c r="C47" s="18" t="s">
        <v>99</v>
      </c>
      <c r="D47" s="20" t="n">
        <v>0.438977417634848</v>
      </c>
      <c r="E47" s="20" t="n">
        <v>0.561022582365152</v>
      </c>
      <c r="F47" s="20" t="n">
        <v>0.755677659342048</v>
      </c>
      <c r="G47" s="20" t="n">
        <v>0.582857475215303</v>
      </c>
    </row>
    <row r="48" customFormat="false" ht="15" hidden="false" customHeight="false" outlineLevel="0" collapsed="false">
      <c r="A48" s="18" t="n">
        <v>45</v>
      </c>
      <c r="B48" s="18" t="s">
        <v>86</v>
      </c>
      <c r="C48" s="18" t="s">
        <v>77</v>
      </c>
      <c r="D48" s="20" t="n">
        <v>0.440082416626655</v>
      </c>
      <c r="E48" s="20" t="n">
        <v>0.559917583373345</v>
      </c>
      <c r="F48" s="20" t="n">
        <v>0.64616807257743</v>
      </c>
      <c r="G48" s="20" t="n">
        <v>0.683497912291735</v>
      </c>
    </row>
    <row r="49" customFormat="false" ht="15" hidden="false" customHeight="false" outlineLevel="0" collapsed="false">
      <c r="A49" s="18" t="n">
        <v>46</v>
      </c>
      <c r="B49" s="18" t="s">
        <v>86</v>
      </c>
      <c r="C49" s="18" t="s">
        <v>79</v>
      </c>
      <c r="D49" s="20" t="n">
        <v>0.472621115082822</v>
      </c>
      <c r="E49" s="20" t="n">
        <v>0.527378884917178</v>
      </c>
      <c r="F49" s="20" t="n">
        <v>0.854294828485469</v>
      </c>
      <c r="G49" s="20" t="n">
        <v>0.554619512032365</v>
      </c>
    </row>
    <row r="50" customFormat="false" ht="15" hidden="false" customHeight="false" outlineLevel="0" collapsed="false">
      <c r="A50" s="18" t="n">
        <v>47</v>
      </c>
      <c r="B50" s="18" t="s">
        <v>86</v>
      </c>
      <c r="C50" s="18" t="s">
        <v>81</v>
      </c>
      <c r="D50" s="20" t="n">
        <v>0.417813967122782</v>
      </c>
      <c r="E50" s="20" t="n">
        <v>0.582186032877218</v>
      </c>
      <c r="F50" s="20" t="n">
        <v>0.734717801301295</v>
      </c>
      <c r="G50" s="20" t="n">
        <v>0.570715572133347</v>
      </c>
    </row>
    <row r="51" customFormat="false" ht="15" hidden="false" customHeight="false" outlineLevel="0" collapsed="false">
      <c r="A51" s="18" t="n">
        <v>48</v>
      </c>
      <c r="B51" s="18" t="s">
        <v>89</v>
      </c>
      <c r="C51" s="18" t="s">
        <v>73</v>
      </c>
      <c r="D51" s="20" t="n">
        <v>0.475883683960431</v>
      </c>
      <c r="E51" s="20" t="n">
        <v>0.524116316039569</v>
      </c>
      <c r="F51" s="20" t="n">
        <v>0.853192608339236</v>
      </c>
      <c r="G51" s="20" t="n">
        <v>0.559168289190051</v>
      </c>
    </row>
    <row r="52" customFormat="false" ht="15" hidden="false" customHeight="false" outlineLevel="0" collapsed="false">
      <c r="A52" s="18" t="n">
        <v>49</v>
      </c>
      <c r="B52" s="18" t="s">
        <v>89</v>
      </c>
      <c r="C52" s="18" t="s">
        <v>74</v>
      </c>
      <c r="D52" s="20" t="n">
        <v>0.482877171661068</v>
      </c>
      <c r="E52" s="20" t="n">
        <v>0.517122828338932</v>
      </c>
      <c r="F52" s="20" t="n">
        <v>0.853144004898538</v>
      </c>
      <c r="G52" s="20" t="n">
        <v>0.567403156591979</v>
      </c>
    </row>
    <row r="53" customFormat="false" ht="15" hidden="false" customHeight="false" outlineLevel="0" collapsed="false">
      <c r="A53" s="18" t="n">
        <v>50</v>
      </c>
      <c r="B53" s="18" t="s">
        <v>89</v>
      </c>
      <c r="C53" s="18" t="s">
        <v>92</v>
      </c>
      <c r="D53" s="20" t="n">
        <v>0.445685813158527</v>
      </c>
      <c r="E53" s="20" t="n">
        <v>0.554314186841473</v>
      </c>
      <c r="F53" s="20" t="n">
        <v>0.945851970150744</v>
      </c>
      <c r="G53" s="20" t="n">
        <v>0.471861518366156</v>
      </c>
    </row>
    <row r="54" customFormat="false" ht="15" hidden="false" customHeight="false" outlineLevel="0" collapsed="false">
      <c r="A54" s="18" t="n">
        <v>51</v>
      </c>
      <c r="B54" s="18" t="s">
        <v>89</v>
      </c>
      <c r="C54" s="18" t="s">
        <v>94</v>
      </c>
      <c r="D54" s="20" t="n">
        <v>0.476609776803223</v>
      </c>
      <c r="E54" s="20" t="n">
        <v>0.523390223196777</v>
      </c>
      <c r="F54" s="20" t="n">
        <v>0.846556360559556</v>
      </c>
      <c r="G54" s="20" t="n">
        <v>0.564442853193328</v>
      </c>
    </row>
    <row r="55" customFormat="false" ht="15" hidden="false" customHeight="false" outlineLevel="0" collapsed="false">
      <c r="A55" s="18" t="n">
        <v>52</v>
      </c>
      <c r="B55" s="18" t="s">
        <v>89</v>
      </c>
      <c r="C55" s="18" t="s">
        <v>97</v>
      </c>
      <c r="D55" s="20" t="n">
        <v>0.490456907670505</v>
      </c>
      <c r="E55" s="20" t="n">
        <v>0.509543092329496</v>
      </c>
      <c r="F55" s="20" t="n">
        <v>0.884560976426909</v>
      </c>
      <c r="G55" s="20" t="n">
        <v>0.555656459614924</v>
      </c>
    </row>
    <row r="56" customFormat="false" ht="15" hidden="false" customHeight="false" outlineLevel="0" collapsed="false">
      <c r="A56" s="18" t="n">
        <v>53</v>
      </c>
      <c r="B56" s="18" t="s">
        <v>94</v>
      </c>
      <c r="C56" s="18" t="s">
        <v>85</v>
      </c>
      <c r="D56" s="20" t="n">
        <v>0.497700426210343</v>
      </c>
      <c r="E56" s="20" t="n">
        <v>0.502299573789657</v>
      </c>
      <c r="F56" s="20" t="n">
        <v>0.857592727870985</v>
      </c>
      <c r="G56" s="20" t="n">
        <v>0.581731799166691</v>
      </c>
    </row>
    <row r="57" customFormat="false" ht="15" hidden="false" customHeight="false" outlineLevel="0" collapsed="false">
      <c r="A57" s="18" t="n">
        <v>54</v>
      </c>
      <c r="B57" s="18" t="s">
        <v>94</v>
      </c>
      <c r="C57" s="18" t="s">
        <v>86</v>
      </c>
      <c r="D57" s="20" t="n">
        <v>0.443247118714511</v>
      </c>
      <c r="E57" s="20" t="n">
        <v>0.556752881285489</v>
      </c>
      <c r="F57" s="20" t="n">
        <v>0.722085303550449</v>
      </c>
      <c r="G57" s="20" t="n">
        <v>0.615970503145724</v>
      </c>
    </row>
    <row r="58" customFormat="false" ht="15" hidden="false" customHeight="false" outlineLevel="0" collapsed="false">
      <c r="A58" s="18" t="n">
        <v>55</v>
      </c>
      <c r="B58" s="18" t="s">
        <v>94</v>
      </c>
      <c r="C58" s="18" t="s">
        <v>99</v>
      </c>
      <c r="D58" s="20" t="n">
        <v>0.461237576053878</v>
      </c>
      <c r="E58" s="20" t="n">
        <v>0.538762423946123</v>
      </c>
      <c r="F58" s="20" t="n">
        <v>0.762226220885232</v>
      </c>
      <c r="G58" s="20" t="n">
        <v>0.607050747690124</v>
      </c>
    </row>
    <row r="59" customFormat="false" ht="15" hidden="false" customHeight="false" outlineLevel="0" collapsed="false">
      <c r="A59" s="18" t="n">
        <v>56</v>
      </c>
      <c r="B59" s="18" t="s">
        <v>94</v>
      </c>
      <c r="C59" s="18" t="s">
        <v>90</v>
      </c>
      <c r="D59" s="20" t="n">
        <v>0.508346551426494</v>
      </c>
      <c r="E59" s="20" t="n">
        <v>0.491653448573506</v>
      </c>
      <c r="F59" s="20" t="n">
        <v>0.778483278237434</v>
      </c>
      <c r="G59" s="20" t="n">
        <v>0.654845662528266</v>
      </c>
    </row>
    <row r="60" customFormat="false" ht="15" hidden="false" customHeight="false" outlineLevel="0" collapsed="false">
      <c r="A60" s="18" t="n">
        <v>57</v>
      </c>
      <c r="B60" s="18" t="s">
        <v>94</v>
      </c>
      <c r="C60" s="18" t="s">
        <v>87</v>
      </c>
      <c r="D60" s="20" t="n">
        <v>0.489094793156981</v>
      </c>
      <c r="E60" s="20" t="n">
        <v>0.510905206843019</v>
      </c>
      <c r="F60" s="20" t="n">
        <v>0.801047882401764</v>
      </c>
      <c r="G60" s="20" t="n">
        <v>0.612299067499141</v>
      </c>
    </row>
    <row r="61" customFormat="false" ht="15" hidden="false" customHeight="false" outlineLevel="0" collapsed="false">
      <c r="A61" s="18" t="n">
        <v>58</v>
      </c>
      <c r="B61" s="18" t="s">
        <v>97</v>
      </c>
      <c r="C61" s="18" t="s">
        <v>73</v>
      </c>
      <c r="D61" s="20" t="n">
        <v>0.497335239804342</v>
      </c>
      <c r="E61" s="20" t="n">
        <v>0.502664760195658</v>
      </c>
      <c r="F61" s="20" t="n">
        <v>0.745017335277934</v>
      </c>
      <c r="G61" s="20" t="n">
        <v>0.669558596138511</v>
      </c>
    </row>
    <row r="62" customFormat="false" ht="15" hidden="false" customHeight="false" outlineLevel="0" collapsed="false">
      <c r="A62" s="18" t="n">
        <v>59</v>
      </c>
      <c r="B62" s="18" t="s">
        <v>97</v>
      </c>
      <c r="C62" s="18" t="s">
        <v>88</v>
      </c>
      <c r="D62" s="20" t="n">
        <v>0.535127577286278</v>
      </c>
      <c r="E62" s="20" t="n">
        <v>0.464872422713722</v>
      </c>
      <c r="F62" s="20" t="n">
        <v>0.783610947823457</v>
      </c>
      <c r="G62" s="20" t="n">
        <v>0.684706316342607</v>
      </c>
    </row>
    <row r="63" customFormat="false" ht="15" hidden="false" customHeight="false" outlineLevel="0" collapsed="false">
      <c r="A63" s="18" t="n">
        <v>60</v>
      </c>
      <c r="B63" s="18" t="s">
        <v>97</v>
      </c>
      <c r="C63" s="18" t="s">
        <v>86</v>
      </c>
      <c r="D63" s="20" t="n">
        <v>0.474947378010008</v>
      </c>
      <c r="E63" s="20" t="n">
        <v>0.525052621989992</v>
      </c>
      <c r="F63" s="20" t="n">
        <v>0.713401256596226</v>
      </c>
      <c r="G63" s="20" t="n">
        <v>0.667909304758873</v>
      </c>
    </row>
    <row r="64" customFormat="false" ht="15" hidden="false" customHeight="false" outlineLevel="0" collapsed="false">
      <c r="A64" s="18" t="n">
        <v>61</v>
      </c>
      <c r="B64" s="18" t="s">
        <v>97</v>
      </c>
      <c r="C64" s="18" t="s">
        <v>99</v>
      </c>
      <c r="D64" s="20" t="n">
        <v>0.495324138928437</v>
      </c>
      <c r="E64" s="20" t="n">
        <v>0.504675861071563</v>
      </c>
      <c r="F64" s="20" t="n">
        <v>0.753875594856403</v>
      </c>
      <c r="G64" s="20" t="n">
        <v>0.65900919583396</v>
      </c>
    </row>
    <row r="65" customFormat="false" ht="15" hidden="false" customHeight="false" outlineLevel="0" collapsed="false">
      <c r="A65" s="18" t="n">
        <v>62</v>
      </c>
      <c r="B65" s="18" t="s">
        <v>97</v>
      </c>
      <c r="C65" s="18" t="s">
        <v>90</v>
      </c>
      <c r="D65" s="20" t="n">
        <v>0.542662969232268</v>
      </c>
      <c r="E65" s="20" t="n">
        <v>0.457337030767732</v>
      </c>
      <c r="F65" s="20" t="n">
        <v>0.770313051764344</v>
      </c>
      <c r="G65" s="20" t="n">
        <v>0.706324479891887</v>
      </c>
    </row>
    <row r="66" customFormat="false" ht="15" hidden="false" customHeight="false" outlineLevel="0" collapsed="false">
      <c r="A66" s="18" t="n">
        <v>63</v>
      </c>
      <c r="B66" s="18" t="s">
        <v>99</v>
      </c>
      <c r="C66" s="18" t="s">
        <v>91</v>
      </c>
      <c r="D66" s="20" t="n">
        <v>0.493083394256738</v>
      </c>
      <c r="E66" s="20" t="n">
        <v>0.506916605743262</v>
      </c>
      <c r="F66" s="20" t="n">
        <v>0.740121148785182</v>
      </c>
      <c r="G66" s="20" t="n">
        <v>0.668254101534672</v>
      </c>
    </row>
    <row r="67" customFormat="false" ht="15" hidden="false" customHeight="false" outlineLevel="0" collapsed="false">
      <c r="A67" s="18" t="n">
        <v>64</v>
      </c>
      <c r="B67" s="18" t="s">
        <v>99</v>
      </c>
      <c r="C67" s="18" t="s">
        <v>83</v>
      </c>
      <c r="D67" s="20" t="n">
        <v>0.479611479914901</v>
      </c>
      <c r="E67" s="20" t="n">
        <v>0.520388520085099</v>
      </c>
      <c r="F67" s="20" t="n">
        <v>0.770227183802041</v>
      </c>
      <c r="G67" s="20" t="n">
        <v>0.624583606189931</v>
      </c>
    </row>
    <row r="68" customFormat="false" ht="15" hidden="false" customHeight="false" outlineLevel="0" collapsed="false">
      <c r="A68" s="18" t="n">
        <v>65</v>
      </c>
      <c r="B68" s="18" t="s">
        <v>99</v>
      </c>
      <c r="C68" s="18" t="s">
        <v>84</v>
      </c>
      <c r="D68" s="20" t="n">
        <v>0.44128954688148</v>
      </c>
      <c r="E68" s="20" t="n">
        <v>0.55871045311852</v>
      </c>
      <c r="F68" s="20" t="n">
        <v>0.734803112620028</v>
      </c>
      <c r="G68" s="20" t="n">
        <v>0.602618138218756</v>
      </c>
    </row>
    <row r="69" customFormat="false" ht="15" hidden="false" customHeight="false" outlineLevel="0" collapsed="false">
      <c r="A69" s="18" t="n">
        <v>66</v>
      </c>
      <c r="B69" s="18" t="s">
        <v>99</v>
      </c>
      <c r="C69" s="18" t="s">
        <v>85</v>
      </c>
      <c r="D69" s="20" t="n">
        <v>0.505599498703513</v>
      </c>
      <c r="E69" s="20" t="n">
        <v>0.494400501296487</v>
      </c>
      <c r="F69" s="20" t="n">
        <v>0.845308763698703</v>
      </c>
      <c r="G69" s="20" t="n">
        <v>0.599594174338305</v>
      </c>
    </row>
    <row r="70" customFormat="false" ht="15" hidden="false" customHeight="false" outlineLevel="0" collapsed="false">
      <c r="A70" s="18" t="n">
        <v>67</v>
      </c>
      <c r="B70" s="18" t="s">
        <v>99</v>
      </c>
      <c r="C70" s="18" t="s">
        <v>98</v>
      </c>
      <c r="D70" s="20" t="n">
        <v>0.447973894068609</v>
      </c>
      <c r="E70" s="20" t="n">
        <v>0.552026105931391</v>
      </c>
      <c r="F70" s="20" t="n">
        <v>0.800041746978395</v>
      </c>
      <c r="G70" s="20" t="n">
        <v>0.56164642107473</v>
      </c>
    </row>
    <row r="71" customFormat="false" ht="15" hidden="false" customHeight="false" outlineLevel="0" collapsed="false">
      <c r="A71" s="18" t="n">
        <v>68</v>
      </c>
      <c r="B71" s="18" t="s">
        <v>90</v>
      </c>
      <c r="C71" s="18" t="s">
        <v>73</v>
      </c>
      <c r="D71" s="20" t="n">
        <v>0.509962510421435</v>
      </c>
      <c r="E71" s="20" t="n">
        <v>0.490037489578566</v>
      </c>
      <c r="F71" s="20" t="n">
        <v>0.782796141469673</v>
      </c>
      <c r="G71" s="20" t="n">
        <v>0.653290283487023</v>
      </c>
    </row>
    <row r="72" customFormat="false" ht="15" hidden="false" customHeight="false" outlineLevel="0" collapsed="false">
      <c r="A72" s="18" t="n">
        <v>69</v>
      </c>
      <c r="B72" s="18" t="s">
        <v>90</v>
      </c>
      <c r="C72" s="18" t="s">
        <v>74</v>
      </c>
      <c r="D72" s="20" t="n">
        <v>0.516465291965736</v>
      </c>
      <c r="E72" s="20" t="n">
        <v>0.483534708034264</v>
      </c>
      <c r="F72" s="20" t="n">
        <v>0.782738913963409</v>
      </c>
      <c r="G72" s="20" t="n">
        <v>0.661642971664659</v>
      </c>
    </row>
    <row r="73" customFormat="false" ht="15" hidden="false" customHeight="false" outlineLevel="0" collapsed="false">
      <c r="A73" s="18" t="n">
        <v>70</v>
      </c>
      <c r="B73" s="18" t="s">
        <v>90</v>
      </c>
      <c r="C73" s="18" t="s">
        <v>99</v>
      </c>
      <c r="D73" s="20" t="n">
        <v>0.507105364735342</v>
      </c>
      <c r="E73" s="20" t="n">
        <v>0.492894635264658</v>
      </c>
      <c r="F73" s="20" t="n">
        <v>0.791210019367793</v>
      </c>
      <c r="G73" s="20" t="n">
        <v>0.642709159468403</v>
      </c>
    </row>
    <row r="74" customFormat="false" ht="15" hidden="false" customHeight="false" outlineLevel="0" collapsed="false">
      <c r="A74" s="18" t="n">
        <v>71</v>
      </c>
      <c r="B74" s="18" t="s">
        <v>90</v>
      </c>
      <c r="C74" s="18" t="s">
        <v>81</v>
      </c>
      <c r="D74" s="20" t="n">
        <v>0.484739135333548</v>
      </c>
      <c r="E74" s="20" t="n">
        <v>0.515260864666452</v>
      </c>
      <c r="F74" s="20" t="n">
        <v>0.771208057191081</v>
      </c>
      <c r="G74" s="20" t="n">
        <v>0.630435857358925</v>
      </c>
    </row>
    <row r="75" customFormat="false" ht="15" hidden="false" customHeight="false" outlineLevel="0" collapsed="false">
      <c r="A75" s="18" t="n">
        <v>72</v>
      </c>
      <c r="B75" s="18" t="s">
        <v>77</v>
      </c>
      <c r="C75" s="18" t="s">
        <v>88</v>
      </c>
      <c r="D75" s="20" t="n">
        <v>0.463688511809297</v>
      </c>
      <c r="E75" s="20" t="n">
        <v>0.536311488190703</v>
      </c>
      <c r="F75" s="20" t="n">
        <v>0.861379716408859</v>
      </c>
      <c r="G75" s="20" t="n">
        <v>0.539642915397031</v>
      </c>
    </row>
    <row r="76" customFormat="false" ht="15" hidden="false" customHeight="false" outlineLevel="0" collapsed="false">
      <c r="A76" s="18" t="n">
        <v>73</v>
      </c>
      <c r="B76" s="18" t="s">
        <v>77</v>
      </c>
      <c r="C76" s="18" t="s">
        <v>83</v>
      </c>
      <c r="D76" s="20" t="n">
        <v>0.438918074144141</v>
      </c>
      <c r="E76" s="20" t="n">
        <v>0.56108192585586</v>
      </c>
      <c r="F76" s="20" t="n">
        <v>0.855585867482458</v>
      </c>
      <c r="G76" s="20" t="n">
        <v>0.514348589426089</v>
      </c>
    </row>
    <row r="77" customFormat="false" ht="15" hidden="false" customHeight="false" outlineLevel="0" collapsed="false">
      <c r="A77" s="18" t="n">
        <v>74</v>
      </c>
      <c r="B77" s="18" t="s">
        <v>77</v>
      </c>
      <c r="C77" s="18" t="s">
        <v>84</v>
      </c>
      <c r="D77" s="20" t="n">
        <v>0.406249530445393</v>
      </c>
      <c r="E77" s="20" t="n">
        <v>0.593750469554607</v>
      </c>
      <c r="F77" s="20" t="n">
        <v>0.825601894258464</v>
      </c>
      <c r="G77" s="20" t="n">
        <v>0.49355761638388</v>
      </c>
    </row>
    <row r="78" customFormat="false" ht="15" hidden="false" customHeight="false" outlineLevel="0" collapsed="false">
      <c r="A78" s="18" t="n">
        <v>75</v>
      </c>
      <c r="B78" s="18" t="s">
        <v>77</v>
      </c>
      <c r="C78" s="18" t="s">
        <v>85</v>
      </c>
      <c r="D78" s="20" t="n">
        <v>0.447760686849764</v>
      </c>
      <c r="E78" s="20" t="n">
        <v>0.552239313150236</v>
      </c>
      <c r="F78" s="20" t="n">
        <v>0.914191022510787</v>
      </c>
      <c r="G78" s="20" t="n">
        <v>0.490719306017894</v>
      </c>
    </row>
    <row r="79" customFormat="false" ht="15" hidden="false" customHeight="false" outlineLevel="0" collapsed="false">
      <c r="A79" s="18" t="n">
        <v>76</v>
      </c>
      <c r="B79" s="18" t="s">
        <v>77</v>
      </c>
      <c r="C79" s="18" t="s">
        <v>89</v>
      </c>
      <c r="D79" s="20" t="n">
        <v>0.49476544140954</v>
      </c>
      <c r="E79" s="20" t="n">
        <v>0.50523455859046</v>
      </c>
      <c r="F79" s="20" t="n">
        <v>0.769718074748216</v>
      </c>
      <c r="G79" s="20" t="n">
        <v>0.644685015262377</v>
      </c>
    </row>
    <row r="80" customFormat="false" ht="15" hidden="false" customHeight="false" outlineLevel="0" collapsed="false">
      <c r="A80" s="18" t="n">
        <v>77</v>
      </c>
      <c r="B80" s="18" t="s">
        <v>77</v>
      </c>
      <c r="C80" s="18" t="s">
        <v>79</v>
      </c>
      <c r="D80" s="20" t="n">
        <v>0.445792544492652</v>
      </c>
      <c r="E80" s="20" t="n">
        <v>0.554207455507348</v>
      </c>
      <c r="F80" s="20" t="n">
        <v>0.915716450031401</v>
      </c>
      <c r="G80" s="20" t="n">
        <v>0.487740098378873</v>
      </c>
    </row>
    <row r="81" customFormat="false" ht="15" hidden="false" customHeight="false" outlineLevel="0" collapsed="false">
      <c r="A81" s="18" t="n">
        <v>78</v>
      </c>
      <c r="B81" s="18" t="s">
        <v>79</v>
      </c>
      <c r="C81" s="18" t="s">
        <v>91</v>
      </c>
      <c r="D81" s="20" t="n">
        <v>0.553409569229142</v>
      </c>
      <c r="E81" s="20" t="n">
        <v>0.446590430770859</v>
      </c>
      <c r="F81" s="20" t="n">
        <v>0.71251588861883</v>
      </c>
      <c r="G81" s="20" t="n">
        <v>0.778669727922571</v>
      </c>
    </row>
    <row r="82" customFormat="false" ht="15" hidden="false" customHeight="false" outlineLevel="0" collapsed="false">
      <c r="A82" s="18" t="n">
        <v>79</v>
      </c>
      <c r="B82" s="18" t="s">
        <v>79</v>
      </c>
      <c r="C82" s="18" t="s">
        <v>83</v>
      </c>
      <c r="D82" s="20" t="n">
        <v>0.547172390182232</v>
      </c>
      <c r="E82" s="20" t="n">
        <v>0.452827609817768</v>
      </c>
      <c r="F82" s="20" t="n">
        <v>0.743464526050713</v>
      </c>
      <c r="G82" s="20" t="n">
        <v>0.737911536414533</v>
      </c>
    </row>
    <row r="83" customFormat="false" ht="15" hidden="false" customHeight="false" outlineLevel="0" collapsed="false">
      <c r="A83" s="18" t="n">
        <v>80</v>
      </c>
      <c r="B83" s="18" t="s">
        <v>79</v>
      </c>
      <c r="C83" s="18" t="s">
        <v>92</v>
      </c>
      <c r="D83" s="20" t="n">
        <v>0.557594923433604</v>
      </c>
      <c r="E83" s="20" t="n">
        <v>0.442405076566396</v>
      </c>
      <c r="F83" s="20" t="n">
        <v>0.848207176718793</v>
      </c>
      <c r="G83" s="20" t="n">
        <v>0.658834397153807</v>
      </c>
    </row>
    <row r="84" customFormat="false" ht="15" hidden="false" customHeight="false" outlineLevel="0" collapsed="false">
      <c r="A84" s="18" t="n">
        <v>81</v>
      </c>
      <c r="B84" s="18" t="s">
        <v>79</v>
      </c>
      <c r="C84" s="18" t="s">
        <v>84</v>
      </c>
      <c r="D84" s="20" t="n">
        <v>0.505274516714766</v>
      </c>
      <c r="E84" s="20" t="n">
        <v>0.494725483285234</v>
      </c>
      <c r="F84" s="20" t="n">
        <v>0.707077814747094</v>
      </c>
      <c r="G84" s="20" t="n">
        <v>0.716730020598326</v>
      </c>
    </row>
    <row r="85" customFormat="false" ht="15" hidden="false" customHeight="false" outlineLevel="0" collapsed="false">
      <c r="A85" s="18" t="n">
        <v>82</v>
      </c>
      <c r="B85" s="18" t="s">
        <v>79</v>
      </c>
      <c r="C85" s="18" t="s">
        <v>97</v>
      </c>
      <c r="D85" s="20" t="n">
        <v>0.55906624068683</v>
      </c>
      <c r="E85" s="20" t="n">
        <v>0.440933759313171</v>
      </c>
      <c r="F85" s="20" t="n">
        <v>0.75234592351049</v>
      </c>
      <c r="G85" s="20" t="n">
        <v>0.744977712759226</v>
      </c>
    </row>
    <row r="86" customFormat="false" ht="15" hidden="false" customHeight="false" outlineLevel="0" collapsed="false">
      <c r="A86" s="18" t="n">
        <v>83</v>
      </c>
      <c r="B86" s="18" t="s">
        <v>87</v>
      </c>
      <c r="C86" s="18" t="s">
        <v>88</v>
      </c>
      <c r="D86" s="20" t="n">
        <v>0.541001846704999</v>
      </c>
      <c r="E86" s="20" t="n">
        <v>0.458998153295001</v>
      </c>
      <c r="F86" s="20" t="n">
        <v>0.782031164658998</v>
      </c>
      <c r="G86" s="20" t="n">
        <v>0.693598126870245</v>
      </c>
    </row>
    <row r="87" customFormat="false" ht="15" hidden="false" customHeight="false" outlineLevel="0" collapsed="false">
      <c r="A87" s="18" t="n">
        <v>84</v>
      </c>
      <c r="B87" s="18" t="s">
        <v>87</v>
      </c>
      <c r="C87" s="18" t="s">
        <v>91</v>
      </c>
      <c r="D87" s="20" t="n">
        <v>0.528088482207427</v>
      </c>
      <c r="E87" s="20" t="n">
        <v>0.471911517792573</v>
      </c>
      <c r="F87" s="20" t="n">
        <v>0.745113730817857</v>
      </c>
      <c r="G87" s="20" t="n">
        <v>0.710706043149395</v>
      </c>
    </row>
    <row r="88" customFormat="false" ht="15" hidden="false" customHeight="false" outlineLevel="0" collapsed="false">
      <c r="A88" s="18" t="n">
        <v>85</v>
      </c>
      <c r="B88" s="18" t="s">
        <v>87</v>
      </c>
      <c r="C88" s="18" t="s">
        <v>89</v>
      </c>
      <c r="D88" s="20" t="n">
        <v>0.536357668838902</v>
      </c>
      <c r="E88" s="20" t="n">
        <v>0.463642331161098</v>
      </c>
      <c r="F88" s="20" t="n">
        <v>0.677642333181143</v>
      </c>
      <c r="G88" s="20" t="n">
        <v>0.793565755422927</v>
      </c>
    </row>
    <row r="89" customFormat="false" ht="15" hidden="false" customHeight="false" outlineLevel="0" collapsed="false">
      <c r="A89" s="18" t="n">
        <v>86</v>
      </c>
      <c r="B89" s="18" t="s">
        <v>87</v>
      </c>
      <c r="C89" s="18" t="s">
        <v>97</v>
      </c>
      <c r="D89" s="20" t="n">
        <v>0.527447006264652</v>
      </c>
      <c r="E89" s="20" t="n">
        <v>0.472552993735348</v>
      </c>
      <c r="F89" s="20" t="n">
        <v>0.783566143481384</v>
      </c>
      <c r="G89" s="20" t="n">
        <v>0.674950256695304</v>
      </c>
    </row>
    <row r="90" customFormat="false" ht="15" hidden="false" customHeight="false" outlineLevel="0" collapsed="false">
      <c r="A90" s="18" t="n">
        <v>87</v>
      </c>
      <c r="B90" s="18" t="s">
        <v>87</v>
      </c>
      <c r="C90" s="18" t="s">
        <v>77</v>
      </c>
      <c r="D90" s="20" t="n">
        <v>0.490426497242812</v>
      </c>
      <c r="E90" s="20" t="n">
        <v>0.509573502757188</v>
      </c>
      <c r="F90" s="20" t="n">
        <v>0.642494362830385</v>
      </c>
      <c r="G90" s="20" t="n">
        <v>0.765602374063458</v>
      </c>
    </row>
    <row r="91" customFormat="false" ht="15" hidden="false" customHeight="false" outlineLevel="0" collapsed="false">
      <c r="A91" s="18" t="n">
        <v>88</v>
      </c>
      <c r="B91" s="18" t="s">
        <v>81</v>
      </c>
      <c r="C91" s="18" t="s">
        <v>84</v>
      </c>
      <c r="D91" s="20" t="n">
        <v>0.418258926774453</v>
      </c>
      <c r="E91" s="20" t="n">
        <v>0.581741073225548</v>
      </c>
      <c r="F91" s="20" t="n">
        <v>0.722997002335882</v>
      </c>
      <c r="G91" s="20" t="n">
        <v>0.580612368629819</v>
      </c>
    </row>
    <row r="92" customFormat="false" ht="15" hidden="false" customHeight="false" outlineLevel="0" collapsed="false">
      <c r="A92" s="18" t="n">
        <v>89</v>
      </c>
      <c r="B92" s="18" t="s">
        <v>81</v>
      </c>
      <c r="C92" s="18" t="s">
        <v>94</v>
      </c>
      <c r="D92" s="20" t="n">
        <v>0.442958602803409</v>
      </c>
      <c r="E92" s="20" t="n">
        <v>0.557041397196591</v>
      </c>
      <c r="F92" s="20" t="n">
        <v>0.718291971108908</v>
      </c>
      <c r="G92" s="20" t="n">
        <v>0.61882869457938</v>
      </c>
    </row>
    <row r="93" customFormat="false" ht="15" hidden="false" customHeight="false" outlineLevel="0" collapsed="false">
      <c r="A93" s="18" t="n">
        <v>90</v>
      </c>
      <c r="B93" s="18" t="s">
        <v>81</v>
      </c>
      <c r="C93" s="18" t="s">
        <v>79</v>
      </c>
      <c r="D93" s="20" t="n">
        <v>0.47995223338206</v>
      </c>
      <c r="E93" s="20" t="n">
        <v>0.52004776661794</v>
      </c>
      <c r="F93" s="20" t="n">
        <v>0.837693277168049</v>
      </c>
      <c r="G93" s="20" t="n">
        <v>0.574449499123506</v>
      </c>
    </row>
    <row r="94" customFormat="false" ht="15" hidden="false" customHeight="false" outlineLevel="0" collapsed="false">
      <c r="A94" s="18" t="n">
        <v>91</v>
      </c>
      <c r="B94" s="18" t="s">
        <v>81</v>
      </c>
      <c r="C94" s="18" t="s">
        <v>87</v>
      </c>
      <c r="D94" s="20" t="n">
        <v>0.470377121587554</v>
      </c>
      <c r="E94" s="20" t="n">
        <v>0.529622878412446</v>
      </c>
      <c r="F94" s="20" t="n">
        <v>0.775842547712852</v>
      </c>
      <c r="G94" s="20" t="n">
        <v>0.608142062923277</v>
      </c>
    </row>
    <row r="95" customFormat="false" ht="15" hidden="false" customHeight="false" outlineLevel="0" collapsed="false">
      <c r="A95" s="18" t="n">
        <v>92</v>
      </c>
      <c r="B95" s="18" t="s">
        <v>81</v>
      </c>
      <c r="C95" s="18" t="s">
        <v>82</v>
      </c>
      <c r="D95" s="20" t="n">
        <v>0.485956331360988</v>
      </c>
      <c r="E95" s="20" t="n">
        <v>0.514043668639012</v>
      </c>
      <c r="F95" s="20" t="n">
        <v>0.806685458800801</v>
      </c>
      <c r="G95" s="20" t="n">
        <v>0.604108057121027</v>
      </c>
    </row>
    <row r="96" customFormat="false" ht="15" hidden="false" customHeight="false" outlineLevel="0" collapsed="false">
      <c r="A96" s="18" t="n">
        <v>93</v>
      </c>
      <c r="B96" s="18" t="s">
        <v>81</v>
      </c>
      <c r="C96" s="18" t="s">
        <v>98</v>
      </c>
      <c r="D96" s="20" t="n">
        <v>0.424801018335001</v>
      </c>
      <c r="E96" s="20" t="n">
        <v>0.575198981664999</v>
      </c>
      <c r="F96" s="20" t="n">
        <v>0.789195704169129</v>
      </c>
      <c r="G96" s="20" t="n">
        <v>0.540015508771522</v>
      </c>
    </row>
    <row r="97" customFormat="false" ht="15" hidden="false" customHeight="false" outlineLevel="0" collapsed="false">
      <c r="A97" s="18" t="n">
        <v>94</v>
      </c>
      <c r="B97" s="18" t="s">
        <v>82</v>
      </c>
      <c r="C97" s="18" t="s">
        <v>84</v>
      </c>
      <c r="D97" s="20" t="n">
        <v>0.499099930854435</v>
      </c>
      <c r="E97" s="20" t="n">
        <v>0.500900069145565</v>
      </c>
      <c r="F97" s="20" t="n">
        <v>0.735964112241475</v>
      </c>
      <c r="G97" s="20" t="n">
        <v>0.680203815688175</v>
      </c>
    </row>
    <row r="98" customFormat="false" ht="15" hidden="false" customHeight="false" outlineLevel="0" collapsed="false">
      <c r="A98" s="18" t="n">
        <v>95</v>
      </c>
      <c r="B98" s="18" t="s">
        <v>82</v>
      </c>
      <c r="C98" s="18" t="s">
        <v>89</v>
      </c>
      <c r="D98" s="20" t="n">
        <v>0.553361531307425</v>
      </c>
      <c r="E98" s="20" t="n">
        <v>0.446638468692575</v>
      </c>
      <c r="F98" s="20" t="n">
        <v>0.673627942291996</v>
      </c>
      <c r="G98" s="20" t="n">
        <v>0.82341562866449</v>
      </c>
    </row>
    <row r="99" customFormat="false" ht="15" hidden="false" customHeight="false" outlineLevel="0" collapsed="false">
      <c r="A99" s="18" t="n">
        <v>96</v>
      </c>
      <c r="B99" s="18" t="s">
        <v>82</v>
      </c>
      <c r="C99" s="18" t="s">
        <v>99</v>
      </c>
      <c r="D99" s="20" t="n">
        <v>0.524154698500133</v>
      </c>
      <c r="E99" s="20" t="n">
        <v>0.475845301499867</v>
      </c>
      <c r="F99" s="20" t="n">
        <v>0.74842211387769</v>
      </c>
      <c r="G99" s="20" t="n">
        <v>0.702311656500192</v>
      </c>
    </row>
    <row r="100" customFormat="false" ht="15" hidden="false" customHeight="false" outlineLevel="0" collapsed="false">
      <c r="A100" s="18" t="n">
        <v>97</v>
      </c>
      <c r="B100" s="18" t="s">
        <v>82</v>
      </c>
      <c r="C100" s="18" t="s">
        <v>79</v>
      </c>
      <c r="D100" s="20" t="n">
        <v>0.570580072753365</v>
      </c>
      <c r="E100" s="20" t="n">
        <v>0.429419927246635</v>
      </c>
      <c r="F100" s="20" t="n">
        <v>0.848348921601847</v>
      </c>
      <c r="G100" s="20" t="n">
        <v>0.674024163005268</v>
      </c>
    </row>
    <row r="101" customFormat="false" ht="15" hidden="false" customHeight="false" outlineLevel="0" collapsed="false">
      <c r="A101" s="18" t="n">
        <v>98</v>
      </c>
      <c r="B101" s="18" t="s">
        <v>82</v>
      </c>
      <c r="C101" s="18" t="s">
        <v>98</v>
      </c>
      <c r="D101" s="20" t="n">
        <v>0.51050822722417</v>
      </c>
      <c r="E101" s="20" t="n">
        <v>0.48949177277583</v>
      </c>
      <c r="F101" s="20" t="n">
        <v>0.801102869494411</v>
      </c>
      <c r="G101" s="20" t="n">
        <v>0.638988967686099</v>
      </c>
    </row>
    <row r="102" customFormat="false" ht="15" hidden="false" customHeight="false" outlineLevel="0" collapsed="false">
      <c r="A102" s="18" t="n">
        <v>99</v>
      </c>
      <c r="B102" s="18" t="s">
        <v>98</v>
      </c>
      <c r="C102" s="18" t="s">
        <v>73</v>
      </c>
      <c r="D102" s="20" t="n">
        <v>0.467089364929079</v>
      </c>
      <c r="E102" s="20" t="n">
        <v>0.532910635070921</v>
      </c>
      <c r="F102" s="20" t="n">
        <v>0.676113539415575</v>
      </c>
      <c r="G102" s="20" t="n">
        <v>0.693144013460555</v>
      </c>
    </row>
    <row r="103" customFormat="false" ht="15" hidden="false" customHeight="false" outlineLevel="0" collapsed="false">
      <c r="A103" s="18" t="n">
        <v>100</v>
      </c>
      <c r="B103" s="18" t="s">
        <v>98</v>
      </c>
      <c r="C103" s="18" t="s">
        <v>83</v>
      </c>
      <c r="D103" s="20" t="n">
        <v>0.482615294393247</v>
      </c>
      <c r="E103" s="20" t="n">
        <v>0.517384705606753</v>
      </c>
      <c r="F103" s="20" t="n">
        <v>0.709626234529072</v>
      </c>
      <c r="G103" s="20" t="n">
        <v>0.682262933877814</v>
      </c>
    </row>
    <row r="104" customFormat="false" ht="15" hidden="false" customHeight="false" outlineLevel="0" collapsed="false">
      <c r="A104" s="18" t="n">
        <v>101</v>
      </c>
      <c r="B104" s="18" t="s">
        <v>98</v>
      </c>
      <c r="C104" s="18" t="s">
        <v>92</v>
      </c>
      <c r="D104" s="20" t="n">
        <v>0.491997213832433</v>
      </c>
      <c r="E104" s="20" t="n">
        <v>0.508002786167567</v>
      </c>
      <c r="F104" s="20" t="n">
        <v>0.81977497207073</v>
      </c>
      <c r="G104" s="20" t="n">
        <v>0.601783658982472</v>
      </c>
    </row>
    <row r="105" customFormat="false" ht="15" hidden="false" customHeight="false" outlineLevel="0" collapsed="false">
      <c r="A105" s="18" t="n">
        <v>102</v>
      </c>
      <c r="B105" s="18" t="s">
        <v>98</v>
      </c>
      <c r="C105" s="18" t="s">
        <v>94</v>
      </c>
      <c r="D105" s="20" t="n">
        <v>0.464706683838156</v>
      </c>
      <c r="E105" s="20" t="n">
        <v>0.535293316161844</v>
      </c>
      <c r="F105" s="20" t="n">
        <v>0.667589098738626</v>
      </c>
      <c r="G105" s="20" t="n">
        <v>0.698425431889446</v>
      </c>
    </row>
    <row r="106" customFormat="false" ht="15" hidden="false" customHeight="false" outlineLevel="0" collapsed="false">
      <c r="A106" s="18" t="n">
        <v>103</v>
      </c>
      <c r="B106" s="18" t="s">
        <v>98</v>
      </c>
      <c r="C106" s="18" t="s">
        <v>87</v>
      </c>
      <c r="D106" s="20" t="n">
        <v>0.498909604020243</v>
      </c>
      <c r="E106" s="20" t="n">
        <v>0.501090395979757</v>
      </c>
      <c r="F106" s="20" t="n">
        <v>0.72748261504817</v>
      </c>
      <c r="G106" s="20" t="n">
        <v>0.687881562227413</v>
      </c>
    </row>
  </sheetData>
  <autoFilter ref="A3:G106"/>
  <mergeCells count="1">
    <mergeCell ref="A1:G1"/>
  </mergeCells>
  <conditionalFormatting sqref="D4:D106">
    <cfRule type="colorScale" priority="2">
      <colorScale>
        <cfvo type="num" val="0"/>
        <cfvo type="num" val="1"/>
        <color rgb="FFFFFFFF"/>
        <color rgb="FFCDE2FB"/>
      </colorScale>
    </cfRule>
  </conditionalFormatting>
  <conditionalFormatting sqref="E4:E106">
    <cfRule type="colorScale" priority="3">
      <colorScale>
        <cfvo type="num" val="0"/>
        <cfvo type="num" val="1"/>
        <color rgb="FFFFFFFF"/>
        <color rgb="FFCDE2FB"/>
      </colorScale>
    </cfRule>
  </conditionalFormatting>
  <conditionalFormatting sqref="F4:F106">
    <cfRule type="colorScale" priority="4">
      <colorScale>
        <cfvo type="num" val="0"/>
        <cfvo type="num" val="1"/>
        <color rgb="FFFFFFFF"/>
        <color rgb="FFCDE2FB"/>
      </colorScale>
    </cfRule>
  </conditionalFormatting>
  <conditionalFormatting sqref="G4:G106">
    <cfRule type="colorScale" priority="5">
      <colorScale>
        <cfvo type="num" val="0"/>
        <cfvo type="num" val="1"/>
        <color rgb="FFFFFFFF"/>
        <color rgb="FFCDE2FB"/>
      </colorScale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7"/>
    <col collapsed="false" customWidth="true" hidden="false" outlineLevel="0" max="12" min="4" style="0" width="11"/>
  </cols>
  <sheetData>
    <row r="1" customFormat="false" ht="15" hidden="false" customHeight="false" outlineLevel="0" collapsed="false">
      <c r="A1" s="13" t="s">
        <v>126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customFormat="false" ht="33.75" hidden="false" customHeight="true" outlineLevel="0" collapsed="false">
      <c r="A3" s="16" t="s">
        <v>49</v>
      </c>
      <c r="B3" s="16" t="s">
        <v>50</v>
      </c>
      <c r="C3" s="16" t="s">
        <v>51</v>
      </c>
      <c r="D3" s="16" t="s">
        <v>127</v>
      </c>
      <c r="E3" s="16" t="s">
        <v>128</v>
      </c>
      <c r="F3" s="16" t="s">
        <v>129</v>
      </c>
      <c r="G3" s="16" t="s">
        <v>130</v>
      </c>
      <c r="H3" s="16" t="s">
        <v>131</v>
      </c>
      <c r="I3" s="16" t="s">
        <v>132</v>
      </c>
      <c r="J3" s="16" t="s">
        <v>133</v>
      </c>
      <c r="K3" s="16" t="s">
        <v>134</v>
      </c>
      <c r="L3" s="16" t="s">
        <v>135</v>
      </c>
    </row>
    <row r="4" customFormat="false" ht="15" hidden="false" customHeight="false" outlineLevel="0" collapsed="false">
      <c r="A4" s="18" t="n">
        <v>1</v>
      </c>
      <c r="B4" s="18" t="s">
        <v>73</v>
      </c>
      <c r="C4" s="18" t="s">
        <v>74</v>
      </c>
      <c r="D4" s="21" t="n">
        <v>5.44780006107821</v>
      </c>
      <c r="E4" s="21" t="n">
        <v>4.81770412257215</v>
      </c>
      <c r="F4" s="21" t="n">
        <v>10.2655041836504</v>
      </c>
      <c r="G4" s="20" t="n">
        <v>0.780292765243616</v>
      </c>
      <c r="H4" s="20" t="n">
        <v>0.676646368764005</v>
      </c>
      <c r="I4" s="20" t="n">
        <v>0.562374339805496</v>
      </c>
      <c r="J4" s="20" t="n">
        <v>0.447256765711016</v>
      </c>
      <c r="K4" s="20" t="n">
        <v>0.340246345234417</v>
      </c>
      <c r="L4" s="20" t="n">
        <v>0.247712149673207</v>
      </c>
    </row>
    <row r="5" customFormat="false" ht="15" hidden="false" customHeight="false" outlineLevel="0" collapsed="false">
      <c r="A5" s="18" t="n">
        <v>2</v>
      </c>
      <c r="B5" s="18" t="s">
        <v>73</v>
      </c>
      <c r="C5" s="18" t="s">
        <v>77</v>
      </c>
      <c r="D5" s="21" t="n">
        <v>4.6884036416382</v>
      </c>
      <c r="E5" s="21" t="n">
        <v>5.52201485886008</v>
      </c>
      <c r="F5" s="21" t="n">
        <v>10.2104185004983</v>
      </c>
      <c r="G5" s="20" t="n">
        <v>0.775808398316059</v>
      </c>
      <c r="H5" s="20" t="n">
        <v>0.671096965907437</v>
      </c>
      <c r="I5" s="20" t="n">
        <v>0.556176889566218</v>
      </c>
      <c r="J5" s="20" t="n">
        <v>0.440934124403901</v>
      </c>
      <c r="K5" s="20" t="n">
        <v>0.334295585537344</v>
      </c>
      <c r="L5" s="20" t="n">
        <v>0.242503245116338</v>
      </c>
    </row>
    <row r="6" customFormat="false" ht="15" hidden="false" customHeight="false" outlineLevel="0" collapsed="false">
      <c r="A6" s="18" t="n">
        <v>3</v>
      </c>
      <c r="B6" s="18" t="s">
        <v>73</v>
      </c>
      <c r="C6" s="18" t="s">
        <v>79</v>
      </c>
      <c r="D6" s="21" t="n">
        <v>6.39589406691051</v>
      </c>
      <c r="E6" s="21" t="n">
        <v>4.34494812105416</v>
      </c>
      <c r="F6" s="21" t="n">
        <v>10.7408421879647</v>
      </c>
      <c r="G6" s="20" t="n">
        <v>0.816136193801672</v>
      </c>
      <c r="H6" s="20" t="n">
        <v>0.721953247579897</v>
      </c>
      <c r="I6" s="20" t="n">
        <v>0.614062689965953</v>
      </c>
      <c r="J6" s="20" t="n">
        <v>0.501132368931824</v>
      </c>
      <c r="K6" s="20" t="n">
        <v>0.392058570142076</v>
      </c>
      <c r="L6" s="20" t="n">
        <v>0.294059477021782</v>
      </c>
    </row>
    <row r="7" customFormat="false" ht="15" hidden="false" customHeight="false" outlineLevel="0" collapsed="false">
      <c r="A7" s="18" t="n">
        <v>4</v>
      </c>
      <c r="B7" s="18" t="s">
        <v>73</v>
      </c>
      <c r="C7" s="18" t="s">
        <v>81</v>
      </c>
      <c r="D7" s="21" t="n">
        <v>5.16909874278167</v>
      </c>
      <c r="E7" s="21" t="n">
        <v>4.79036405550143</v>
      </c>
      <c r="F7" s="21" t="n">
        <v>9.9594627982831</v>
      </c>
      <c r="G7" s="20" t="n">
        <v>0.754485984396554</v>
      </c>
      <c r="H7" s="20" t="n">
        <v>0.645049258543241</v>
      </c>
      <c r="I7" s="20" t="n">
        <v>0.527459841723884</v>
      </c>
      <c r="J7" s="20" t="n">
        <v>0.412011063558203</v>
      </c>
      <c r="K7" s="20" t="n">
        <v>0.307420332992015</v>
      </c>
      <c r="L7" s="20" t="n">
        <v>0.219277136941283</v>
      </c>
    </row>
    <row r="8" customFormat="false" ht="15" hidden="false" customHeight="false" outlineLevel="0" collapsed="false">
      <c r="A8" s="18" t="n">
        <v>5</v>
      </c>
      <c r="B8" s="18" t="s">
        <v>73</v>
      </c>
      <c r="C8" s="18" t="s">
        <v>82</v>
      </c>
      <c r="D8" s="21" t="n">
        <v>6.07680800184356</v>
      </c>
      <c r="E8" s="21" t="n">
        <v>4.47021169381518</v>
      </c>
      <c r="F8" s="21" t="n">
        <v>10.5470196956587</v>
      </c>
      <c r="G8" s="20" t="n">
        <v>0.802129607897536</v>
      </c>
      <c r="H8" s="20" t="n">
        <v>0.704041335259412</v>
      </c>
      <c r="I8" s="20" t="n">
        <v>0.593390756677198</v>
      </c>
      <c r="J8" s="20" t="n">
        <v>0.479337878068777</v>
      </c>
      <c r="K8" s="20" t="n">
        <v>0.370859904443213</v>
      </c>
      <c r="L8" s="20" t="n">
        <v>0.274882584488039</v>
      </c>
    </row>
    <row r="9" customFormat="false" ht="15" hidden="false" customHeight="false" outlineLevel="0" collapsed="false">
      <c r="A9" s="18" t="n">
        <v>6</v>
      </c>
      <c r="B9" s="18" t="s">
        <v>74</v>
      </c>
      <c r="C9" s="18" t="s">
        <v>83</v>
      </c>
      <c r="D9" s="21" t="n">
        <v>6.57235009576493</v>
      </c>
      <c r="E9" s="21" t="n">
        <v>5.13624713360617</v>
      </c>
      <c r="F9" s="21" t="n">
        <v>11.7085972293711</v>
      </c>
      <c r="G9" s="20" t="n">
        <v>0.874463754056984</v>
      </c>
      <c r="H9" s="20" t="n">
        <v>0.799800247095497</v>
      </c>
      <c r="I9" s="20" t="n">
        <v>0.707866160018243</v>
      </c>
      <c r="J9" s="20" t="n">
        <v>0.604432781667087</v>
      </c>
      <c r="K9" s="20" t="n">
        <v>0.497051742359946</v>
      </c>
      <c r="L9" s="20" t="n">
        <v>0.393349955909705</v>
      </c>
    </row>
    <row r="10" customFormat="false" ht="15" hidden="false" customHeight="false" outlineLevel="0" collapsed="false">
      <c r="A10" s="18" t="n">
        <v>7</v>
      </c>
      <c r="B10" s="18" t="s">
        <v>74</v>
      </c>
      <c r="C10" s="18" t="s">
        <v>84</v>
      </c>
      <c r="D10" s="21" t="n">
        <v>6.76413765640453</v>
      </c>
      <c r="E10" s="21" t="n">
        <v>3.70937487662019</v>
      </c>
      <c r="F10" s="21" t="n">
        <v>10.4735125330247</v>
      </c>
      <c r="G10" s="20" t="n">
        <v>0.796600339713189</v>
      </c>
      <c r="H10" s="20" t="n">
        <v>0.697045006229147</v>
      </c>
      <c r="I10" s="20" t="n">
        <v>0.585401709426987</v>
      </c>
      <c r="J10" s="20" t="n">
        <v>0.471004156906846</v>
      </c>
      <c r="K10" s="20" t="n">
        <v>0.36283995142434</v>
      </c>
      <c r="L10" s="20" t="n">
        <v>0.267704553780103</v>
      </c>
    </row>
    <row r="11" customFormat="false" ht="15" hidden="false" customHeight="false" outlineLevel="0" collapsed="false">
      <c r="A11" s="18" t="n">
        <v>8</v>
      </c>
      <c r="B11" s="18" t="s">
        <v>74</v>
      </c>
      <c r="C11" s="18" t="s">
        <v>85</v>
      </c>
      <c r="D11" s="21" t="n">
        <v>7.55383069651212</v>
      </c>
      <c r="E11" s="21" t="n">
        <v>3.59045406718563</v>
      </c>
      <c r="F11" s="21" t="n">
        <v>11.1442847636978</v>
      </c>
      <c r="G11" s="20" t="n">
        <v>0.842717037938827</v>
      </c>
      <c r="H11" s="20" t="n">
        <v>0.756737487218797</v>
      </c>
      <c r="I11" s="20" t="n">
        <v>0.65514472162419</v>
      </c>
      <c r="J11" s="20" t="n">
        <v>0.545459945323204</v>
      </c>
      <c r="K11" s="20" t="n">
        <v>0.436186993294029</v>
      </c>
      <c r="L11" s="20" t="n">
        <v>0.334919341538482</v>
      </c>
    </row>
    <row r="12" customFormat="false" ht="15" hidden="false" customHeight="false" outlineLevel="0" collapsed="false">
      <c r="A12" s="18" t="n">
        <v>9</v>
      </c>
      <c r="B12" s="18" t="s">
        <v>74</v>
      </c>
      <c r="C12" s="18" t="s">
        <v>86</v>
      </c>
      <c r="D12" s="21" t="n">
        <v>5.23411991329058</v>
      </c>
      <c r="E12" s="21" t="n">
        <v>4.75769822447076</v>
      </c>
      <c r="F12" s="21" t="n">
        <v>9.99181813776134</v>
      </c>
      <c r="G12" s="20" t="n">
        <v>0.757317874338525</v>
      </c>
      <c r="H12" s="20" t="n">
        <v>0.648477204482069</v>
      </c>
      <c r="I12" s="20" t="n">
        <v>0.531204504911036</v>
      </c>
      <c r="J12" s="20" t="n">
        <v>0.415747948968482</v>
      </c>
      <c r="K12" s="20" t="n">
        <v>0.310860620147981</v>
      </c>
      <c r="L12" s="20" t="n">
        <v>0.222222774081698</v>
      </c>
    </row>
    <row r="13" customFormat="false" ht="15" hidden="false" customHeight="false" outlineLevel="0" collapsed="false">
      <c r="A13" s="18" t="n">
        <v>10</v>
      </c>
      <c r="B13" s="18" t="s">
        <v>74</v>
      </c>
      <c r="C13" s="18" t="s">
        <v>87</v>
      </c>
      <c r="D13" s="21" t="n">
        <v>6.63468212307925</v>
      </c>
      <c r="E13" s="21" t="n">
        <v>3.99208296671466</v>
      </c>
      <c r="F13" s="21" t="n">
        <v>10.6267650897939</v>
      </c>
      <c r="G13" s="20" t="n">
        <v>0.807992269915791</v>
      </c>
      <c r="H13" s="20" t="n">
        <v>0.711505183247144</v>
      </c>
      <c r="I13" s="20" t="n">
        <v>0.601966131386947</v>
      </c>
      <c r="J13" s="20" t="n">
        <v>0.488338299333411</v>
      </c>
      <c r="K13" s="20" t="n">
        <v>0.37957478924159</v>
      </c>
      <c r="L13" s="20" t="n">
        <v>0.282730626010029</v>
      </c>
    </row>
    <row r="14" customFormat="false" ht="15" hidden="false" customHeight="false" outlineLevel="0" collapsed="false">
      <c r="A14" s="18" t="n">
        <v>11</v>
      </c>
      <c r="B14" s="18" t="s">
        <v>74</v>
      </c>
      <c r="C14" s="18" t="s">
        <v>82</v>
      </c>
      <c r="D14" s="21" t="n">
        <v>6.27345491237951</v>
      </c>
      <c r="E14" s="21" t="n">
        <v>4.05295866956716</v>
      </c>
      <c r="F14" s="21" t="n">
        <v>10.3264135819467</v>
      </c>
      <c r="G14" s="20" t="n">
        <v>0.785170005349388</v>
      </c>
      <c r="H14" s="20" t="n">
        <v>0.682710947523868</v>
      </c>
      <c r="I14" s="20" t="n">
        <v>0.569179666576416</v>
      </c>
      <c r="J14" s="20" t="n">
        <v>0.454232921709914</v>
      </c>
      <c r="K14" s="20" t="n">
        <v>0.346843731508927</v>
      </c>
      <c r="L14" s="20" t="n">
        <v>0.253514820251474</v>
      </c>
    </row>
    <row r="15" customFormat="false" ht="15" hidden="false" customHeight="false" outlineLevel="0" collapsed="false">
      <c r="A15" s="18" t="n">
        <v>12</v>
      </c>
      <c r="B15" s="18" t="s">
        <v>88</v>
      </c>
      <c r="C15" s="18" t="s">
        <v>74</v>
      </c>
      <c r="D15" s="21" t="n">
        <v>5.46750145392171</v>
      </c>
      <c r="E15" s="21" t="n">
        <v>4.65563787403264</v>
      </c>
      <c r="F15" s="21" t="n">
        <v>10.1231393279544</v>
      </c>
      <c r="G15" s="20" t="n">
        <v>0.768559472009057</v>
      </c>
      <c r="H15" s="20" t="n">
        <v>0.662179514004987</v>
      </c>
      <c r="I15" s="20" t="n">
        <v>0.546276991556609</v>
      </c>
      <c r="J15" s="20" t="n">
        <v>0.430893966627374</v>
      </c>
      <c r="K15" s="20" t="n">
        <v>0.324901816050347</v>
      </c>
      <c r="L15" s="20" t="n">
        <v>0.23432913376168</v>
      </c>
    </row>
    <row r="16" customFormat="false" ht="15" hidden="false" customHeight="false" outlineLevel="0" collapsed="false">
      <c r="A16" s="18" t="n">
        <v>13</v>
      </c>
      <c r="B16" s="18" t="s">
        <v>88</v>
      </c>
      <c r="C16" s="18" t="s">
        <v>85</v>
      </c>
      <c r="D16" s="21" t="n">
        <v>7.34351062640208</v>
      </c>
      <c r="E16" s="21" t="n">
        <v>3.82687572060374</v>
      </c>
      <c r="F16" s="21" t="n">
        <v>11.1703863470058</v>
      </c>
      <c r="G16" s="20" t="n">
        <v>0.844321208880695</v>
      </c>
      <c r="H16" s="20" t="n">
        <v>0.758871986257039</v>
      </c>
      <c r="I16" s="20" t="n">
        <v>0.657707802723406</v>
      </c>
      <c r="J16" s="20" t="n">
        <v>0.548271501835713</v>
      </c>
      <c r="K16" s="20" t="n">
        <v>0.439032234193948</v>
      </c>
      <c r="L16" s="20" t="n">
        <v>0.337597219435896</v>
      </c>
    </row>
    <row r="17" customFormat="false" ht="15" hidden="false" customHeight="false" outlineLevel="0" collapsed="false">
      <c r="A17" s="18" t="n">
        <v>14</v>
      </c>
      <c r="B17" s="18" t="s">
        <v>88</v>
      </c>
      <c r="C17" s="18" t="s">
        <v>89</v>
      </c>
      <c r="D17" s="21" t="n">
        <v>5.64066911956697</v>
      </c>
      <c r="E17" s="21" t="n">
        <v>4.83921998520403</v>
      </c>
      <c r="F17" s="21" t="n">
        <v>10.479889104771</v>
      </c>
      <c r="G17" s="20" t="n">
        <v>0.79708478021879</v>
      </c>
      <c r="H17" s="20" t="n">
        <v>0.697656332263643</v>
      </c>
      <c r="I17" s="20" t="n">
        <v>0.586097897006903</v>
      </c>
      <c r="J17" s="20" t="n">
        <v>0.471728422086323</v>
      </c>
      <c r="K17" s="20" t="n">
        <v>0.363535066276821</v>
      </c>
      <c r="L17" s="20" t="n">
        <v>0.268325015372085</v>
      </c>
    </row>
    <row r="18" customFormat="false" ht="15" hidden="false" customHeight="false" outlineLevel="0" collapsed="false">
      <c r="A18" s="18" t="n">
        <v>15</v>
      </c>
      <c r="B18" s="18" t="s">
        <v>88</v>
      </c>
      <c r="C18" s="18" t="s">
        <v>90</v>
      </c>
      <c r="D18" s="21" t="n">
        <v>6.41902414146994</v>
      </c>
      <c r="E18" s="21" t="n">
        <v>4.19878525505772</v>
      </c>
      <c r="F18" s="21" t="n">
        <v>10.6178093965277</v>
      </c>
      <c r="G18" s="20" t="n">
        <v>0.807340872607631</v>
      </c>
      <c r="H18" s="20" t="n">
        <v>0.71067352735078</v>
      </c>
      <c r="I18" s="20" t="n">
        <v>0.601007917792324</v>
      </c>
      <c r="J18" s="20" t="n">
        <v>0.487329745813939</v>
      </c>
      <c r="K18" s="20" t="n">
        <v>0.378595472438445</v>
      </c>
      <c r="L18" s="20" t="n">
        <v>0.281846229857559</v>
      </c>
    </row>
    <row r="19" customFormat="false" ht="15" hidden="false" customHeight="false" outlineLevel="0" collapsed="false">
      <c r="A19" s="18" t="n">
        <v>16</v>
      </c>
      <c r="B19" s="18" t="s">
        <v>88</v>
      </c>
      <c r="C19" s="18" t="s">
        <v>81</v>
      </c>
      <c r="D19" s="21" t="n">
        <v>5.1877922417788</v>
      </c>
      <c r="E19" s="21" t="n">
        <v>4.62921751933784</v>
      </c>
      <c r="F19" s="21" t="n">
        <v>9.81700976111664</v>
      </c>
      <c r="G19" s="20" t="n">
        <v>0.74172378597869</v>
      </c>
      <c r="H19" s="20" t="n">
        <v>0.629716979266307</v>
      </c>
      <c r="I19" s="20" t="n">
        <v>0.510836652522312</v>
      </c>
      <c r="J19" s="20" t="n">
        <v>0.395546683194298</v>
      </c>
      <c r="K19" s="20" t="n">
        <v>0.292376118341349</v>
      </c>
      <c r="L19" s="20" t="n">
        <v>0.206492203095866</v>
      </c>
    </row>
    <row r="20" customFormat="false" ht="15" hidden="false" customHeight="false" outlineLevel="0" collapsed="false">
      <c r="A20" s="18" t="n">
        <v>17</v>
      </c>
      <c r="B20" s="18" t="s">
        <v>91</v>
      </c>
      <c r="C20" s="18" t="s">
        <v>74</v>
      </c>
      <c r="D20" s="21" t="n">
        <v>4.65544353209407</v>
      </c>
      <c r="E20" s="21" t="n">
        <v>5.01112280329435</v>
      </c>
      <c r="F20" s="21" t="n">
        <v>9.66656633538843</v>
      </c>
      <c r="G20" s="20" t="n">
        <v>0.727723004057661</v>
      </c>
      <c r="H20" s="20" t="n">
        <v>0.613109815856116</v>
      </c>
      <c r="I20" s="20" t="n">
        <v>0.493059349798324</v>
      </c>
      <c r="J20" s="20" t="n">
        <v>0.378162249975172</v>
      </c>
      <c r="K20" s="20" t="n">
        <v>0.276692396363856</v>
      </c>
      <c r="L20" s="20" t="n">
        <v>0.193332581229857</v>
      </c>
    </row>
    <row r="21" customFormat="false" ht="15" hidden="false" customHeight="false" outlineLevel="0" collapsed="false">
      <c r="A21" s="18" t="n">
        <v>18</v>
      </c>
      <c r="B21" s="18" t="s">
        <v>91</v>
      </c>
      <c r="C21" s="18" t="s">
        <v>88</v>
      </c>
      <c r="D21" s="21" t="n">
        <v>4.96199185067906</v>
      </c>
      <c r="E21" s="21" t="n">
        <v>4.87159893233898</v>
      </c>
      <c r="F21" s="21" t="n">
        <v>9.83359078301803</v>
      </c>
      <c r="G21" s="20" t="n">
        <v>0.743233968924021</v>
      </c>
      <c r="H21" s="20" t="n">
        <v>0.631521494701148</v>
      </c>
      <c r="I21" s="20" t="n">
        <v>0.512782517239375</v>
      </c>
      <c r="J21" s="20" t="n">
        <v>0.39746350926053</v>
      </c>
      <c r="K21" s="20" t="n">
        <v>0.294118087503261</v>
      </c>
      <c r="L21" s="20" t="n">
        <v>0.207964507653625</v>
      </c>
    </row>
    <row r="22" customFormat="false" ht="15" hidden="false" customHeight="false" outlineLevel="0" collapsed="false">
      <c r="A22" s="18" t="n">
        <v>19</v>
      </c>
      <c r="B22" s="18" t="s">
        <v>91</v>
      </c>
      <c r="C22" s="18" t="s">
        <v>92</v>
      </c>
      <c r="D22" s="21" t="n">
        <v>5.97271554727064</v>
      </c>
      <c r="E22" s="21" t="n">
        <v>4.37683875599573</v>
      </c>
      <c r="F22" s="21" t="n">
        <v>10.3495543032664</v>
      </c>
      <c r="G22" s="20" t="n">
        <v>0.787000717428333</v>
      </c>
      <c r="H22" s="20" t="n">
        <v>0.6849952289182</v>
      </c>
      <c r="I22" s="20" t="n">
        <v>0.571751839815497</v>
      </c>
      <c r="J22" s="20" t="n">
        <v>0.456878794162428</v>
      </c>
      <c r="K22" s="20" t="n">
        <v>0.349354607948584</v>
      </c>
      <c r="L22" s="20" t="n">
        <v>0.255730879012005</v>
      </c>
    </row>
    <row r="23" customFormat="false" ht="15" hidden="false" customHeight="false" outlineLevel="0" collapsed="false">
      <c r="A23" s="18" t="n">
        <v>20</v>
      </c>
      <c r="B23" s="18" t="s">
        <v>91</v>
      </c>
      <c r="C23" s="18" t="s">
        <v>81</v>
      </c>
      <c r="D23" s="21" t="n">
        <v>4.4172779909393</v>
      </c>
      <c r="E23" s="21" t="n">
        <v>4.9826851014231</v>
      </c>
      <c r="F23" s="21" t="n">
        <v>9.39996309236239</v>
      </c>
      <c r="G23" s="20" t="n">
        <v>0.701588610354598</v>
      </c>
      <c r="H23" s="20" t="n">
        <v>0.582682345298069</v>
      </c>
      <c r="I23" s="20" t="n">
        <v>0.461087995625563</v>
      </c>
      <c r="J23" s="20" t="n">
        <v>0.347472384166225</v>
      </c>
      <c r="K23" s="20" t="n">
        <v>0.249513150950095</v>
      </c>
      <c r="L23" s="20" t="n">
        <v>0.17094537028765</v>
      </c>
    </row>
    <row r="24" customFormat="false" ht="15" hidden="false" customHeight="false" outlineLevel="0" collapsed="false">
      <c r="A24" s="18" t="n">
        <v>21</v>
      </c>
      <c r="B24" s="18" t="s">
        <v>91</v>
      </c>
      <c r="C24" s="18" t="s">
        <v>82</v>
      </c>
      <c r="D24" s="21" t="n">
        <v>5.19296526869251</v>
      </c>
      <c r="E24" s="21" t="n">
        <v>4.6496794291449</v>
      </c>
      <c r="F24" s="21" t="n">
        <v>9.84264469783742</v>
      </c>
      <c r="G24" s="20" t="n">
        <v>0.744055838019826</v>
      </c>
      <c r="H24" s="20" t="n">
        <v>0.632504639423838</v>
      </c>
      <c r="I24" s="20" t="n">
        <v>0.513843853993727</v>
      </c>
      <c r="J24" s="20" t="n">
        <v>0.398510172386174</v>
      </c>
      <c r="K24" s="20" t="n">
        <v>0.295070331588495</v>
      </c>
      <c r="L24" s="20" t="n">
        <v>0.208770236716124</v>
      </c>
    </row>
    <row r="25" customFormat="false" ht="15" hidden="false" customHeight="false" outlineLevel="0" collapsed="false">
      <c r="A25" s="18" t="n">
        <v>22</v>
      </c>
      <c r="B25" s="18" t="s">
        <v>83</v>
      </c>
      <c r="C25" s="18" t="s">
        <v>92</v>
      </c>
      <c r="D25" s="21" t="n">
        <v>8.48447350145267</v>
      </c>
      <c r="E25" s="21" t="n">
        <v>4.45838915673928</v>
      </c>
      <c r="F25" s="21" t="n">
        <v>12.942862658192</v>
      </c>
      <c r="G25" s="20" t="n">
        <v>0.925229314214541</v>
      </c>
      <c r="H25" s="20" t="n">
        <v>0.872936849150633</v>
      </c>
      <c r="I25" s="20" t="n">
        <v>0.803006865230765</v>
      </c>
      <c r="J25" s="20" t="n">
        <v>0.71755851127074</v>
      </c>
      <c r="K25" s="20" t="n">
        <v>0.621214056161307</v>
      </c>
      <c r="L25" s="20" t="n">
        <v>0.520162852627089</v>
      </c>
    </row>
    <row r="26" customFormat="false" ht="15" hidden="false" customHeight="false" outlineLevel="0" collapsed="false">
      <c r="A26" s="18" t="n">
        <v>23</v>
      </c>
      <c r="B26" s="18" t="s">
        <v>83</v>
      </c>
      <c r="C26" s="18" t="s">
        <v>86</v>
      </c>
      <c r="D26" s="21" t="n">
        <v>6.15467848678261</v>
      </c>
      <c r="E26" s="21" t="n">
        <v>5.55987662754554</v>
      </c>
      <c r="F26" s="21" t="n">
        <v>11.7145551143282</v>
      </c>
      <c r="G26" s="20" t="n">
        <v>0.874767376997403</v>
      </c>
      <c r="H26" s="20" t="n">
        <v>0.800220922441361</v>
      </c>
      <c r="I26" s="20" t="n">
        <v>0.708392153633964</v>
      </c>
      <c r="J26" s="20" t="n">
        <v>0.605033584314225</v>
      </c>
      <c r="K26" s="20" t="n">
        <v>0.497684840191555</v>
      </c>
      <c r="L26" s="20" t="n">
        <v>0.393970409331566</v>
      </c>
    </row>
    <row r="27" customFormat="false" ht="15" hidden="false" customHeight="false" outlineLevel="0" collapsed="false">
      <c r="A27" s="18" t="n">
        <v>24</v>
      </c>
      <c r="B27" s="18" t="s">
        <v>83</v>
      </c>
      <c r="C27" s="18" t="s">
        <v>94</v>
      </c>
      <c r="D27" s="21" t="n">
        <v>7.2668056961528</v>
      </c>
      <c r="E27" s="21" t="n">
        <v>4.8509861594406</v>
      </c>
      <c r="F27" s="21" t="n">
        <v>12.1177918555934</v>
      </c>
      <c r="G27" s="20" t="n">
        <v>0.89389889915299</v>
      </c>
      <c r="H27" s="20" t="n">
        <v>0.827102285579758</v>
      </c>
      <c r="I27" s="20" t="n">
        <v>0.742480223625208</v>
      </c>
      <c r="J27" s="20" t="n">
        <v>0.64452474731283</v>
      </c>
      <c r="K27" s="20" t="n">
        <v>0.539894659662142</v>
      </c>
      <c r="L27" s="20" t="n">
        <v>0.435932282993037</v>
      </c>
    </row>
    <row r="28" customFormat="false" ht="15" hidden="false" customHeight="false" outlineLevel="0" collapsed="false">
      <c r="A28" s="18" t="n">
        <v>25</v>
      </c>
      <c r="B28" s="18" t="s">
        <v>83</v>
      </c>
      <c r="C28" s="18" t="s">
        <v>90</v>
      </c>
      <c r="D28" s="21" t="n">
        <v>7.7641556090439</v>
      </c>
      <c r="E28" s="21" t="n">
        <v>4.60359323337972</v>
      </c>
      <c r="F28" s="21" t="n">
        <v>12.3677488424236</v>
      </c>
      <c r="G28" s="20" t="n">
        <v>0.904432340457199</v>
      </c>
      <c r="H28" s="20" t="n">
        <v>0.842240402624059</v>
      </c>
      <c r="I28" s="20" t="n">
        <v>0.762114035355254</v>
      </c>
      <c r="J28" s="20" t="n">
        <v>0.667787740252886</v>
      </c>
      <c r="K28" s="20" t="n">
        <v>0.56532337564208</v>
      </c>
      <c r="L28" s="20" t="n">
        <v>0.461784208420568</v>
      </c>
    </row>
    <row r="29" customFormat="false" ht="15" hidden="false" customHeight="false" outlineLevel="0" collapsed="false">
      <c r="A29" s="18" t="n">
        <v>26</v>
      </c>
      <c r="B29" s="18" t="s">
        <v>83</v>
      </c>
      <c r="C29" s="18" t="s">
        <v>87</v>
      </c>
      <c r="D29" s="21" t="n">
        <v>7.8015666446368</v>
      </c>
      <c r="E29" s="21" t="n">
        <v>4.6651737320579</v>
      </c>
      <c r="F29" s="21" t="n">
        <v>12.4667403766947</v>
      </c>
      <c r="G29" s="20" t="n">
        <v>0.908342067134654</v>
      </c>
      <c r="H29" s="20" t="n">
        <v>0.847925769715222</v>
      </c>
      <c r="I29" s="20" t="n">
        <v>0.769574967817047</v>
      </c>
      <c r="J29" s="20" t="n">
        <v>0.676732057770143</v>
      </c>
      <c r="K29" s="20" t="n">
        <v>0.575215520810996</v>
      </c>
      <c r="L29" s="20" t="n">
        <v>0.471959214409724</v>
      </c>
    </row>
    <row r="30" customFormat="false" ht="15" hidden="false" customHeight="false" outlineLevel="0" collapsed="false">
      <c r="A30" s="18" t="n">
        <v>27</v>
      </c>
      <c r="B30" s="18" t="s">
        <v>83</v>
      </c>
      <c r="C30" s="18" t="s">
        <v>82</v>
      </c>
      <c r="D30" s="21" t="n">
        <v>7.37680806451928</v>
      </c>
      <c r="E30" s="21" t="n">
        <v>4.73631346844013</v>
      </c>
      <c r="F30" s="21" t="n">
        <v>12.1131215329594</v>
      </c>
      <c r="G30" s="20" t="n">
        <v>0.893692771522121</v>
      </c>
      <c r="H30" s="20" t="n">
        <v>0.826808555295092</v>
      </c>
      <c r="I30" s="20" t="n">
        <v>0.74210249302244</v>
      </c>
      <c r="J30" s="20" t="n">
        <v>0.644081002216831</v>
      </c>
      <c r="K30" s="20" t="n">
        <v>0.539413739945519</v>
      </c>
      <c r="L30" s="20" t="n">
        <v>0.435447540641603</v>
      </c>
    </row>
    <row r="31" customFormat="false" ht="15" hidden="false" customHeight="false" outlineLevel="0" collapsed="false">
      <c r="A31" s="18" t="n">
        <v>28</v>
      </c>
      <c r="B31" s="18" t="s">
        <v>92</v>
      </c>
      <c r="C31" s="18" t="s">
        <v>73</v>
      </c>
      <c r="D31" s="21" t="n">
        <v>5.41793565920033</v>
      </c>
      <c r="E31" s="21" t="n">
        <v>5.42829837810287</v>
      </c>
      <c r="F31" s="21" t="n">
        <v>10.8462340373032</v>
      </c>
      <c r="G31" s="20" t="n">
        <v>0.823409982921262</v>
      </c>
      <c r="H31" s="20" t="n">
        <v>0.731365743317301</v>
      </c>
      <c r="I31" s="20" t="n">
        <v>0.625054576925464</v>
      </c>
      <c r="J31" s="20" t="n">
        <v>0.512858644799739</v>
      </c>
      <c r="K31" s="20" t="n">
        <v>0.40359942621713</v>
      </c>
      <c r="L31" s="20" t="n">
        <v>0.304623218223102</v>
      </c>
    </row>
    <row r="32" customFormat="false" ht="15" hidden="false" customHeight="false" outlineLevel="0" collapsed="false">
      <c r="A32" s="18" t="n">
        <v>29</v>
      </c>
      <c r="B32" s="18" t="s">
        <v>92</v>
      </c>
      <c r="C32" s="18" t="s">
        <v>86</v>
      </c>
      <c r="D32" s="21" t="n">
        <v>4.57160995435169</v>
      </c>
      <c r="E32" s="21" t="n">
        <v>6.10390351824038</v>
      </c>
      <c r="F32" s="21" t="n">
        <v>10.6755134725921</v>
      </c>
      <c r="G32" s="20" t="n">
        <v>0.811507138543921</v>
      </c>
      <c r="H32" s="20" t="n">
        <v>0.716002971660509</v>
      </c>
      <c r="I32" s="20" t="n">
        <v>0.607160232652019</v>
      </c>
      <c r="J32" s="20" t="n">
        <v>0.493817791231318</v>
      </c>
      <c r="K32" s="20" t="n">
        <v>0.384907626408426</v>
      </c>
      <c r="L32" s="20" t="n">
        <v>0.287557614464059</v>
      </c>
    </row>
    <row r="33" customFormat="false" ht="15" hidden="false" customHeight="false" outlineLevel="0" collapsed="false">
      <c r="A33" s="18" t="n">
        <v>30</v>
      </c>
      <c r="B33" s="18" t="s">
        <v>92</v>
      </c>
      <c r="C33" s="18" t="s">
        <v>94</v>
      </c>
      <c r="D33" s="21" t="n">
        <v>5.39768264552161</v>
      </c>
      <c r="E33" s="21" t="n">
        <v>5.3256490150963</v>
      </c>
      <c r="F33" s="21" t="n">
        <v>10.7233316606179</v>
      </c>
      <c r="G33" s="20" t="n">
        <v>0.81490452378676</v>
      </c>
      <c r="H33" s="20" t="n">
        <v>0.720367042674357</v>
      </c>
      <c r="I33" s="20" t="n">
        <v>0.612219181210753</v>
      </c>
      <c r="J33" s="20" t="n">
        <v>0.499175106165399</v>
      </c>
      <c r="K33" s="20" t="n">
        <v>0.39014148787338</v>
      </c>
      <c r="L33" s="20" t="n">
        <v>0.292313124974157</v>
      </c>
    </row>
    <row r="34" customFormat="false" ht="15" hidden="false" customHeight="false" outlineLevel="0" collapsed="false">
      <c r="A34" s="18" t="n">
        <v>31</v>
      </c>
      <c r="B34" s="18" t="s">
        <v>92</v>
      </c>
      <c r="C34" s="18" t="s">
        <v>90</v>
      </c>
      <c r="D34" s="21" t="n">
        <v>5.76710727386763</v>
      </c>
      <c r="E34" s="21" t="n">
        <v>5.05404900435335</v>
      </c>
      <c r="F34" s="21" t="n">
        <v>10.821156278221</v>
      </c>
      <c r="G34" s="20" t="n">
        <v>0.821700755218777</v>
      </c>
      <c r="H34" s="20" t="n">
        <v>0.729146977948652</v>
      </c>
      <c r="I34" s="20" t="n">
        <v>0.622455351785489</v>
      </c>
      <c r="J34" s="20" t="n">
        <v>0.510077045923556</v>
      </c>
      <c r="K34" s="20" t="n">
        <v>0.40085322180623</v>
      </c>
      <c r="L34" s="20" t="n">
        <v>0.302101650022864</v>
      </c>
    </row>
    <row r="35" customFormat="false" ht="15" hidden="false" customHeight="false" outlineLevel="0" collapsed="false">
      <c r="A35" s="18" t="n">
        <v>32</v>
      </c>
      <c r="B35" s="18" t="s">
        <v>92</v>
      </c>
      <c r="C35" s="18" t="s">
        <v>77</v>
      </c>
      <c r="D35" s="21" t="n">
        <v>4.22748195352458</v>
      </c>
      <c r="E35" s="21" t="n">
        <v>6.42321448309379</v>
      </c>
      <c r="F35" s="21" t="n">
        <v>10.6506964366184</v>
      </c>
      <c r="G35" s="20" t="n">
        <v>0.809724281690084</v>
      </c>
      <c r="H35" s="20" t="n">
        <v>0.713719374683512</v>
      </c>
      <c r="I35" s="20" t="n">
        <v>0.60452059988497</v>
      </c>
      <c r="J35" s="20" t="n">
        <v>0.491030478827367</v>
      </c>
      <c r="K35" s="20" t="n">
        <v>0.382192340653819</v>
      </c>
      <c r="L35" s="20" t="n">
        <v>0.285097558781049</v>
      </c>
    </row>
    <row r="36" customFormat="false" ht="15" hidden="false" customHeight="false" outlineLevel="0" collapsed="false">
      <c r="A36" s="18" t="n">
        <v>33</v>
      </c>
      <c r="B36" s="18" t="s">
        <v>92</v>
      </c>
      <c r="C36" s="18" t="s">
        <v>82</v>
      </c>
      <c r="D36" s="21" t="n">
        <v>5.47939088150931</v>
      </c>
      <c r="E36" s="21" t="n">
        <v>5.19975574642626</v>
      </c>
      <c r="F36" s="21" t="n">
        <v>10.6791466279356</v>
      </c>
      <c r="G36" s="20" t="n">
        <v>0.811767014909873</v>
      </c>
      <c r="H36" s="20" t="n">
        <v>0.716336212923383</v>
      </c>
      <c r="I36" s="20" t="n">
        <v>0.607545863430004</v>
      </c>
      <c r="J36" s="20" t="n">
        <v>0.49422545541217</v>
      </c>
      <c r="K36" s="20" t="n">
        <v>0.385305203214198</v>
      </c>
      <c r="L36" s="20" t="n">
        <v>0.287918225399294</v>
      </c>
    </row>
    <row r="37" customFormat="false" ht="15" hidden="false" customHeight="false" outlineLevel="0" collapsed="false">
      <c r="A37" s="18" t="n">
        <v>34</v>
      </c>
      <c r="B37" s="18" t="s">
        <v>84</v>
      </c>
      <c r="C37" s="18" t="s">
        <v>91</v>
      </c>
      <c r="D37" s="21" t="n">
        <v>5.47923314035173</v>
      </c>
      <c r="E37" s="21" t="n">
        <v>4.34863399972675</v>
      </c>
      <c r="F37" s="21" t="n">
        <v>9.82786714007848</v>
      </c>
      <c r="G37" s="20" t="n">
        <v>0.742713402334801</v>
      </c>
      <c r="H37" s="20" t="n">
        <v>0.630899176576398</v>
      </c>
      <c r="I37" s="20" t="n">
        <v>0.512111135469028</v>
      </c>
      <c r="J37" s="20" t="n">
        <v>0.396801834460647</v>
      </c>
      <c r="K37" s="20" t="n">
        <v>0.293516488274375</v>
      </c>
      <c r="L37" s="20" t="n">
        <v>0.20745579877317</v>
      </c>
    </row>
    <row r="38" customFormat="false" ht="15" hidden="false" customHeight="false" outlineLevel="0" collapsed="false">
      <c r="A38" s="18" t="n">
        <v>35</v>
      </c>
      <c r="B38" s="18" t="s">
        <v>84</v>
      </c>
      <c r="C38" s="18" t="s">
        <v>97</v>
      </c>
      <c r="D38" s="21" t="n">
        <v>5.28328704813927</v>
      </c>
      <c r="E38" s="21" t="n">
        <v>5.17284747077405</v>
      </c>
      <c r="F38" s="21" t="n">
        <v>10.4561345189133</v>
      </c>
      <c r="G38" s="20" t="n">
        <v>0.795275461319627</v>
      </c>
      <c r="H38" s="20" t="n">
        <v>0.695374718069601</v>
      </c>
      <c r="I38" s="20" t="n">
        <v>0.583501384845391</v>
      </c>
      <c r="J38" s="20" t="n">
        <v>0.4690290882955</v>
      </c>
      <c r="K38" s="20" t="n">
        <v>0.360946194312242</v>
      </c>
      <c r="L38" s="20" t="n">
        <v>0.266015802072547</v>
      </c>
    </row>
    <row r="39" customFormat="false" ht="15" hidden="false" customHeight="false" outlineLevel="0" collapsed="false">
      <c r="A39" s="18" t="n">
        <v>36</v>
      </c>
      <c r="B39" s="18" t="s">
        <v>84</v>
      </c>
      <c r="C39" s="18" t="s">
        <v>90</v>
      </c>
      <c r="D39" s="21" t="n">
        <v>5.60723871052063</v>
      </c>
      <c r="E39" s="21" t="n">
        <v>4.73793055618542</v>
      </c>
      <c r="F39" s="21" t="n">
        <v>10.3451692667061</v>
      </c>
      <c r="G39" s="20" t="n">
        <v>0.786654745957572</v>
      </c>
      <c r="H39" s="20" t="n">
        <v>0.684563208654678</v>
      </c>
      <c r="I39" s="20" t="n">
        <v>0.571264996872382</v>
      </c>
      <c r="J39" s="20" t="n">
        <v>0.456377616632586</v>
      </c>
      <c r="K39" s="20" t="n">
        <v>0.348878635378386</v>
      </c>
      <c r="L39" s="20" t="n">
        <v>0.25531047037723</v>
      </c>
    </row>
    <row r="40" customFormat="false" ht="15" hidden="false" customHeight="false" outlineLevel="0" collapsed="false">
      <c r="A40" s="18" t="n">
        <v>37</v>
      </c>
      <c r="B40" s="18" t="s">
        <v>84</v>
      </c>
      <c r="C40" s="18" t="s">
        <v>98</v>
      </c>
      <c r="D40" s="21" t="n">
        <v>5.50939449429123</v>
      </c>
      <c r="E40" s="21" t="n">
        <v>4.52983777070179</v>
      </c>
      <c r="F40" s="21" t="n">
        <v>10.039232264993</v>
      </c>
      <c r="G40" s="20" t="n">
        <v>0.761423308274026</v>
      </c>
      <c r="H40" s="20" t="n">
        <v>0.653463662514705</v>
      </c>
      <c r="I40" s="20" t="n">
        <v>0.536670217420173</v>
      </c>
      <c r="J40" s="20" t="n">
        <v>0.421220879491632</v>
      </c>
      <c r="K40" s="20" t="n">
        <v>0.315916320100877</v>
      </c>
      <c r="L40" s="20" t="n">
        <v>0.226566301820691</v>
      </c>
    </row>
    <row r="41" customFormat="false" ht="15" hidden="false" customHeight="false" outlineLevel="0" collapsed="false">
      <c r="A41" s="18" t="n">
        <v>38</v>
      </c>
      <c r="B41" s="18" t="s">
        <v>85</v>
      </c>
      <c r="C41" s="18" t="s">
        <v>91</v>
      </c>
      <c r="D41" s="21" t="n">
        <v>5.30357150953672</v>
      </c>
      <c r="E41" s="21" t="n">
        <v>4.8563241411756</v>
      </c>
      <c r="F41" s="21" t="n">
        <v>10.1598956507123</v>
      </c>
      <c r="G41" s="20" t="n">
        <v>0.771633806950715</v>
      </c>
      <c r="H41" s="20" t="n">
        <v>0.665953544569186</v>
      </c>
      <c r="I41" s="20" t="n">
        <v>0.550457998761168</v>
      </c>
      <c r="J41" s="20" t="n">
        <v>0.435125275300406</v>
      </c>
      <c r="K41" s="20" t="n">
        <v>0.328852356032963</v>
      </c>
      <c r="L41" s="20" t="n">
        <v>0.237759479718277</v>
      </c>
    </row>
    <row r="42" customFormat="false" ht="15" hidden="false" customHeight="false" outlineLevel="0" collapsed="false">
      <c r="A42" s="18" t="n">
        <v>39</v>
      </c>
      <c r="B42" s="18" t="s">
        <v>85</v>
      </c>
      <c r="C42" s="18" t="s">
        <v>89</v>
      </c>
      <c r="D42" s="21" t="n">
        <v>4.76935126920074</v>
      </c>
      <c r="E42" s="21" t="n">
        <v>6.09810927057965</v>
      </c>
      <c r="F42" s="21" t="n">
        <v>10.8674605397804</v>
      </c>
      <c r="G42" s="20" t="n">
        <v>0.824846274548999</v>
      </c>
      <c r="H42" s="20" t="n">
        <v>0.733233560630844</v>
      </c>
      <c r="I42" s="20" t="n">
        <v>0.627246610439587</v>
      </c>
      <c r="J42" s="20" t="n">
        <v>0.515208699799782</v>
      </c>
      <c r="K42" s="20" t="n">
        <v>0.405923749746226</v>
      </c>
      <c r="L42" s="20" t="n">
        <v>0.306761252146084</v>
      </c>
    </row>
    <row r="43" customFormat="false" ht="15" hidden="false" customHeight="false" outlineLevel="0" collapsed="false">
      <c r="A43" s="18" t="n">
        <v>40</v>
      </c>
      <c r="B43" s="18" t="s">
        <v>85</v>
      </c>
      <c r="C43" s="18" t="s">
        <v>97</v>
      </c>
      <c r="D43" s="21" t="n">
        <v>5.11390735664465</v>
      </c>
      <c r="E43" s="21" t="n">
        <v>5.77676209414672</v>
      </c>
      <c r="F43" s="21" t="n">
        <v>10.8906694507914</v>
      </c>
      <c r="G43" s="20" t="n">
        <v>0.82640578851604</v>
      </c>
      <c r="H43" s="20" t="n">
        <v>0.735265111991048</v>
      </c>
      <c r="I43" s="20" t="n">
        <v>0.629634902241415</v>
      </c>
      <c r="J43" s="20" t="n">
        <v>0.517773567872899</v>
      </c>
      <c r="K43" s="20" t="n">
        <v>0.408464900377083</v>
      </c>
      <c r="L43" s="20" t="n">
        <v>0.309102758100948</v>
      </c>
    </row>
    <row r="44" customFormat="false" ht="15" hidden="false" customHeight="false" outlineLevel="0" collapsed="false">
      <c r="A44" s="18" t="n">
        <v>41</v>
      </c>
      <c r="B44" s="18" t="s">
        <v>85</v>
      </c>
      <c r="C44" s="18" t="s">
        <v>87</v>
      </c>
      <c r="D44" s="21" t="n">
        <v>5.45362517827082</v>
      </c>
      <c r="E44" s="21" t="n">
        <v>5.36184652800051</v>
      </c>
      <c r="F44" s="21" t="n">
        <v>10.8154717062713</v>
      </c>
      <c r="G44" s="20" t="n">
        <v>0.821311447378698</v>
      </c>
      <c r="H44" s="20" t="n">
        <v>0.72864221694854</v>
      </c>
      <c r="I44" s="20" t="n">
        <v>0.62186474372619</v>
      </c>
      <c r="J44" s="20" t="n">
        <v>0.509445753032953</v>
      </c>
      <c r="K44" s="20" t="n">
        <v>0.400230706473664</v>
      </c>
      <c r="L44" s="20" t="n">
        <v>0.301530738804704</v>
      </c>
    </row>
    <row r="45" customFormat="false" ht="15" hidden="false" customHeight="false" outlineLevel="0" collapsed="false">
      <c r="A45" s="18" t="n">
        <v>42</v>
      </c>
      <c r="B45" s="18" t="s">
        <v>85</v>
      </c>
      <c r="C45" s="18" t="s">
        <v>98</v>
      </c>
      <c r="D45" s="21" t="n">
        <v>5.33276590469114</v>
      </c>
      <c r="E45" s="21" t="n">
        <v>5.05868291579619</v>
      </c>
      <c r="F45" s="21" t="n">
        <v>10.3914488204873</v>
      </c>
      <c r="G45" s="20" t="n">
        <v>0.790284056274691</v>
      </c>
      <c r="H45" s="20" t="n">
        <v>0.689102942503479</v>
      </c>
      <c r="I45" s="20" t="n">
        <v>0.576389575089725</v>
      </c>
      <c r="J45" s="20" t="n">
        <v>0.461662121760823</v>
      </c>
      <c r="K45" s="20" t="n">
        <v>0.353905979994267</v>
      </c>
      <c r="L45" s="20" t="n">
        <v>0.25975855324836</v>
      </c>
    </row>
    <row r="46" customFormat="false" ht="15" hidden="false" customHeight="false" outlineLevel="0" collapsed="false">
      <c r="A46" s="18" t="n">
        <v>43</v>
      </c>
      <c r="B46" s="18" t="s">
        <v>86</v>
      </c>
      <c r="C46" s="18" t="s">
        <v>88</v>
      </c>
      <c r="D46" s="21" t="n">
        <v>6.52920180996495</v>
      </c>
      <c r="E46" s="21" t="n">
        <v>3.95195446329506</v>
      </c>
      <c r="F46" s="21" t="n">
        <v>10.48115627326</v>
      </c>
      <c r="G46" s="20" t="n">
        <v>0.797180940778069</v>
      </c>
      <c r="H46" s="20" t="n">
        <v>0.697777716828912</v>
      </c>
      <c r="I46" s="20" t="n">
        <v>0.586236174303965</v>
      </c>
      <c r="J46" s="20" t="n">
        <v>0.471872320578148</v>
      </c>
      <c r="K46" s="20" t="n">
        <v>0.363673215746006</v>
      </c>
      <c r="L46" s="20" t="n">
        <v>0.268448366056157</v>
      </c>
    </row>
    <row r="47" customFormat="false" ht="15" hidden="false" customHeight="false" outlineLevel="0" collapsed="false">
      <c r="A47" s="18" t="n">
        <v>44</v>
      </c>
      <c r="B47" s="18" t="s">
        <v>86</v>
      </c>
      <c r="C47" s="18" t="s">
        <v>99</v>
      </c>
      <c r="D47" s="21" t="n">
        <v>6.84313035897617</v>
      </c>
      <c r="E47" s="21" t="n">
        <v>3.38383461046069</v>
      </c>
      <c r="F47" s="21" t="n">
        <v>10.2269649694369</v>
      </c>
      <c r="G47" s="20" t="n">
        <v>0.777162753759849</v>
      </c>
      <c r="H47" s="20" t="n">
        <v>0.672770310900948</v>
      </c>
      <c r="I47" s="20" t="n">
        <v>0.558042664763397</v>
      </c>
      <c r="J47" s="20" t="n">
        <v>0.44283455124802</v>
      </c>
      <c r="K47" s="20" t="n">
        <v>0.336081376756339</v>
      </c>
      <c r="L47" s="20" t="n">
        <v>0.244063909938704</v>
      </c>
    </row>
    <row r="48" customFormat="false" ht="15" hidden="false" customHeight="false" outlineLevel="0" collapsed="false">
      <c r="A48" s="18" t="n">
        <v>45</v>
      </c>
      <c r="B48" s="18" t="s">
        <v>86</v>
      </c>
      <c r="C48" s="18" t="s">
        <v>77</v>
      </c>
      <c r="D48" s="21" t="n">
        <v>5.27192160227712</v>
      </c>
      <c r="E48" s="21" t="n">
        <v>4.65943113480397</v>
      </c>
      <c r="F48" s="21" t="n">
        <v>9.93135273708109</v>
      </c>
      <c r="G48" s="20" t="n">
        <v>0.752005631616943</v>
      </c>
      <c r="H48" s="20" t="n">
        <v>0.642054598610168</v>
      </c>
      <c r="I48" s="20" t="n">
        <v>0.524196949665721</v>
      </c>
      <c r="J48" s="20" t="n">
        <v>0.408763362419485</v>
      </c>
      <c r="K48" s="20" t="n">
        <v>0.30443812976365</v>
      </c>
      <c r="L48" s="20" t="n">
        <v>0.216730318489434</v>
      </c>
    </row>
    <row r="49" customFormat="false" ht="15" hidden="false" customHeight="false" outlineLevel="0" collapsed="false">
      <c r="A49" s="18" t="n">
        <v>46</v>
      </c>
      <c r="B49" s="18" t="s">
        <v>86</v>
      </c>
      <c r="C49" s="18" t="s">
        <v>79</v>
      </c>
      <c r="D49" s="21" t="n">
        <v>7.19192601032956</v>
      </c>
      <c r="E49" s="21" t="n">
        <v>3.6662318142561</v>
      </c>
      <c r="F49" s="21" t="n">
        <v>10.8581578245857</v>
      </c>
      <c r="G49" s="20" t="n">
        <v>0.824217982579156</v>
      </c>
      <c r="H49" s="20" t="n">
        <v>0.732416123811627</v>
      </c>
      <c r="I49" s="20" t="n">
        <v>0.626286838987439</v>
      </c>
      <c r="J49" s="20" t="n">
        <v>0.514179263626252</v>
      </c>
      <c r="K49" s="20" t="n">
        <v>0.404905114596469</v>
      </c>
      <c r="L49" s="20" t="n">
        <v>0.305823825544935</v>
      </c>
    </row>
    <row r="50" customFormat="false" ht="15" hidden="false" customHeight="false" outlineLevel="0" collapsed="false">
      <c r="A50" s="18" t="n">
        <v>47</v>
      </c>
      <c r="B50" s="18" t="s">
        <v>86</v>
      </c>
      <c r="C50" s="18" t="s">
        <v>81</v>
      </c>
      <c r="D50" s="21" t="n">
        <v>5.81244393813589</v>
      </c>
      <c r="E50" s="21" t="n">
        <v>4.04207014970924</v>
      </c>
      <c r="F50" s="21" t="n">
        <v>9.85451408784513</v>
      </c>
      <c r="G50" s="20" t="n">
        <v>0.745130338165884</v>
      </c>
      <c r="H50" s="20" t="n">
        <v>0.633791156060645</v>
      </c>
      <c r="I50" s="20" t="n">
        <v>0.515233951615396</v>
      </c>
      <c r="J50" s="20" t="n">
        <v>0.399882295808559</v>
      </c>
      <c r="K50" s="20" t="n">
        <v>0.296319809869058</v>
      </c>
      <c r="L50" s="20" t="n">
        <v>0.209828426698907</v>
      </c>
    </row>
    <row r="51" customFormat="false" ht="15" hidden="false" customHeight="false" outlineLevel="0" collapsed="false">
      <c r="A51" s="18" t="n">
        <v>48</v>
      </c>
      <c r="B51" s="18" t="s">
        <v>89</v>
      </c>
      <c r="C51" s="18" t="s">
        <v>73</v>
      </c>
      <c r="D51" s="21" t="n">
        <v>6.44769542484258</v>
      </c>
      <c r="E51" s="21" t="n">
        <v>4.36510465653052</v>
      </c>
      <c r="F51" s="21" t="n">
        <v>10.8128000813731</v>
      </c>
      <c r="G51" s="20" t="n">
        <v>0.82112824279978</v>
      </c>
      <c r="H51" s="20" t="n">
        <v>0.728404758424699</v>
      </c>
      <c r="I51" s="20" t="n">
        <v>0.621586989847524</v>
      </c>
      <c r="J51" s="20" t="n">
        <v>0.509148962223558</v>
      </c>
      <c r="K51" s="20" t="n">
        <v>0.399938137422589</v>
      </c>
      <c r="L51" s="20" t="n">
        <v>0.301262509834264</v>
      </c>
    </row>
    <row r="52" customFormat="false" ht="15" hidden="false" customHeight="false" outlineLevel="0" collapsed="false">
      <c r="A52" s="18" t="n">
        <v>49</v>
      </c>
      <c r="B52" s="18" t="s">
        <v>89</v>
      </c>
      <c r="C52" s="18" t="s">
        <v>74</v>
      </c>
      <c r="D52" s="21" t="n">
        <v>5.84586253644316</v>
      </c>
      <c r="E52" s="21" t="n">
        <v>4.50636045144989</v>
      </c>
      <c r="F52" s="21" t="n">
        <v>10.3522229878931</v>
      </c>
      <c r="G52" s="20" t="n">
        <v>0.787211057304823</v>
      </c>
      <c r="H52" s="20" t="n">
        <v>0.685257959668208</v>
      </c>
      <c r="I52" s="20" t="n">
        <v>0.572047996217835</v>
      </c>
      <c r="J52" s="20" t="n">
        <v>0.457183758666614</v>
      </c>
      <c r="K52" s="20" t="n">
        <v>0.349644319011886</v>
      </c>
      <c r="L52" s="20" t="n">
        <v>0.255986843803678</v>
      </c>
    </row>
    <row r="53" customFormat="false" ht="15" hidden="false" customHeight="false" outlineLevel="0" collapsed="false">
      <c r="A53" s="18" t="n">
        <v>50</v>
      </c>
      <c r="B53" s="18" t="s">
        <v>89</v>
      </c>
      <c r="C53" s="18" t="s">
        <v>92</v>
      </c>
      <c r="D53" s="21" t="n">
        <v>7.49996725723694</v>
      </c>
      <c r="E53" s="21" t="n">
        <v>3.93596681754154</v>
      </c>
      <c r="F53" s="21" t="n">
        <v>11.4359340747785</v>
      </c>
      <c r="G53" s="20" t="n">
        <v>0.859878461315481</v>
      </c>
      <c r="H53" s="20" t="n">
        <v>0.779795383353858</v>
      </c>
      <c r="I53" s="20" t="n">
        <v>0.683103864685817</v>
      </c>
      <c r="J53" s="20" t="n">
        <v>0.576431489461104</v>
      </c>
      <c r="K53" s="20" t="n">
        <v>0.467839372279487</v>
      </c>
      <c r="L53" s="20" t="n">
        <v>0.365005455593981</v>
      </c>
    </row>
    <row r="54" customFormat="false" ht="15" hidden="false" customHeight="false" outlineLevel="0" collapsed="false">
      <c r="A54" s="18" t="n">
        <v>51</v>
      </c>
      <c r="B54" s="18" t="s">
        <v>89</v>
      </c>
      <c r="C54" s="18" t="s">
        <v>94</v>
      </c>
      <c r="D54" s="21" t="n">
        <v>6.42359302277477</v>
      </c>
      <c r="E54" s="21" t="n">
        <v>4.28256033393812</v>
      </c>
      <c r="F54" s="21" t="n">
        <v>10.7061533567129</v>
      </c>
      <c r="G54" s="20" t="n">
        <v>0.813689763720521</v>
      </c>
      <c r="H54" s="20" t="n">
        <v>0.718804746773969</v>
      </c>
      <c r="I54" s="20" t="n">
        <v>0.610405933769913</v>
      </c>
      <c r="J54" s="20" t="n">
        <v>0.497252595025264</v>
      </c>
      <c r="K54" s="20" t="n">
        <v>0.388261009511508</v>
      </c>
      <c r="L54" s="20" t="n">
        <v>0.290602451012119</v>
      </c>
    </row>
    <row r="55" customFormat="false" ht="15" hidden="false" customHeight="false" outlineLevel="0" collapsed="false">
      <c r="A55" s="18" t="n">
        <v>52</v>
      </c>
      <c r="B55" s="18" t="s">
        <v>89</v>
      </c>
      <c r="C55" s="18" t="s">
        <v>97</v>
      </c>
      <c r="D55" s="21" t="n">
        <v>6.46671710542313</v>
      </c>
      <c r="E55" s="21" t="n">
        <v>4.43722426687673</v>
      </c>
      <c r="F55" s="21" t="n">
        <v>10.9039413722999</v>
      </c>
      <c r="G55" s="20" t="n">
        <v>0.827292481597922</v>
      </c>
      <c r="H55" s="20" t="n">
        <v>0.736421820753226</v>
      </c>
      <c r="I55" s="20" t="n">
        <v>0.630996646949142</v>
      </c>
      <c r="J55" s="20" t="n">
        <v>0.519238054298155</v>
      </c>
      <c r="K55" s="20" t="n">
        <v>0.409917890493716</v>
      </c>
      <c r="L55" s="20" t="n">
        <v>0.310443482061697</v>
      </c>
    </row>
    <row r="56" customFormat="false" ht="15" hidden="false" customHeight="false" outlineLevel="0" collapsed="false">
      <c r="A56" s="18" t="n">
        <v>53</v>
      </c>
      <c r="B56" s="18" t="s">
        <v>94</v>
      </c>
      <c r="C56" s="18" t="s">
        <v>85</v>
      </c>
      <c r="D56" s="21" t="n">
        <v>7.1786835648619</v>
      </c>
      <c r="E56" s="21" t="n">
        <v>3.94528874922872</v>
      </c>
      <c r="F56" s="21" t="n">
        <v>11.1239723140906</v>
      </c>
      <c r="G56" s="20" t="n">
        <v>0.841459175321545</v>
      </c>
      <c r="H56" s="20" t="n">
        <v>0.755066699832809</v>
      </c>
      <c r="I56" s="20" t="n">
        <v>0.653141955775733</v>
      </c>
      <c r="J56" s="20" t="n">
        <v>0.543266851575864</v>
      </c>
      <c r="K56" s="20" t="n">
        <v>0.433971492457609</v>
      </c>
      <c r="L56" s="20" t="n">
        <v>0.33283779518007</v>
      </c>
    </row>
    <row r="57" customFormat="false" ht="15" hidden="false" customHeight="false" outlineLevel="0" collapsed="false">
      <c r="A57" s="18" t="n">
        <v>54</v>
      </c>
      <c r="B57" s="18" t="s">
        <v>94</v>
      </c>
      <c r="C57" s="18" t="s">
        <v>86</v>
      </c>
      <c r="D57" s="21" t="n">
        <v>4.97417695837488</v>
      </c>
      <c r="E57" s="21" t="n">
        <v>5.22788843026286</v>
      </c>
      <c r="F57" s="21" t="n">
        <v>10.2020653886377</v>
      </c>
      <c r="G57" s="20" t="n">
        <v>0.775122278686692</v>
      </c>
      <c r="H57" s="20" t="n">
        <v>0.670250122350182</v>
      </c>
      <c r="I57" s="20" t="n">
        <v>0.555233638127947</v>
      </c>
      <c r="J57" s="20" t="n">
        <v>0.439974348753699</v>
      </c>
      <c r="K57" s="20" t="n">
        <v>0.333394637768734</v>
      </c>
      <c r="L57" s="20" t="n">
        <v>0.241716690506058</v>
      </c>
    </row>
    <row r="58" customFormat="false" ht="15" hidden="false" customHeight="false" outlineLevel="0" collapsed="false">
      <c r="A58" s="18" t="n">
        <v>55</v>
      </c>
      <c r="B58" s="18" t="s">
        <v>94</v>
      </c>
      <c r="C58" s="18" t="s">
        <v>99</v>
      </c>
      <c r="D58" s="21" t="n">
        <v>5.97062360955585</v>
      </c>
      <c r="E58" s="21" t="n">
        <v>3.995280772983</v>
      </c>
      <c r="F58" s="21" t="n">
        <v>9.96590438253885</v>
      </c>
      <c r="G58" s="20" t="n">
        <v>0.755051747580405</v>
      </c>
      <c r="H58" s="20" t="n">
        <v>0.645733346626129</v>
      </c>
      <c r="I58" s="20" t="n">
        <v>0.528206308194751</v>
      </c>
      <c r="J58" s="20" t="n">
        <v>0.412755155398626</v>
      </c>
      <c r="K58" s="20" t="n">
        <v>0.308104607573297</v>
      </c>
      <c r="L58" s="20" t="n">
        <v>0.219862376463399</v>
      </c>
    </row>
    <row r="59" customFormat="false" ht="15" hidden="false" customHeight="false" outlineLevel="0" collapsed="false">
      <c r="A59" s="18" t="n">
        <v>56</v>
      </c>
      <c r="B59" s="18" t="s">
        <v>94</v>
      </c>
      <c r="C59" s="18" t="s">
        <v>90</v>
      </c>
      <c r="D59" s="21" t="n">
        <v>6.2749474265279</v>
      </c>
      <c r="E59" s="21" t="n">
        <v>4.32870608732317</v>
      </c>
      <c r="F59" s="21" t="n">
        <v>10.6036535138511</v>
      </c>
      <c r="G59" s="20" t="n">
        <v>0.806307633573388</v>
      </c>
      <c r="H59" s="20" t="n">
        <v>0.709355576269468</v>
      </c>
      <c r="I59" s="20" t="n">
        <v>0.599490801927187</v>
      </c>
      <c r="J59" s="20" t="n">
        <v>0.485734394990552</v>
      </c>
      <c r="K59" s="20" t="n">
        <v>0.377047791923045</v>
      </c>
      <c r="L59" s="20" t="n">
        <v>0.280449842724895</v>
      </c>
    </row>
    <row r="60" customFormat="false" ht="15" hidden="false" customHeight="false" outlineLevel="0" collapsed="false">
      <c r="A60" s="18" t="n">
        <v>57</v>
      </c>
      <c r="B60" s="18" t="s">
        <v>94</v>
      </c>
      <c r="C60" s="18" t="s">
        <v>87</v>
      </c>
      <c r="D60" s="21" t="n">
        <v>6.30518281764294</v>
      </c>
      <c r="E60" s="21" t="n">
        <v>4.38660952621865</v>
      </c>
      <c r="F60" s="21" t="n">
        <v>10.6917923438616</v>
      </c>
      <c r="G60" s="20" t="n">
        <v>0.812669306509584</v>
      </c>
      <c r="H60" s="20" t="n">
        <v>0.717493971253084</v>
      </c>
      <c r="I60" s="20" t="n">
        <v>0.60888649634488</v>
      </c>
      <c r="J60" s="20" t="n">
        <v>0.495643597751213</v>
      </c>
      <c r="K60" s="20" t="n">
        <v>0.386689143724543</v>
      </c>
      <c r="L60" s="20" t="n">
        <v>0.289174297068062</v>
      </c>
    </row>
    <row r="61" customFormat="false" ht="15" hidden="false" customHeight="false" outlineLevel="0" collapsed="false">
      <c r="A61" s="18" t="n">
        <v>58</v>
      </c>
      <c r="B61" s="18" t="s">
        <v>97</v>
      </c>
      <c r="C61" s="18" t="s">
        <v>73</v>
      </c>
      <c r="D61" s="21" t="n">
        <v>6.10792638704118</v>
      </c>
      <c r="E61" s="21" t="n">
        <v>4.68045643014592</v>
      </c>
      <c r="F61" s="21" t="n">
        <v>10.7883828171871</v>
      </c>
      <c r="G61" s="20" t="n">
        <v>0.819446772654318</v>
      </c>
      <c r="H61" s="20" t="n">
        <v>0.726227641255352</v>
      </c>
      <c r="I61" s="20" t="n">
        <v>0.619043116394093</v>
      </c>
      <c r="J61" s="20" t="n">
        <v>0.506433603071027</v>
      </c>
      <c r="K61" s="20" t="n">
        <v>0.397264227292877</v>
      </c>
      <c r="L61" s="20" t="n">
        <v>0.298813639294583</v>
      </c>
    </row>
    <row r="62" customFormat="false" ht="15" hidden="false" customHeight="false" outlineLevel="0" collapsed="false">
      <c r="A62" s="18" t="n">
        <v>59</v>
      </c>
      <c r="B62" s="18" t="s">
        <v>97</v>
      </c>
      <c r="C62" s="18" t="s">
        <v>88</v>
      </c>
      <c r="D62" s="21" t="n">
        <v>5.9024574145351</v>
      </c>
      <c r="E62" s="21" t="n">
        <v>4.69738280589087</v>
      </c>
      <c r="F62" s="21" t="n">
        <v>10.599840220426</v>
      </c>
      <c r="G62" s="20" t="n">
        <v>0.806028545374634</v>
      </c>
      <c r="H62" s="20" t="n">
        <v>0.708999838916174</v>
      </c>
      <c r="I62" s="20" t="n">
        <v>0.599081599315288</v>
      </c>
      <c r="J62" s="20" t="n">
        <v>0.485304398140991</v>
      </c>
      <c r="K62" s="20" t="n">
        <v>0.376630941956436</v>
      </c>
      <c r="L62" s="20" t="n">
        <v>0.280074010829002</v>
      </c>
    </row>
    <row r="63" customFormat="false" ht="15" hidden="false" customHeight="false" outlineLevel="0" collapsed="false">
      <c r="A63" s="18" t="n">
        <v>60</v>
      </c>
      <c r="B63" s="18" t="s">
        <v>97</v>
      </c>
      <c r="C63" s="18" t="s">
        <v>86</v>
      </c>
      <c r="D63" s="21" t="n">
        <v>5.15381850724417</v>
      </c>
      <c r="E63" s="21" t="n">
        <v>5.26298528212501</v>
      </c>
      <c r="F63" s="21" t="n">
        <v>10.4168037893692</v>
      </c>
      <c r="G63" s="20" t="n">
        <v>0.792251815193825</v>
      </c>
      <c r="H63" s="20" t="n">
        <v>0.691571528762167</v>
      </c>
      <c r="I63" s="20" t="n">
        <v>0.579184343375267</v>
      </c>
      <c r="J63" s="20" t="n">
        <v>0.464552544767084</v>
      </c>
      <c r="K63" s="20" t="n">
        <v>0.356663792749899</v>
      </c>
      <c r="L63" s="20" t="n">
        <v>0.262205743104975</v>
      </c>
    </row>
    <row r="64" customFormat="false" ht="15" hidden="false" customHeight="false" outlineLevel="0" collapsed="false">
      <c r="A64" s="18" t="n">
        <v>61</v>
      </c>
      <c r="B64" s="18" t="s">
        <v>97</v>
      </c>
      <c r="C64" s="18" t="s">
        <v>99</v>
      </c>
      <c r="D64" s="21" t="n">
        <v>6.18625165856009</v>
      </c>
      <c r="E64" s="21" t="n">
        <v>4.02210264940741</v>
      </c>
      <c r="F64" s="21" t="n">
        <v>10.2083543079675</v>
      </c>
      <c r="G64" s="20" t="n">
        <v>0.775638996892757</v>
      </c>
      <c r="H64" s="20" t="n">
        <v>0.670887827358673</v>
      </c>
      <c r="I64" s="20" t="n">
        <v>0.555943880910867</v>
      </c>
      <c r="J64" s="20" t="n">
        <v>0.440696971763641</v>
      </c>
      <c r="K64" s="20" t="n">
        <v>0.334072910520943</v>
      </c>
      <c r="L64" s="20" t="n">
        <v>0.242308792233569</v>
      </c>
    </row>
    <row r="65" customFormat="false" ht="15" hidden="false" customHeight="false" outlineLevel="0" collapsed="false">
      <c r="A65" s="18" t="n">
        <v>62</v>
      </c>
      <c r="B65" s="18" t="s">
        <v>97</v>
      </c>
      <c r="C65" s="18" t="s">
        <v>90</v>
      </c>
      <c r="D65" s="21" t="n">
        <v>6.50156607805717</v>
      </c>
      <c r="E65" s="21" t="n">
        <v>4.35776637778808</v>
      </c>
      <c r="F65" s="21" t="n">
        <v>10.8593324558453</v>
      </c>
      <c r="G65" s="20" t="n">
        <v>0.824297416662153</v>
      </c>
      <c r="H65" s="20" t="n">
        <v>0.732519438705319</v>
      </c>
      <c r="I65" s="20" t="n">
        <v>0.626408105226232</v>
      </c>
      <c r="J65" s="20" t="n">
        <v>0.514309291011148</v>
      </c>
      <c r="K65" s="20" t="n">
        <v>0.405033737220796</v>
      </c>
      <c r="L65" s="20" t="n">
        <v>0.305942156744728</v>
      </c>
    </row>
    <row r="66" customFormat="false" ht="15" hidden="false" customHeight="false" outlineLevel="0" collapsed="false">
      <c r="A66" s="18" t="n">
        <v>63</v>
      </c>
      <c r="B66" s="18" t="s">
        <v>99</v>
      </c>
      <c r="C66" s="18" t="s">
        <v>91</v>
      </c>
      <c r="D66" s="21" t="n">
        <v>5.37077477138647</v>
      </c>
      <c r="E66" s="21" t="n">
        <v>4.03908088592798</v>
      </c>
      <c r="F66" s="21" t="n">
        <v>9.40985565731445</v>
      </c>
      <c r="G66" s="20" t="n">
        <v>0.702588549515815</v>
      </c>
      <c r="H66" s="20" t="n">
        <v>0.583833228010931</v>
      </c>
      <c r="I66" s="20" t="n">
        <v>0.462283385335563</v>
      </c>
      <c r="J66" s="20" t="n">
        <v>0.348606626714491</v>
      </c>
      <c r="K66" s="20" t="n">
        <v>0.250506015497471</v>
      </c>
      <c r="L66" s="20" t="n">
        <v>0.171753671936607</v>
      </c>
    </row>
    <row r="67" customFormat="false" ht="15" hidden="false" customHeight="false" outlineLevel="0" collapsed="false">
      <c r="A67" s="18" t="n">
        <v>64</v>
      </c>
      <c r="B67" s="18" t="s">
        <v>99</v>
      </c>
      <c r="C67" s="18" t="s">
        <v>83</v>
      </c>
      <c r="D67" s="21" t="n">
        <v>5.47084444708789</v>
      </c>
      <c r="E67" s="21" t="n">
        <v>5.73767065845621</v>
      </c>
      <c r="F67" s="21" t="n">
        <v>11.2085151055441</v>
      </c>
      <c r="G67" s="20" t="n">
        <v>0.846640053901043</v>
      </c>
      <c r="H67" s="20" t="n">
        <v>0.761964856532384</v>
      </c>
      <c r="I67" s="20" t="n">
        <v>0.661430630175929</v>
      </c>
      <c r="J67" s="20" t="n">
        <v>0.552365073060153</v>
      </c>
      <c r="K67" s="20" t="n">
        <v>0.443184830435296</v>
      </c>
      <c r="L67" s="20" t="n">
        <v>0.341514969438345</v>
      </c>
    </row>
    <row r="68" customFormat="false" ht="15" hidden="false" customHeight="false" outlineLevel="0" collapsed="false">
      <c r="A68" s="18" t="n">
        <v>65</v>
      </c>
      <c r="B68" s="18" t="s">
        <v>99</v>
      </c>
      <c r="C68" s="18" t="s">
        <v>84</v>
      </c>
      <c r="D68" s="21" t="n">
        <v>5.63048900281869</v>
      </c>
      <c r="E68" s="21" t="n">
        <v>4.14372027614165</v>
      </c>
      <c r="F68" s="21" t="n">
        <v>9.77420927896034</v>
      </c>
      <c r="G68" s="20" t="n">
        <v>0.737795395477669</v>
      </c>
      <c r="H68" s="20" t="n">
        <v>0.625035087693308</v>
      </c>
      <c r="I68" s="20" t="n">
        <v>0.505801072716562</v>
      </c>
      <c r="J68" s="20" t="n">
        <v>0.390599066286656</v>
      </c>
      <c r="K68" s="20" t="n">
        <v>0.287891445476841</v>
      </c>
      <c r="L68" s="20" t="n">
        <v>0.202711562962257</v>
      </c>
    </row>
    <row r="69" customFormat="false" ht="15" hidden="false" customHeight="false" outlineLevel="0" collapsed="false">
      <c r="A69" s="18" t="n">
        <v>66</v>
      </c>
      <c r="B69" s="18" t="s">
        <v>99</v>
      </c>
      <c r="C69" s="18" t="s">
        <v>85</v>
      </c>
      <c r="D69" s="21" t="n">
        <v>6.28783191980062</v>
      </c>
      <c r="E69" s="21" t="n">
        <v>4.01087455800863</v>
      </c>
      <c r="F69" s="21" t="n">
        <v>10.2987064778093</v>
      </c>
      <c r="G69" s="20" t="n">
        <v>0.782961938694975</v>
      </c>
      <c r="H69" s="20" t="n">
        <v>0.67996156739269</v>
      </c>
      <c r="I69" s="20" t="n">
        <v>0.566090235464568</v>
      </c>
      <c r="J69" s="20" t="n">
        <v>0.451061599455107</v>
      </c>
      <c r="K69" s="20" t="n">
        <v>0.343840491505944</v>
      </c>
      <c r="L69" s="20" t="n">
        <v>0.25086973754633</v>
      </c>
    </row>
    <row r="70" customFormat="false" ht="15" hidden="false" customHeight="false" outlineLevel="0" collapsed="false">
      <c r="A70" s="18" t="n">
        <v>67</v>
      </c>
      <c r="B70" s="18" t="s">
        <v>99</v>
      </c>
      <c r="C70" s="18" t="s">
        <v>98</v>
      </c>
      <c r="D70" s="21" t="n">
        <v>5.40033909811974</v>
      </c>
      <c r="E70" s="21" t="n">
        <v>4.20738584970496</v>
      </c>
      <c r="F70" s="21" t="n">
        <v>9.60772494782471</v>
      </c>
      <c r="G70" s="20" t="n">
        <v>0.722100472494563</v>
      </c>
      <c r="H70" s="20" t="n">
        <v>0.606501709808455</v>
      </c>
      <c r="I70" s="20" t="n">
        <v>0.486050544055165</v>
      </c>
      <c r="J70" s="20" t="n">
        <v>0.371371308650266</v>
      </c>
      <c r="K70" s="20" t="n">
        <v>0.270622174837922</v>
      </c>
      <c r="L70" s="20" t="n">
        <v>0.188286206977098</v>
      </c>
    </row>
    <row r="71" customFormat="false" ht="15" hidden="false" customHeight="false" outlineLevel="0" collapsed="false">
      <c r="A71" s="18" t="n">
        <v>68</v>
      </c>
      <c r="B71" s="18" t="s">
        <v>90</v>
      </c>
      <c r="C71" s="18" t="s">
        <v>73</v>
      </c>
      <c r="D71" s="21" t="n">
        <v>5.59439094765408</v>
      </c>
      <c r="E71" s="21" t="n">
        <v>4.96744474394259</v>
      </c>
      <c r="F71" s="21" t="n">
        <v>10.5618356915967</v>
      </c>
      <c r="G71" s="20" t="n">
        <v>0.80322948983194</v>
      </c>
      <c r="H71" s="20" t="n">
        <v>0.705438001696561</v>
      </c>
      <c r="I71" s="20" t="n">
        <v>0.594991273720897</v>
      </c>
      <c r="J71" s="20" t="n">
        <v>0.481013383755684</v>
      </c>
      <c r="K71" s="20" t="n">
        <v>0.3724780559338</v>
      </c>
      <c r="L71" s="20" t="n">
        <v>0.276336006934117</v>
      </c>
    </row>
    <row r="72" customFormat="false" ht="15" hidden="false" customHeight="false" outlineLevel="0" collapsed="false">
      <c r="A72" s="18" t="n">
        <v>69</v>
      </c>
      <c r="B72" s="18" t="s">
        <v>90</v>
      </c>
      <c r="C72" s="18" t="s">
        <v>74</v>
      </c>
      <c r="D72" s="21" t="n">
        <v>5.07220616053001</v>
      </c>
      <c r="E72" s="21" t="n">
        <v>5.12819240321668</v>
      </c>
      <c r="F72" s="21" t="n">
        <v>10.2003985637467</v>
      </c>
      <c r="G72" s="20" t="n">
        <v>0.77498517349702</v>
      </c>
      <c r="H72" s="20" t="n">
        <v>0.670080970728574</v>
      </c>
      <c r="I72" s="20" t="n">
        <v>0.555045308189119</v>
      </c>
      <c r="J72" s="20" t="n">
        <v>0.43978279947896</v>
      </c>
      <c r="K72" s="20" t="n">
        <v>0.333214904167424</v>
      </c>
      <c r="L72" s="20" t="n">
        <v>0.241559843076999</v>
      </c>
    </row>
    <row r="73" customFormat="false" ht="15" hidden="false" customHeight="false" outlineLevel="0" collapsed="false">
      <c r="A73" s="18" t="n">
        <v>70</v>
      </c>
      <c r="B73" s="18" t="s">
        <v>90</v>
      </c>
      <c r="C73" s="18" t="s">
        <v>99</v>
      </c>
      <c r="D73" s="21" t="n">
        <v>5.66613087413511</v>
      </c>
      <c r="E73" s="21" t="n">
        <v>4.26872313920322</v>
      </c>
      <c r="F73" s="21" t="n">
        <v>9.93485401333833</v>
      </c>
      <c r="G73" s="20" t="n">
        <v>0.752315590853719</v>
      </c>
      <c r="H73" s="20" t="n">
        <v>0.642428434367044</v>
      </c>
      <c r="I73" s="20" t="n">
        <v>0.524603840610751</v>
      </c>
      <c r="J73" s="20" t="n">
        <v>0.409167931939842</v>
      </c>
      <c r="K73" s="20" t="n">
        <v>0.304809234004021</v>
      </c>
      <c r="L73" s="20" t="n">
        <v>0.217046909106451</v>
      </c>
    </row>
    <row r="74" customFormat="false" ht="15" hidden="false" customHeight="false" outlineLevel="0" collapsed="false">
      <c r="A74" s="18" t="n">
        <v>71</v>
      </c>
      <c r="B74" s="18" t="s">
        <v>90</v>
      </c>
      <c r="C74" s="18" t="s">
        <v>81</v>
      </c>
      <c r="D74" s="21" t="n">
        <v>4.81271966547465</v>
      </c>
      <c r="E74" s="21" t="n">
        <v>5.09909034117875</v>
      </c>
      <c r="F74" s="21" t="n">
        <v>9.9118100066534</v>
      </c>
      <c r="G74" s="20" t="n">
        <v>0.750270245178593</v>
      </c>
      <c r="H74" s="20" t="n">
        <v>0.639963655524684</v>
      </c>
      <c r="I74" s="20" t="n">
        <v>0.521923374830666</v>
      </c>
      <c r="J74" s="20" t="n">
        <v>0.406504996332883</v>
      </c>
      <c r="K74" s="20" t="n">
        <v>0.302368621556874</v>
      </c>
      <c r="L74" s="20" t="n">
        <v>0.214966558738988</v>
      </c>
    </row>
    <row r="75" customFormat="false" ht="15" hidden="false" customHeight="false" outlineLevel="0" collapsed="false">
      <c r="A75" s="18" t="n">
        <v>72</v>
      </c>
      <c r="B75" s="18" t="s">
        <v>77</v>
      </c>
      <c r="C75" s="18" t="s">
        <v>88</v>
      </c>
      <c r="D75" s="21" t="n">
        <v>6.8707612273824</v>
      </c>
      <c r="E75" s="21" t="n">
        <v>3.654471037895</v>
      </c>
      <c r="F75" s="21" t="n">
        <v>10.5252322652774</v>
      </c>
      <c r="G75" s="20" t="n">
        <v>0.800503323119237</v>
      </c>
      <c r="H75" s="20" t="n">
        <v>0.70197925317048</v>
      </c>
      <c r="I75" s="20" t="n">
        <v>0.591031167796861</v>
      </c>
      <c r="J75" s="20" t="n">
        <v>0.476871357235875</v>
      </c>
      <c r="K75" s="20" t="n">
        <v>0.368481306915464</v>
      </c>
      <c r="L75" s="20" t="n">
        <v>0.272749261506273</v>
      </c>
    </row>
    <row r="76" customFormat="false" ht="15" hidden="false" customHeight="false" outlineLevel="0" collapsed="false">
      <c r="A76" s="18" t="n">
        <v>73</v>
      </c>
      <c r="B76" s="18" t="s">
        <v>77</v>
      </c>
      <c r="C76" s="18" t="s">
        <v>83</v>
      </c>
      <c r="D76" s="21" t="n">
        <v>7.53317637677341</v>
      </c>
      <c r="E76" s="21" t="n">
        <v>4.42027965335918</v>
      </c>
      <c r="F76" s="21" t="n">
        <v>11.9534560301326</v>
      </c>
      <c r="G76" s="20" t="n">
        <v>0.886432490193608</v>
      </c>
      <c r="H76" s="20" t="n">
        <v>0.816521308268093</v>
      </c>
      <c r="I76" s="20" t="n">
        <v>0.728948119371647</v>
      </c>
      <c r="J76" s="20" t="n">
        <v>0.628714908288538</v>
      </c>
      <c r="K76" s="20" t="n">
        <v>0.522854180838451</v>
      </c>
      <c r="L76" s="20" t="n">
        <v>0.418850227891304</v>
      </c>
    </row>
    <row r="77" customFormat="false" ht="15" hidden="false" customHeight="false" outlineLevel="0" collapsed="false">
      <c r="A77" s="18" t="n">
        <v>74</v>
      </c>
      <c r="B77" s="18" t="s">
        <v>77</v>
      </c>
      <c r="C77" s="18" t="s">
        <v>84</v>
      </c>
      <c r="D77" s="21" t="n">
        <v>7.75300178170737</v>
      </c>
      <c r="E77" s="21" t="n">
        <v>3.19230634104904</v>
      </c>
      <c r="F77" s="21" t="n">
        <v>10.9453081227564</v>
      </c>
      <c r="G77" s="20" t="n">
        <v>0.830032440271448</v>
      </c>
      <c r="H77" s="20" t="n">
        <v>0.74000367122085</v>
      </c>
      <c r="I77" s="20" t="n">
        <v>0.635222283924683</v>
      </c>
      <c r="J77" s="20" t="n">
        <v>0.523792077397214</v>
      </c>
      <c r="K77" s="20" t="n">
        <v>0.414445680308877</v>
      </c>
      <c r="L77" s="20" t="n">
        <v>0.314630231945632</v>
      </c>
    </row>
    <row r="78" customFormat="false" ht="15" hidden="false" customHeight="false" outlineLevel="0" collapsed="false">
      <c r="A78" s="18" t="n">
        <v>75</v>
      </c>
      <c r="B78" s="18" t="s">
        <v>77</v>
      </c>
      <c r="C78" s="18" t="s">
        <v>85</v>
      </c>
      <c r="D78" s="21" t="n">
        <v>8.65814178002764</v>
      </c>
      <c r="E78" s="21" t="n">
        <v>3.08996250504761</v>
      </c>
      <c r="F78" s="21" t="n">
        <v>11.7481042850753</v>
      </c>
      <c r="G78" s="20" t="n">
        <v>0.876465351204558</v>
      </c>
      <c r="H78" s="20" t="n">
        <v>0.802576788712554</v>
      </c>
      <c r="I78" s="20" t="n">
        <v>0.711341945078331</v>
      </c>
      <c r="J78" s="20" t="n">
        <v>0.608407623629399</v>
      </c>
      <c r="K78" s="20" t="n">
        <v>0.501245223756899</v>
      </c>
      <c r="L78" s="20" t="n">
        <v>0.397464571070198</v>
      </c>
    </row>
    <row r="79" customFormat="false" ht="15" hidden="false" customHeight="false" outlineLevel="0" collapsed="false">
      <c r="A79" s="18" t="n">
        <v>76</v>
      </c>
      <c r="B79" s="18" t="s">
        <v>77</v>
      </c>
      <c r="C79" s="18" t="s">
        <v>89</v>
      </c>
      <c r="D79" s="21" t="n">
        <v>6.65045854170192</v>
      </c>
      <c r="E79" s="21" t="n">
        <v>3.90736710561337</v>
      </c>
      <c r="F79" s="21" t="n">
        <v>10.5578256473153</v>
      </c>
      <c r="G79" s="20" t="n">
        <v>0.802932281017046</v>
      </c>
      <c r="H79" s="20" t="n">
        <v>0.705060432703891</v>
      </c>
      <c r="I79" s="20" t="n">
        <v>0.594558409303</v>
      </c>
      <c r="J79" s="20" t="n">
        <v>0.480560042332796</v>
      </c>
      <c r="K79" s="20" t="n">
        <v>0.372040043397695</v>
      </c>
      <c r="L79" s="20" t="n">
        <v>0.275942414225801</v>
      </c>
    </row>
    <row r="80" customFormat="false" ht="15" hidden="false" customHeight="false" outlineLevel="0" collapsed="false">
      <c r="A80" s="18" t="n">
        <v>77</v>
      </c>
      <c r="B80" s="18" t="s">
        <v>77</v>
      </c>
      <c r="C80" s="18" t="s">
        <v>79</v>
      </c>
      <c r="D80" s="21" t="n">
        <v>7.56815424307442</v>
      </c>
      <c r="E80" s="21" t="n">
        <v>3.390256165107</v>
      </c>
      <c r="F80" s="21" t="n">
        <v>10.9584104081814</v>
      </c>
      <c r="G80" s="20" t="n">
        <v>0.830892813497729</v>
      </c>
      <c r="H80" s="20" t="n">
        <v>0.741130765957815</v>
      </c>
      <c r="I80" s="20" t="n">
        <v>0.636554746194548</v>
      </c>
      <c r="J80" s="20" t="n">
        <v>0.525231099289722</v>
      </c>
      <c r="K80" s="20" t="n">
        <v>0.415879410847698</v>
      </c>
      <c r="L80" s="20" t="n">
        <v>0.31595874880557</v>
      </c>
    </row>
    <row r="81" customFormat="false" ht="15" hidden="false" customHeight="false" outlineLevel="0" collapsed="false">
      <c r="A81" s="18" t="n">
        <v>78</v>
      </c>
      <c r="B81" s="18" t="s">
        <v>79</v>
      </c>
      <c r="C81" s="18" t="s">
        <v>91</v>
      </c>
      <c r="D81" s="21" t="n">
        <v>5.81899164728397</v>
      </c>
      <c r="E81" s="21" t="n">
        <v>4.24495360419767</v>
      </c>
      <c r="F81" s="21" t="n">
        <v>10.0639452514816</v>
      </c>
      <c r="G81" s="20" t="n">
        <v>0.763542214980032</v>
      </c>
      <c r="H81" s="20" t="n">
        <v>0.656045183620279</v>
      </c>
      <c r="I81" s="20" t="n">
        <v>0.539508532538913</v>
      </c>
      <c r="J81" s="20" t="n">
        <v>0.42407165911097</v>
      </c>
      <c r="K81" s="20" t="n">
        <v>0.318557843463485</v>
      </c>
      <c r="L81" s="20" t="n">
        <v>0.228842681963275</v>
      </c>
    </row>
    <row r="82" customFormat="false" ht="15" hidden="false" customHeight="false" outlineLevel="0" collapsed="false">
      <c r="A82" s="18" t="n">
        <v>79</v>
      </c>
      <c r="B82" s="18" t="s">
        <v>79</v>
      </c>
      <c r="C82" s="18" t="s">
        <v>83</v>
      </c>
      <c r="D82" s="21" t="n">
        <v>5.92741261666724</v>
      </c>
      <c r="E82" s="21" t="n">
        <v>6.03012081935989</v>
      </c>
      <c r="F82" s="21" t="n">
        <v>11.9575334360271</v>
      </c>
      <c r="G82" s="20" t="n">
        <v>0.886623128657319</v>
      </c>
      <c r="H82" s="20" t="n">
        <v>0.816789996648426</v>
      </c>
      <c r="I82" s="20" t="n">
        <v>0.729289869094868</v>
      </c>
      <c r="J82" s="20" t="n">
        <v>0.629111995048082</v>
      </c>
      <c r="K82" s="20" t="n">
        <v>0.52327982850928</v>
      </c>
      <c r="L82" s="20" t="n">
        <v>0.419274568389781</v>
      </c>
    </row>
    <row r="83" customFormat="false" ht="15" hidden="false" customHeight="false" outlineLevel="0" collapsed="false">
      <c r="A83" s="18" t="n">
        <v>80</v>
      </c>
      <c r="B83" s="18" t="s">
        <v>79</v>
      </c>
      <c r="C83" s="18" t="s">
        <v>92</v>
      </c>
      <c r="D83" s="21" t="n">
        <v>6.50740243869579</v>
      </c>
      <c r="E83" s="21" t="n">
        <v>4.47909024377649</v>
      </c>
      <c r="F83" s="21" t="n">
        <v>10.9864926824723</v>
      </c>
      <c r="G83" s="20" t="n">
        <v>0.832724819574498</v>
      </c>
      <c r="H83" s="20" t="n">
        <v>0.743534493255417</v>
      </c>
      <c r="I83" s="20" t="n">
        <v>0.639400940698684</v>
      </c>
      <c r="J83" s="20" t="n">
        <v>0.528309761698237</v>
      </c>
      <c r="K83" s="20" t="n">
        <v>0.418951595722631</v>
      </c>
      <c r="L83" s="20" t="n">
        <v>0.318809978167951</v>
      </c>
    </row>
    <row r="84" customFormat="false" ht="15" hidden="false" customHeight="false" outlineLevel="0" collapsed="false">
      <c r="A84" s="18" t="n">
        <v>81</v>
      </c>
      <c r="B84" s="18" t="s">
        <v>79</v>
      </c>
      <c r="C84" s="18" t="s">
        <v>84</v>
      </c>
      <c r="D84" s="21" t="n">
        <v>6.10038027512895</v>
      </c>
      <c r="E84" s="21" t="n">
        <v>4.35492648396249</v>
      </c>
      <c r="F84" s="21" t="n">
        <v>10.4553067590914</v>
      </c>
      <c r="G84" s="20" t="n">
        <v>0.795212184475888</v>
      </c>
      <c r="H84" s="20" t="n">
        <v>0.695295002961333</v>
      </c>
      <c r="I84" s="20" t="n">
        <v>0.583410757887991</v>
      </c>
      <c r="J84" s="20" t="n">
        <v>0.468934966087847</v>
      </c>
      <c r="K84" s="20" t="n">
        <v>0.360856013440727</v>
      </c>
      <c r="L84" s="20" t="n">
        <v>0.265935442778248</v>
      </c>
    </row>
    <row r="85" customFormat="false" ht="15" hidden="false" customHeight="false" outlineLevel="0" collapsed="false">
      <c r="A85" s="18" t="n">
        <v>82</v>
      </c>
      <c r="B85" s="18" t="s">
        <v>79</v>
      </c>
      <c r="C85" s="18" t="s">
        <v>97</v>
      </c>
      <c r="D85" s="21" t="n">
        <v>5.61089525045333</v>
      </c>
      <c r="E85" s="21" t="n">
        <v>5.04951612768674</v>
      </c>
      <c r="F85" s="21" t="n">
        <v>10.6604113781401</v>
      </c>
      <c r="G85" s="20" t="n">
        <v>0.810423808418428</v>
      </c>
      <c r="H85" s="20" t="n">
        <v>0.714614838796559</v>
      </c>
      <c r="I85" s="20" t="n">
        <v>0.605555058228443</v>
      </c>
      <c r="J85" s="20" t="n">
        <v>0.49212215993625</v>
      </c>
      <c r="K85" s="20" t="n">
        <v>0.383255176570647</v>
      </c>
      <c r="L85" s="20" t="n">
        <v>0.286059915391667</v>
      </c>
    </row>
    <row r="86" customFormat="false" ht="15" hidden="false" customHeight="false" outlineLevel="0" collapsed="false">
      <c r="A86" s="18" t="n">
        <v>83</v>
      </c>
      <c r="B86" s="18" t="s">
        <v>87</v>
      </c>
      <c r="C86" s="18" t="s">
        <v>88</v>
      </c>
      <c r="D86" s="21" t="n">
        <v>5.47851379008029</v>
      </c>
      <c r="E86" s="21" t="n">
        <v>5.00943082375104</v>
      </c>
      <c r="F86" s="21" t="n">
        <v>10.4879446138313</v>
      </c>
      <c r="G86" s="20" t="n">
        <v>0.797695468699265</v>
      </c>
      <c r="H86" s="20" t="n">
        <v>0.698427422353936</v>
      </c>
      <c r="I86" s="20" t="n">
        <v>0.586976537993729</v>
      </c>
      <c r="J86" s="20" t="n">
        <v>0.472643031687048</v>
      </c>
      <c r="K86" s="20" t="n">
        <v>0.364413375991162</v>
      </c>
      <c r="L86" s="20" t="n">
        <v>0.269109454042333</v>
      </c>
    </row>
    <row r="87" customFormat="false" ht="15" hidden="false" customHeight="false" outlineLevel="0" collapsed="false">
      <c r="A87" s="18" t="n">
        <v>84</v>
      </c>
      <c r="B87" s="18" t="s">
        <v>87</v>
      </c>
      <c r="C87" s="18" t="s">
        <v>91</v>
      </c>
      <c r="D87" s="21" t="n">
        <v>5.89683006377257</v>
      </c>
      <c r="E87" s="21" t="n">
        <v>4.26540761341304</v>
      </c>
      <c r="F87" s="21" t="n">
        <v>10.1622376771856</v>
      </c>
      <c r="G87" s="20" t="n">
        <v>0.771828631847626</v>
      </c>
      <c r="H87" s="20" t="n">
        <v>0.666193102674682</v>
      </c>
      <c r="I87" s="20" t="n">
        <v>0.550723825224587</v>
      </c>
      <c r="J87" s="20" t="n">
        <v>0.435394741007618</v>
      </c>
      <c r="K87" s="20" t="n">
        <v>0.329104353637953</v>
      </c>
      <c r="L87" s="20" t="n">
        <v>0.237978653543339</v>
      </c>
    </row>
    <row r="88" customFormat="false" ht="15" hidden="false" customHeight="false" outlineLevel="0" collapsed="false">
      <c r="A88" s="18" t="n">
        <v>85</v>
      </c>
      <c r="B88" s="18" t="s">
        <v>87</v>
      </c>
      <c r="C88" s="18" t="s">
        <v>89</v>
      </c>
      <c r="D88" s="21" t="n">
        <v>5.3028518420734</v>
      </c>
      <c r="E88" s="21" t="n">
        <v>5.35609258237413</v>
      </c>
      <c r="F88" s="21" t="n">
        <v>10.6589444244475</v>
      </c>
      <c r="G88" s="20" t="n">
        <v>0.810318312526151</v>
      </c>
      <c r="H88" s="20" t="n">
        <v>0.714479749385983</v>
      </c>
      <c r="I88" s="20" t="n">
        <v>0.605398949210492</v>
      </c>
      <c r="J88" s="20" t="n">
        <v>0.491957361675944</v>
      </c>
      <c r="K88" s="20" t="n">
        <v>0.383094680327209</v>
      </c>
      <c r="L88" s="20" t="n">
        <v>0.285914544824665</v>
      </c>
    </row>
    <row r="89" customFormat="false" ht="15" hidden="false" customHeight="false" outlineLevel="0" collapsed="false">
      <c r="A89" s="18" t="n">
        <v>86</v>
      </c>
      <c r="B89" s="18" t="s">
        <v>87</v>
      </c>
      <c r="C89" s="18" t="s">
        <v>97</v>
      </c>
      <c r="D89" s="21" t="n">
        <v>5.68595004136072</v>
      </c>
      <c r="E89" s="21" t="n">
        <v>5.07384686461321</v>
      </c>
      <c r="F89" s="21" t="n">
        <v>10.7597969059739</v>
      </c>
      <c r="G89" s="20" t="n">
        <v>0.817461976324312</v>
      </c>
      <c r="H89" s="20" t="n">
        <v>0.723663099247687</v>
      </c>
      <c r="I89" s="20" t="n">
        <v>0.616052747307466</v>
      </c>
      <c r="J89" s="20" t="n">
        <v>0.503248247647843</v>
      </c>
      <c r="K89" s="20" t="n">
        <v>0.394133978908826</v>
      </c>
      <c r="L89" s="20" t="n">
        <v>0.295952761902696</v>
      </c>
    </row>
    <row r="90" customFormat="false" ht="15" hidden="false" customHeight="false" outlineLevel="0" collapsed="false">
      <c r="A90" s="18" t="n">
        <v>87</v>
      </c>
      <c r="B90" s="18" t="s">
        <v>87</v>
      </c>
      <c r="C90" s="18" t="s">
        <v>77</v>
      </c>
      <c r="D90" s="21" t="n">
        <v>4.42355682040903</v>
      </c>
      <c r="E90" s="21" t="n">
        <v>5.90621632020805</v>
      </c>
      <c r="F90" s="21" t="n">
        <v>10.3297731406171</v>
      </c>
      <c r="G90" s="20" t="n">
        <v>0.785436545742508</v>
      </c>
      <c r="H90" s="20" t="n">
        <v>0.68304325539008</v>
      </c>
      <c r="I90" s="20" t="n">
        <v>0.569553552521554</v>
      </c>
      <c r="J90" s="20" t="n">
        <v>0.454617208633107</v>
      </c>
      <c r="K90" s="20" t="n">
        <v>0.347208115839414</v>
      </c>
      <c r="L90" s="20" t="n">
        <v>0.253836159035021</v>
      </c>
    </row>
    <row r="91" customFormat="false" ht="15" hidden="false" customHeight="false" outlineLevel="0" collapsed="false">
      <c r="A91" s="18" t="n">
        <v>88</v>
      </c>
      <c r="B91" s="18" t="s">
        <v>81</v>
      </c>
      <c r="C91" s="18" t="s">
        <v>84</v>
      </c>
      <c r="D91" s="21" t="n">
        <v>6.72575174218137</v>
      </c>
      <c r="E91" s="21" t="n">
        <v>3.51960879552699</v>
      </c>
      <c r="F91" s="21" t="n">
        <v>10.2453605377084</v>
      </c>
      <c r="G91" s="20" t="n">
        <v>0.778661042389159</v>
      </c>
      <c r="H91" s="20" t="n">
        <v>0.674624176409485</v>
      </c>
      <c r="I91" s="20" t="n">
        <v>0.560112720203285</v>
      </c>
      <c r="J91" s="20" t="n">
        <v>0.444946112865749</v>
      </c>
      <c r="K91" s="20" t="n">
        <v>0.338068447106965</v>
      </c>
      <c r="L91" s="20" t="n">
        <v>0.245803000406229</v>
      </c>
    </row>
    <row r="92" customFormat="false" ht="15" hidden="false" customHeight="false" outlineLevel="0" collapsed="false">
      <c r="A92" s="18" t="n">
        <v>89</v>
      </c>
      <c r="B92" s="18" t="s">
        <v>81</v>
      </c>
      <c r="C92" s="18" t="s">
        <v>94</v>
      </c>
      <c r="D92" s="21" t="n">
        <v>6.14483521084886</v>
      </c>
      <c r="E92" s="21" t="n">
        <v>3.93872301395679</v>
      </c>
      <c r="F92" s="21" t="n">
        <v>10.0835582248057</v>
      </c>
      <c r="G92" s="20" t="n">
        <v>0.765213667273882</v>
      </c>
      <c r="H92" s="20" t="n">
        <v>0.658085381268623</v>
      </c>
      <c r="I92" s="20" t="n">
        <v>0.541755886741576</v>
      </c>
      <c r="J92" s="20" t="n">
        <v>0.426333118823281</v>
      </c>
      <c r="K92" s="20" t="n">
        <v>0.320657237218127</v>
      </c>
      <c r="L92" s="20" t="n">
        <v>0.230655267077242</v>
      </c>
    </row>
    <row r="93" customFormat="false" ht="15" hidden="false" customHeight="false" outlineLevel="0" collapsed="false">
      <c r="A93" s="18" t="n">
        <v>90</v>
      </c>
      <c r="B93" s="18" t="s">
        <v>81</v>
      </c>
      <c r="C93" s="18" t="s">
        <v>79</v>
      </c>
      <c r="D93" s="21" t="n">
        <v>6.56539596128475</v>
      </c>
      <c r="E93" s="21" t="n">
        <v>3.73785412269645</v>
      </c>
      <c r="F93" s="21" t="n">
        <v>10.3032500839812</v>
      </c>
      <c r="G93" s="20" t="n">
        <v>0.783325237632197</v>
      </c>
      <c r="H93" s="20" t="n">
        <v>0.680413499810673</v>
      </c>
      <c r="I93" s="20" t="n">
        <v>0.566597580944506</v>
      </c>
      <c r="J93" s="20" t="n">
        <v>0.451581897323224</v>
      </c>
      <c r="K93" s="20" t="n">
        <v>0.344332743994029</v>
      </c>
      <c r="L93" s="20" t="n">
        <v>0.251302872429395</v>
      </c>
    </row>
    <row r="94" customFormat="false" ht="15" hidden="false" customHeight="false" outlineLevel="0" collapsed="false">
      <c r="A94" s="18" t="n">
        <v>91</v>
      </c>
      <c r="B94" s="18" t="s">
        <v>81</v>
      </c>
      <c r="C94" s="18" t="s">
        <v>87</v>
      </c>
      <c r="D94" s="21" t="n">
        <v>6.59703085815661</v>
      </c>
      <c r="E94" s="21" t="n">
        <v>3.78785396177714</v>
      </c>
      <c r="F94" s="21" t="n">
        <v>10.3848848199338</v>
      </c>
      <c r="G94" s="20" t="n">
        <v>0.78977226026888</v>
      </c>
      <c r="H94" s="20" t="n">
        <v>0.688461719445413</v>
      </c>
      <c r="I94" s="20" t="n">
        <v>0.575664567909864</v>
      </c>
      <c r="J94" s="20" t="n">
        <v>0.460913274164652</v>
      </c>
      <c r="K94" s="20" t="n">
        <v>0.353192417195187</v>
      </c>
      <c r="L94" s="20" t="n">
        <v>0.259126184594278</v>
      </c>
    </row>
    <row r="95" customFormat="false" ht="15" hidden="false" customHeight="false" outlineLevel="0" collapsed="false">
      <c r="A95" s="18" t="n">
        <v>92</v>
      </c>
      <c r="B95" s="18" t="s">
        <v>81</v>
      </c>
      <c r="C95" s="18" t="s">
        <v>82</v>
      </c>
      <c r="D95" s="21" t="n">
        <v>6.23785358159916</v>
      </c>
      <c r="E95" s="21" t="n">
        <v>3.8456153545509</v>
      </c>
      <c r="F95" s="21" t="n">
        <v>10.0834689361501</v>
      </c>
      <c r="G95" s="20" t="n">
        <v>0.765206078319301</v>
      </c>
      <c r="H95" s="20" t="n">
        <v>0.658076110440591</v>
      </c>
      <c r="I95" s="20" t="n">
        <v>0.541745666150218</v>
      </c>
      <c r="J95" s="20" t="n">
        <v>0.426322825598388</v>
      </c>
      <c r="K95" s="20" t="n">
        <v>0.320647673769641</v>
      </c>
      <c r="L95" s="20" t="n">
        <v>0.230647003331485</v>
      </c>
    </row>
    <row r="96" customFormat="false" ht="15" hidden="false" customHeight="false" outlineLevel="0" collapsed="false">
      <c r="A96" s="18" t="n">
        <v>93</v>
      </c>
      <c r="B96" s="18" t="s">
        <v>81</v>
      </c>
      <c r="C96" s="18" t="s">
        <v>98</v>
      </c>
      <c r="D96" s="21" t="n">
        <v>6.45083225974975</v>
      </c>
      <c r="E96" s="21" t="n">
        <v>3.57368530111929</v>
      </c>
      <c r="F96" s="21" t="n">
        <v>10.024517560869</v>
      </c>
      <c r="G96" s="20" t="n">
        <v>0.760154859781026</v>
      </c>
      <c r="H96" s="20" t="n">
        <v>0.651920857447176</v>
      </c>
      <c r="I96" s="20" t="n">
        <v>0.534976775678928</v>
      </c>
      <c r="J96" s="20" t="n">
        <v>0.419522841251939</v>
      </c>
      <c r="K96" s="20" t="n">
        <v>0.314345551012387</v>
      </c>
      <c r="L96" s="20" t="n">
        <v>0.225214924440091</v>
      </c>
    </row>
    <row r="97" customFormat="false" ht="15" hidden="false" customHeight="false" outlineLevel="0" collapsed="false">
      <c r="A97" s="18" t="n">
        <v>94</v>
      </c>
      <c r="B97" s="18" t="s">
        <v>82</v>
      </c>
      <c r="C97" s="18" t="s">
        <v>84</v>
      </c>
      <c r="D97" s="21" t="n">
        <v>6.27625243911651</v>
      </c>
      <c r="E97" s="21" t="n">
        <v>4.13766266738169</v>
      </c>
      <c r="F97" s="21" t="n">
        <v>10.4139151064982</v>
      </c>
      <c r="G97" s="20" t="n">
        <v>0.792028363708583</v>
      </c>
      <c r="H97" s="20" t="n">
        <v>0.691290948498904</v>
      </c>
      <c r="I97" s="20" t="n">
        <v>0.578866398433271</v>
      </c>
      <c r="J97" s="20" t="n">
        <v>0.464223416888763</v>
      </c>
      <c r="K97" s="20" t="n">
        <v>0.356349477799041</v>
      </c>
      <c r="L97" s="20" t="n">
        <v>0.261926575658832</v>
      </c>
    </row>
    <row r="98" customFormat="false" ht="15" hidden="false" customHeight="false" outlineLevel="0" collapsed="false">
      <c r="A98" s="18" t="n">
        <v>95</v>
      </c>
      <c r="B98" s="18" t="s">
        <v>82</v>
      </c>
      <c r="C98" s="18" t="s">
        <v>89</v>
      </c>
      <c r="D98" s="21" t="n">
        <v>5.38371560059256</v>
      </c>
      <c r="E98" s="21" t="n">
        <v>5.06447855356477</v>
      </c>
      <c r="F98" s="21" t="n">
        <v>10.4481941541573</v>
      </c>
      <c r="G98" s="20" t="n">
        <v>0.794667836459836</v>
      </c>
      <c r="H98" s="20" t="n">
        <v>0.6946094628985</v>
      </c>
      <c r="I98" s="20" t="n">
        <v>0.582631627802034</v>
      </c>
      <c r="J98" s="20" t="n">
        <v>0.468126047029801</v>
      </c>
      <c r="K98" s="20" t="n">
        <v>0.360081216692129</v>
      </c>
      <c r="L98" s="20" t="n">
        <v>0.26524525083294</v>
      </c>
    </row>
    <row r="99" customFormat="false" ht="15" hidden="false" customHeight="false" outlineLevel="0" collapsed="false">
      <c r="A99" s="18" t="n">
        <v>96</v>
      </c>
      <c r="B99" s="18" t="s">
        <v>82</v>
      </c>
      <c r="C99" s="18" t="s">
        <v>99</v>
      </c>
      <c r="D99" s="21" t="n">
        <v>5.82948375597654</v>
      </c>
      <c r="E99" s="21" t="n">
        <v>4.05575993889078</v>
      </c>
      <c r="F99" s="21" t="n">
        <v>9.88524369486732</v>
      </c>
      <c r="G99" s="20" t="n">
        <v>0.747896691807373</v>
      </c>
      <c r="H99" s="20" t="n">
        <v>0.63710946620046</v>
      </c>
      <c r="I99" s="20" t="n">
        <v>0.518826043466182</v>
      </c>
      <c r="J99" s="20" t="n">
        <v>0.403434485041572</v>
      </c>
      <c r="K99" s="20" t="n">
        <v>0.29956046358976</v>
      </c>
      <c r="L99" s="20" t="n">
        <v>0.212578022014778</v>
      </c>
    </row>
    <row r="100" customFormat="false" ht="15" hidden="false" customHeight="false" outlineLevel="0" collapsed="false">
      <c r="A100" s="18" t="n">
        <v>97</v>
      </c>
      <c r="B100" s="18" t="s">
        <v>82</v>
      </c>
      <c r="C100" s="18" t="s">
        <v>79</v>
      </c>
      <c r="D100" s="21" t="n">
        <v>6.12661364786187</v>
      </c>
      <c r="E100" s="21" t="n">
        <v>4.39423252926726</v>
      </c>
      <c r="F100" s="21" t="n">
        <v>10.5208461771291</v>
      </c>
      <c r="G100" s="20" t="n">
        <v>0.800174651928384</v>
      </c>
      <c r="H100" s="20" t="n">
        <v>0.701562944842026</v>
      </c>
      <c r="I100" s="20" t="n">
        <v>0.590555296519987</v>
      </c>
      <c r="J100" s="20" t="n">
        <v>0.476374442546803</v>
      </c>
      <c r="K100" s="20" t="n">
        <v>0.368002608709551</v>
      </c>
      <c r="L100" s="20" t="n">
        <v>0.272320376234771</v>
      </c>
    </row>
    <row r="101" customFormat="false" ht="15" hidden="false" customHeight="false" outlineLevel="0" collapsed="false">
      <c r="A101" s="18" t="n">
        <v>98</v>
      </c>
      <c r="B101" s="18" t="s">
        <v>82</v>
      </c>
      <c r="C101" s="18" t="s">
        <v>98</v>
      </c>
      <c r="D101" s="21" t="n">
        <v>6.01970653342234</v>
      </c>
      <c r="E101" s="21" t="n">
        <v>4.20123516971664</v>
      </c>
      <c r="F101" s="21" t="n">
        <v>10.220941703139</v>
      </c>
      <c r="G101" s="20" t="n">
        <v>0.776670471717106</v>
      </c>
      <c r="H101" s="20" t="n">
        <v>0.672161816075072</v>
      </c>
      <c r="I101" s="20" t="n">
        <v>0.557363897760308</v>
      </c>
      <c r="J101" s="20" t="n">
        <v>0.44214287556336</v>
      </c>
      <c r="K101" s="20" t="n">
        <v>0.335431139391337</v>
      </c>
      <c r="L101" s="20" t="n">
        <v>0.243495396536218</v>
      </c>
    </row>
    <row r="102" customFormat="false" ht="15" hidden="false" customHeight="false" outlineLevel="0" collapsed="false">
      <c r="A102" s="18" t="n">
        <v>99</v>
      </c>
      <c r="B102" s="18" t="s">
        <v>98</v>
      </c>
      <c r="C102" s="18" t="s">
        <v>73</v>
      </c>
      <c r="D102" s="21" t="n">
        <v>5.34868190199026</v>
      </c>
      <c r="E102" s="21" t="n">
        <v>4.88076469290036</v>
      </c>
      <c r="F102" s="21" t="n">
        <v>10.2294465948906</v>
      </c>
      <c r="G102" s="20" t="n">
        <v>0.777365333572763</v>
      </c>
      <c r="H102" s="20" t="n">
        <v>0.673020802085033</v>
      </c>
      <c r="I102" s="20" t="n">
        <v>0.558322182682537</v>
      </c>
      <c r="J102" s="20" t="n">
        <v>0.443119485599534</v>
      </c>
      <c r="K102" s="20" t="n">
        <v>0.336349335285825</v>
      </c>
      <c r="L102" s="20" t="n">
        <v>0.244298273303952</v>
      </c>
    </row>
    <row r="103" customFormat="false" ht="15" hidden="false" customHeight="false" outlineLevel="0" collapsed="false">
      <c r="A103" s="18" t="n">
        <v>100</v>
      </c>
      <c r="B103" s="18" t="s">
        <v>98</v>
      </c>
      <c r="C103" s="18" t="s">
        <v>83</v>
      </c>
      <c r="D103" s="21" t="n">
        <v>5.6670770571891</v>
      </c>
      <c r="E103" s="21" t="n">
        <v>5.9248974686522</v>
      </c>
      <c r="F103" s="21" t="n">
        <v>11.5919745258413</v>
      </c>
      <c r="G103" s="20" t="n">
        <v>0.868392232326882</v>
      </c>
      <c r="H103" s="20" t="n">
        <v>0.79142489651247</v>
      </c>
      <c r="I103" s="20" t="n">
        <v>0.697439820271864</v>
      </c>
      <c r="J103" s="20" t="n">
        <v>0.592575607369533</v>
      </c>
      <c r="K103" s="20" t="n">
        <v>0.484611734310333</v>
      </c>
      <c r="L103" s="20" t="n">
        <v>0.381211540662291</v>
      </c>
    </row>
    <row r="104" customFormat="false" ht="15" hidden="false" customHeight="false" outlineLevel="0" collapsed="false">
      <c r="A104" s="18" t="n">
        <v>101</v>
      </c>
      <c r="B104" s="18" t="s">
        <v>98</v>
      </c>
      <c r="C104" s="18" t="s">
        <v>92</v>
      </c>
      <c r="D104" s="21" t="n">
        <v>6.22159337423761</v>
      </c>
      <c r="E104" s="21" t="n">
        <v>4.40093179592928</v>
      </c>
      <c r="F104" s="21" t="n">
        <v>10.6225251701669</v>
      </c>
      <c r="G104" s="20" t="n">
        <v>0.807684097015093</v>
      </c>
      <c r="H104" s="20" t="n">
        <v>0.711111657103336</v>
      </c>
      <c r="I104" s="20" t="n">
        <v>0.601512635173634</v>
      </c>
      <c r="J104" s="20" t="n">
        <v>0.48786088913735</v>
      </c>
      <c r="K104" s="20" t="n">
        <v>0.379111131691051</v>
      </c>
      <c r="L104" s="20" t="n">
        <v>0.282311830178569</v>
      </c>
    </row>
    <row r="105" customFormat="false" ht="15" hidden="false" customHeight="false" outlineLevel="0" collapsed="false">
      <c r="A105" s="18" t="n">
        <v>102</v>
      </c>
      <c r="B105" s="18" t="s">
        <v>98</v>
      </c>
      <c r="C105" s="18" t="s">
        <v>94</v>
      </c>
      <c r="D105" s="21" t="n">
        <v>5.32868776870073</v>
      </c>
      <c r="E105" s="21" t="n">
        <v>4.78846921615718</v>
      </c>
      <c r="F105" s="21" t="n">
        <v>10.1171569848579</v>
      </c>
      <c r="G105" s="20" t="n">
        <v>0.768056126908113</v>
      </c>
      <c r="H105" s="20" t="n">
        <v>0.66156271699862</v>
      </c>
      <c r="I105" s="20" t="n">
        <v>0.545594904819521</v>
      </c>
      <c r="J105" s="20" t="n">
        <v>0.430204910010737</v>
      </c>
      <c r="K105" s="20" t="n">
        <v>0.324259634481873</v>
      </c>
      <c r="L105" s="20" t="n">
        <v>0.233772512055902</v>
      </c>
    </row>
    <row r="106" customFormat="false" ht="15" hidden="false" customHeight="false" outlineLevel="0" collapsed="false">
      <c r="A106" s="18" t="n">
        <v>103</v>
      </c>
      <c r="B106" s="18" t="s">
        <v>98</v>
      </c>
      <c r="C106" s="18" t="s">
        <v>87</v>
      </c>
      <c r="D106" s="21" t="n">
        <v>5.72082349442602</v>
      </c>
      <c r="E106" s="21" t="n">
        <v>4.60505144103739</v>
      </c>
      <c r="F106" s="21" t="n">
        <v>10.3258749354634</v>
      </c>
      <c r="G106" s="20" t="n">
        <v>0.785127246271778</v>
      </c>
      <c r="H106" s="20" t="n">
        <v>0.682657646392672</v>
      </c>
      <c r="I106" s="20" t="n">
        <v>0.569119706048016</v>
      </c>
      <c r="J106" s="20" t="n">
        <v>0.454171303025398</v>
      </c>
      <c r="K106" s="20" t="n">
        <v>0.346785313464982</v>
      </c>
      <c r="L106" s="20" t="n">
        <v>0.253463311507149</v>
      </c>
    </row>
  </sheetData>
  <autoFilter ref="A3:L106"/>
  <mergeCells count="1">
    <mergeCell ref="A1:L1"/>
  </mergeCells>
  <conditionalFormatting sqref="G4:G106">
    <cfRule type="colorScale" priority="2">
      <colorScale>
        <cfvo type="num" val="0"/>
        <cfvo type="num" val="1"/>
        <color rgb="FFFFFFFF"/>
        <color rgb="FFCDE2FB"/>
      </colorScale>
    </cfRule>
  </conditionalFormatting>
  <conditionalFormatting sqref="H4:H106">
    <cfRule type="colorScale" priority="3">
      <colorScale>
        <cfvo type="num" val="0"/>
        <cfvo type="num" val="1"/>
        <color rgb="FFFFFFFF"/>
        <color rgb="FFCDE2FB"/>
      </colorScale>
    </cfRule>
  </conditionalFormatting>
  <conditionalFormatting sqref="I4:I106">
    <cfRule type="colorScale" priority="4">
      <colorScale>
        <cfvo type="num" val="0"/>
        <cfvo type="num" val="1"/>
        <color rgb="FFFFFFFF"/>
        <color rgb="FFCDE2FB"/>
      </colorScale>
    </cfRule>
  </conditionalFormatting>
  <conditionalFormatting sqref="J4:J106">
    <cfRule type="colorScale" priority="5">
      <colorScale>
        <cfvo type="num" val="0"/>
        <cfvo type="num" val="1"/>
        <color rgb="FFFFFFFF"/>
        <color rgb="FFCDE2FB"/>
      </colorScale>
    </cfRule>
  </conditionalFormatting>
  <conditionalFormatting sqref="K4:K106">
    <cfRule type="colorScale" priority="6">
      <colorScale>
        <cfvo type="num" val="0"/>
        <cfvo type="num" val="1"/>
        <color rgb="FFFFFFFF"/>
        <color rgb="FFCDE2FB"/>
      </colorScale>
    </cfRule>
  </conditionalFormatting>
  <conditionalFormatting sqref="L4:L106">
    <cfRule type="colorScale" priority="7">
      <colorScale>
        <cfvo type="num" val="0"/>
        <cfvo type="num" val="1"/>
        <color rgb="FFFFFFFF"/>
        <color rgb="FFCDE2FB"/>
      </colorScale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7"/>
    <col collapsed="false" customWidth="true" hidden="false" outlineLevel="0" max="11" min="4" style="0" width="11"/>
  </cols>
  <sheetData>
    <row r="1" customFormat="false" ht="15" hidden="false" customHeight="false" outlineLevel="0" collapsed="false">
      <c r="A1" s="13" t="s">
        <v>136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customFormat="false" ht="33.75" hidden="false" customHeight="true" outlineLevel="0" collapsed="false">
      <c r="A3" s="16" t="s">
        <v>49</v>
      </c>
      <c r="B3" s="16" t="s">
        <v>50</v>
      </c>
      <c r="C3" s="16" t="s">
        <v>51</v>
      </c>
      <c r="D3" s="16" t="s">
        <v>137</v>
      </c>
      <c r="E3" s="16" t="s">
        <v>138</v>
      </c>
      <c r="F3" s="16" t="s">
        <v>139</v>
      </c>
      <c r="G3" s="16" t="s">
        <v>62</v>
      </c>
      <c r="H3" s="16" t="s">
        <v>63</v>
      </c>
      <c r="I3" s="16" t="s">
        <v>108</v>
      </c>
      <c r="J3" s="16" t="s">
        <v>140</v>
      </c>
      <c r="K3" s="16" t="s">
        <v>141</v>
      </c>
    </row>
    <row r="4" customFormat="false" ht="15" hidden="false" customHeight="false" outlineLevel="0" collapsed="false">
      <c r="A4" s="18" t="n">
        <v>1</v>
      </c>
      <c r="B4" s="18" t="s">
        <v>73</v>
      </c>
      <c r="C4" s="18" t="s">
        <v>74</v>
      </c>
      <c r="D4" s="21" t="n">
        <v>2.7128732492655</v>
      </c>
      <c r="E4" s="21" t="n">
        <v>2.73987530173839</v>
      </c>
      <c r="F4" s="21" t="n">
        <v>5.45274855100389</v>
      </c>
      <c r="G4" s="20" t="n">
        <v>0.902175076072713</v>
      </c>
      <c r="H4" s="20" t="n">
        <v>0.784644036047701</v>
      </c>
      <c r="I4" s="20" t="n">
        <v>0.628470759007382</v>
      </c>
      <c r="J4" s="20" t="n">
        <v>0.460701939022043</v>
      </c>
      <c r="K4" s="20" t="n">
        <v>0.3089453572804</v>
      </c>
    </row>
    <row r="5" customFormat="false" ht="15" hidden="false" customHeight="false" outlineLevel="0" collapsed="false">
      <c r="A5" s="18" t="n">
        <v>2</v>
      </c>
      <c r="B5" s="18" t="s">
        <v>73</v>
      </c>
      <c r="C5" s="18" t="s">
        <v>77</v>
      </c>
      <c r="D5" s="21" t="n">
        <v>2.95428289477676</v>
      </c>
      <c r="E5" s="21" t="n">
        <v>2.47986731845155</v>
      </c>
      <c r="F5" s="21" t="n">
        <v>5.4341502132283</v>
      </c>
      <c r="G5" s="20" t="n">
        <v>0.900965623840298</v>
      </c>
      <c r="H5" s="20" t="n">
        <v>0.782504692481317</v>
      </c>
      <c r="I5" s="20" t="n">
        <v>0.625602658372821</v>
      </c>
      <c r="J5" s="20" t="n">
        <v>0.457593720067602</v>
      </c>
      <c r="K5" s="20" t="n">
        <v>0.306109302966776</v>
      </c>
    </row>
    <row r="6" customFormat="false" ht="15" hidden="false" customHeight="false" outlineLevel="0" collapsed="false">
      <c r="A6" s="18" t="n">
        <v>3</v>
      </c>
      <c r="B6" s="18" t="s">
        <v>73</v>
      </c>
      <c r="C6" s="18" t="s">
        <v>79</v>
      </c>
      <c r="D6" s="21" t="n">
        <v>2.51093433259146</v>
      </c>
      <c r="E6" s="21" t="n">
        <v>2.75403047892706</v>
      </c>
      <c r="F6" s="21" t="n">
        <v>5.26496481151853</v>
      </c>
      <c r="G6" s="20" t="n">
        <v>0.889316583897235</v>
      </c>
      <c r="H6" s="20" t="n">
        <v>0.762240244814423</v>
      </c>
      <c r="I6" s="20" t="n">
        <v>0.598882847282537</v>
      </c>
      <c r="J6" s="20" t="n">
        <v>0.429111928284462</v>
      </c>
      <c r="K6" s="20" t="n">
        <v>0.280545886607644</v>
      </c>
    </row>
    <row r="7" customFormat="false" ht="15" hidden="false" customHeight="false" outlineLevel="0" collapsed="false">
      <c r="A7" s="18" t="n">
        <v>4</v>
      </c>
      <c r="B7" s="18" t="s">
        <v>73</v>
      </c>
      <c r="C7" s="18" t="s">
        <v>81</v>
      </c>
      <c r="D7" s="21" t="n">
        <v>2.96093288251064</v>
      </c>
      <c r="E7" s="21" t="n">
        <v>2.87302136119222</v>
      </c>
      <c r="F7" s="21" t="n">
        <v>5.83395424370286</v>
      </c>
      <c r="G7" s="20" t="n">
        <v>0.924149488767291</v>
      </c>
      <c r="H7" s="20" t="n">
        <v>0.82480732189925</v>
      </c>
      <c r="I7" s="20" t="n">
        <v>0.684126417934417</v>
      </c>
      <c r="J7" s="20" t="n">
        <v>0.523066655453941</v>
      </c>
      <c r="K7" s="20" t="n">
        <v>0.367802674393671</v>
      </c>
    </row>
    <row r="8" customFormat="false" ht="15" hidden="false" customHeight="false" outlineLevel="0" collapsed="false">
      <c r="A8" s="18" t="n">
        <v>5</v>
      </c>
      <c r="B8" s="18" t="s">
        <v>73</v>
      </c>
      <c r="C8" s="18" t="s">
        <v>82</v>
      </c>
      <c r="D8" s="21" t="n">
        <v>2.4762365133029</v>
      </c>
      <c r="E8" s="21" t="n">
        <v>2.84240240146971</v>
      </c>
      <c r="F8" s="21" t="n">
        <v>5.31863891477262</v>
      </c>
      <c r="G8" s="20" t="n">
        <v>0.893141355414438</v>
      </c>
      <c r="H8" s="20" t="n">
        <v>0.768827355539506</v>
      </c>
      <c r="I8" s="20" t="n">
        <v>0.60748108440404</v>
      </c>
      <c r="J8" s="20" t="n">
        <v>0.438184495460656</v>
      </c>
      <c r="K8" s="20" t="n">
        <v>0.288605971932177</v>
      </c>
    </row>
    <row r="9" customFormat="false" ht="15" hidden="false" customHeight="false" outlineLevel="0" collapsed="false">
      <c r="A9" s="18" t="n">
        <v>6</v>
      </c>
      <c r="B9" s="18" t="s">
        <v>74</v>
      </c>
      <c r="C9" s="18" t="s">
        <v>83</v>
      </c>
      <c r="D9" s="21" t="n">
        <v>2.51918725746834</v>
      </c>
      <c r="E9" s="21" t="n">
        <v>3.03297346319692</v>
      </c>
      <c r="F9" s="21" t="n">
        <v>5.55216072066526</v>
      </c>
      <c r="G9" s="20" t="n">
        <v>0.908412420369879</v>
      </c>
      <c r="H9" s="20" t="n">
        <v>0.795788866022248</v>
      </c>
      <c r="I9" s="20" t="n">
        <v>0.64356389029001</v>
      </c>
      <c r="J9" s="20" t="n">
        <v>0.477225313982187</v>
      </c>
      <c r="K9" s="20" t="n">
        <v>0.32417585250754</v>
      </c>
    </row>
    <row r="10" customFormat="false" ht="15" hidden="false" customHeight="false" outlineLevel="0" collapsed="false">
      <c r="A10" s="18" t="n">
        <v>7</v>
      </c>
      <c r="B10" s="18" t="s">
        <v>74</v>
      </c>
      <c r="C10" s="18" t="s">
        <v>84</v>
      </c>
      <c r="D10" s="21" t="n">
        <v>2.33333741482051</v>
      </c>
      <c r="E10" s="21" t="n">
        <v>2.51916839326417</v>
      </c>
      <c r="F10" s="21" t="n">
        <v>4.85250580808468</v>
      </c>
      <c r="G10" s="20" t="n">
        <v>0.855520447309835</v>
      </c>
      <c r="H10" s="20" t="n">
        <v>0.706551630924903</v>
      </c>
      <c r="I10" s="20" t="n">
        <v>0.529299795956795</v>
      </c>
      <c r="J10" s="20" t="n">
        <v>0.358795040984886</v>
      </c>
      <c r="K10" s="20" t="n">
        <v>0.220688575937848</v>
      </c>
    </row>
    <row r="11" customFormat="false" ht="15" hidden="false" customHeight="false" outlineLevel="0" collapsed="false">
      <c r="A11" s="18" t="n">
        <v>8</v>
      </c>
      <c r="B11" s="18" t="s">
        <v>74</v>
      </c>
      <c r="C11" s="18" t="s">
        <v>85</v>
      </c>
      <c r="D11" s="21" t="n">
        <v>2.54358607094497</v>
      </c>
      <c r="E11" s="21" t="n">
        <v>3.40913099042178</v>
      </c>
      <c r="F11" s="21" t="n">
        <v>5.95271706136675</v>
      </c>
      <c r="G11" s="20" t="n">
        <v>0.929995044451508</v>
      </c>
      <c r="H11" s="20" t="n">
        <v>0.835948927745463</v>
      </c>
      <c r="I11" s="20" t="n">
        <v>0.700221915751903</v>
      </c>
      <c r="J11" s="20" t="n">
        <v>0.541863156151063</v>
      </c>
      <c r="K11" s="20" t="n">
        <v>0.386284629761674</v>
      </c>
    </row>
    <row r="12" customFormat="false" ht="15" hidden="false" customHeight="false" outlineLevel="0" collapsed="false">
      <c r="A12" s="18" t="n">
        <v>9</v>
      </c>
      <c r="B12" s="18" t="s">
        <v>74</v>
      </c>
      <c r="C12" s="18" t="s">
        <v>86</v>
      </c>
      <c r="D12" s="21" t="n">
        <v>3.00975805985484</v>
      </c>
      <c r="E12" s="21" t="n">
        <v>2.93971215406493</v>
      </c>
      <c r="F12" s="21" t="n">
        <v>5.94947021391977</v>
      </c>
      <c r="G12" s="20" t="n">
        <v>0.929840996595611</v>
      </c>
      <c r="H12" s="20" t="n">
        <v>0.835652575285083</v>
      </c>
      <c r="I12" s="20" t="n">
        <v>0.69978981692755</v>
      </c>
      <c r="J12" s="20" t="n">
        <v>0.541353871445523</v>
      </c>
      <c r="K12" s="20" t="n">
        <v>0.385779243378201</v>
      </c>
    </row>
    <row r="13" customFormat="false" ht="15" hidden="false" customHeight="false" outlineLevel="0" collapsed="false">
      <c r="A13" s="18" t="n">
        <v>10</v>
      </c>
      <c r="B13" s="18" t="s">
        <v>74</v>
      </c>
      <c r="C13" s="18" t="s">
        <v>87</v>
      </c>
      <c r="D13" s="21" t="n">
        <v>2.786860628539</v>
      </c>
      <c r="E13" s="21" t="n">
        <v>3.0251333737691</v>
      </c>
      <c r="F13" s="21" t="n">
        <v>5.8119940023081</v>
      </c>
      <c r="G13" s="20" t="n">
        <v>0.923019885284571</v>
      </c>
      <c r="H13" s="20" t="n">
        <v>0.822678226100869</v>
      </c>
      <c r="I13" s="20" t="n">
        <v>0.681084927205135</v>
      </c>
      <c r="J13" s="20" t="n">
        <v>0.519554439279595</v>
      </c>
      <c r="K13" s="20" t="n">
        <v>0.364387901863525</v>
      </c>
    </row>
    <row r="14" customFormat="false" ht="15" hidden="false" customHeight="false" outlineLevel="0" collapsed="false">
      <c r="A14" s="18" t="n">
        <v>11</v>
      </c>
      <c r="B14" s="18" t="s">
        <v>74</v>
      </c>
      <c r="C14" s="18" t="s">
        <v>82</v>
      </c>
      <c r="D14" s="21" t="n">
        <v>2.44349112141573</v>
      </c>
      <c r="E14" s="21" t="n">
        <v>3.00404163280997</v>
      </c>
      <c r="F14" s="21" t="n">
        <v>5.44753275422569</v>
      </c>
      <c r="G14" s="20" t="n">
        <v>0.901837269820486</v>
      </c>
      <c r="H14" s="20" t="n">
        <v>0.784045811331754</v>
      </c>
      <c r="I14" s="20" t="n">
        <v>0.627667819718055</v>
      </c>
      <c r="J14" s="20" t="n">
        <v>0.459830766661523</v>
      </c>
      <c r="K14" s="20" t="n">
        <v>0.308149544626215</v>
      </c>
    </row>
    <row r="15" customFormat="false" ht="15" hidden="false" customHeight="false" outlineLevel="0" collapsed="false">
      <c r="A15" s="18" t="n">
        <v>12</v>
      </c>
      <c r="B15" s="18" t="s">
        <v>88</v>
      </c>
      <c r="C15" s="18" t="s">
        <v>74</v>
      </c>
      <c r="D15" s="21" t="n">
        <v>2.59232463892192</v>
      </c>
      <c r="E15" s="21" t="n">
        <v>2.68187441862391</v>
      </c>
      <c r="F15" s="21" t="n">
        <v>5.27419905754583</v>
      </c>
      <c r="G15" s="20" t="n">
        <v>0.889983383646549</v>
      </c>
      <c r="H15" s="20" t="n">
        <v>0.763384091862749</v>
      </c>
      <c r="I15" s="20" t="n">
        <v>0.600370022850341</v>
      </c>
      <c r="J15" s="20" t="n">
        <v>0.430674930594135</v>
      </c>
      <c r="K15" s="20" t="n">
        <v>0.281928951129056</v>
      </c>
    </row>
    <row r="16" customFormat="false" ht="15" hidden="false" customHeight="false" outlineLevel="0" collapsed="false">
      <c r="A16" s="18" t="n">
        <v>13</v>
      </c>
      <c r="B16" s="18" t="s">
        <v>88</v>
      </c>
      <c r="C16" s="18" t="s">
        <v>85</v>
      </c>
      <c r="D16" s="21" t="n">
        <v>2.46313196588993</v>
      </c>
      <c r="E16" s="21" t="n">
        <v>3.15740973044527</v>
      </c>
      <c r="F16" s="21" t="n">
        <v>5.6205416963352</v>
      </c>
      <c r="G16" s="20" t="n">
        <v>0.912487414334618</v>
      </c>
      <c r="H16" s="20" t="n">
        <v>0.803175016082338</v>
      </c>
      <c r="I16" s="20" t="n">
        <v>0.653710845896647</v>
      </c>
      <c r="J16" s="20" t="n">
        <v>0.488493686719484</v>
      </c>
      <c r="K16" s="20" t="n">
        <v>0.334711877934303</v>
      </c>
    </row>
    <row r="17" customFormat="false" ht="15" hidden="false" customHeight="false" outlineLevel="0" collapsed="false">
      <c r="A17" s="18" t="n">
        <v>14</v>
      </c>
      <c r="B17" s="18" t="s">
        <v>88</v>
      </c>
      <c r="C17" s="18" t="s">
        <v>89</v>
      </c>
      <c r="D17" s="21" t="n">
        <v>2.72316085957023</v>
      </c>
      <c r="E17" s="21" t="n">
        <v>2.475812301652</v>
      </c>
      <c r="F17" s="21" t="n">
        <v>5.19897316122223</v>
      </c>
      <c r="G17" s="20" t="n">
        <v>0.884443101279765</v>
      </c>
      <c r="H17" s="20" t="n">
        <v>0.75393691144581</v>
      </c>
      <c r="I17" s="20" t="n">
        <v>0.588160439005092</v>
      </c>
      <c r="J17" s="20" t="n">
        <v>0.41791908687166</v>
      </c>
      <c r="K17" s="20" t="n">
        <v>0.270708519964041</v>
      </c>
    </row>
    <row r="18" customFormat="false" ht="15" hidden="false" customHeight="false" outlineLevel="0" collapsed="false">
      <c r="A18" s="18" t="n">
        <v>15</v>
      </c>
      <c r="B18" s="18" t="s">
        <v>88</v>
      </c>
      <c r="C18" s="18" t="s">
        <v>90</v>
      </c>
      <c r="D18" s="21" t="n">
        <v>2.39935903339905</v>
      </c>
      <c r="E18" s="21" t="n">
        <v>2.69572994247542</v>
      </c>
      <c r="F18" s="21" t="n">
        <v>5.09508897587447</v>
      </c>
      <c r="G18" s="20" t="n">
        <v>0.876375024704026</v>
      </c>
      <c r="H18" s="20" t="n">
        <v>0.740402809248954</v>
      </c>
      <c r="I18" s="20" t="n">
        <v>0.570952701667452</v>
      </c>
      <c r="J18" s="20" t="n">
        <v>0.400232896496926</v>
      </c>
      <c r="K18" s="20" t="n">
        <v>0.255403165765471</v>
      </c>
    </row>
    <row r="19" customFormat="false" ht="15" hidden="false" customHeight="false" outlineLevel="0" collapsed="false">
      <c r="A19" s="18" t="n">
        <v>16</v>
      </c>
      <c r="B19" s="18" t="s">
        <v>88</v>
      </c>
      <c r="C19" s="18" t="s">
        <v>81</v>
      </c>
      <c r="D19" s="21" t="n">
        <v>2.8293615514859</v>
      </c>
      <c r="E19" s="21" t="n">
        <v>2.81220188665257</v>
      </c>
      <c r="F19" s="21" t="n">
        <v>5.64156343813846</v>
      </c>
      <c r="G19" s="20" t="n">
        <v>0.913706024917809</v>
      </c>
      <c r="H19" s="20" t="n">
        <v>0.805400549885388</v>
      </c>
      <c r="I19" s="20" t="n">
        <v>0.656791376666871</v>
      </c>
      <c r="J19" s="20" t="n">
        <v>0.491940520552936</v>
      </c>
      <c r="K19" s="20" t="n">
        <v>0.337959017346538</v>
      </c>
    </row>
    <row r="20" customFormat="false" ht="15" hidden="false" customHeight="false" outlineLevel="0" collapsed="false">
      <c r="A20" s="18" t="n">
        <v>17</v>
      </c>
      <c r="B20" s="18" t="s">
        <v>91</v>
      </c>
      <c r="C20" s="18" t="s">
        <v>74</v>
      </c>
      <c r="D20" s="21" t="n">
        <v>2.59139470627661</v>
      </c>
      <c r="E20" s="21" t="n">
        <v>2.90486572561717</v>
      </c>
      <c r="F20" s="21" t="n">
        <v>5.49626043189378</v>
      </c>
      <c r="G20" s="20" t="n">
        <v>0.904951761545946</v>
      </c>
      <c r="H20" s="20" t="n">
        <v>0.78958195988257</v>
      </c>
      <c r="I20" s="20" t="n">
        <v>0.635126337050822</v>
      </c>
      <c r="J20" s="20" t="n">
        <v>0.467953511668714</v>
      </c>
      <c r="K20" s="20" t="n">
        <v>0.315597568092567</v>
      </c>
    </row>
    <row r="21" customFormat="false" ht="15" hidden="false" customHeight="false" outlineLevel="0" collapsed="false">
      <c r="A21" s="18" t="n">
        <v>18</v>
      </c>
      <c r="B21" s="18" t="s">
        <v>91</v>
      </c>
      <c r="C21" s="18" t="s">
        <v>88</v>
      </c>
      <c r="D21" s="21" t="n">
        <v>2.40005294135378</v>
      </c>
      <c r="E21" s="21" t="n">
        <v>2.81298427724426</v>
      </c>
      <c r="F21" s="21" t="n">
        <v>5.21303721859804</v>
      </c>
      <c r="G21" s="20" t="n">
        <v>0.885497818195834</v>
      </c>
      <c r="H21" s="20" t="n">
        <v>0.755725544129917</v>
      </c>
      <c r="I21" s="20" t="n">
        <v>0.590459382562178</v>
      </c>
      <c r="J21" s="20" t="n">
        <v>0.420307660779224</v>
      </c>
      <c r="K21" s="20" t="n">
        <v>0.272797982743769</v>
      </c>
    </row>
    <row r="22" customFormat="false" ht="15" hidden="false" customHeight="false" outlineLevel="0" collapsed="false">
      <c r="A22" s="18" t="n">
        <v>19</v>
      </c>
      <c r="B22" s="18" t="s">
        <v>91</v>
      </c>
      <c r="C22" s="18" t="s">
        <v>92</v>
      </c>
      <c r="D22" s="21" t="n">
        <v>2.10734896399995</v>
      </c>
      <c r="E22" s="21" t="n">
        <v>2.43680158268198</v>
      </c>
      <c r="F22" s="21" t="n">
        <v>4.54415054668193</v>
      </c>
      <c r="G22" s="20" t="n">
        <v>0.824519311866099</v>
      </c>
      <c r="H22" s="20" t="n">
        <v>0.658898891529608</v>
      </c>
      <c r="I22" s="20" t="n">
        <v>0.473765550876174</v>
      </c>
      <c r="J22" s="20" t="n">
        <v>0.306461762303395</v>
      </c>
      <c r="K22" s="20" t="n">
        <v>0.179152889589172</v>
      </c>
    </row>
    <row r="23" customFormat="false" ht="15" hidden="false" customHeight="false" outlineLevel="0" collapsed="false">
      <c r="A23" s="18" t="n">
        <v>20</v>
      </c>
      <c r="B23" s="18" t="s">
        <v>91</v>
      </c>
      <c r="C23" s="18" t="s">
        <v>81</v>
      </c>
      <c r="D23" s="21" t="n">
        <v>2.82834658768368</v>
      </c>
      <c r="E23" s="21" t="n">
        <v>3.04602960426633</v>
      </c>
      <c r="F23" s="21" t="n">
        <v>5.87437619195</v>
      </c>
      <c r="G23" s="20" t="n">
        <v>0.926188415467476</v>
      </c>
      <c r="H23" s="20" t="n">
        <v>0.828669637887374</v>
      </c>
      <c r="I23" s="20" t="n">
        <v>0.689671617418231</v>
      </c>
      <c r="J23" s="20" t="n">
        <v>0.529502285392039</v>
      </c>
      <c r="K23" s="20" t="n">
        <v>0.374091243257256</v>
      </c>
    </row>
    <row r="24" customFormat="false" ht="15" hidden="false" customHeight="false" outlineLevel="0" collapsed="false">
      <c r="A24" s="18" t="n">
        <v>21</v>
      </c>
      <c r="B24" s="18" t="s">
        <v>91</v>
      </c>
      <c r="C24" s="18" t="s">
        <v>82</v>
      </c>
      <c r="D24" s="21" t="n">
        <v>2.36535422132211</v>
      </c>
      <c r="E24" s="21" t="n">
        <v>3.01356682517725</v>
      </c>
      <c r="F24" s="21" t="n">
        <v>5.37892104649936</v>
      </c>
      <c r="G24" s="20" t="n">
        <v>0.89729263848446</v>
      </c>
      <c r="H24" s="20" t="n">
        <v>0.776049482588728</v>
      </c>
      <c r="I24" s="20" t="n">
        <v>0.617004081745227</v>
      </c>
      <c r="J24" s="20" t="n">
        <v>0.448335039006553</v>
      </c>
      <c r="K24" s="20" t="n">
        <v>0.297715468625186</v>
      </c>
    </row>
    <row r="25" customFormat="false" ht="15" hidden="false" customHeight="false" outlineLevel="0" collapsed="false">
      <c r="A25" s="18" t="n">
        <v>22</v>
      </c>
      <c r="B25" s="18" t="s">
        <v>83</v>
      </c>
      <c r="C25" s="18" t="s">
        <v>92</v>
      </c>
      <c r="D25" s="21" t="n">
        <v>2.28017648867083</v>
      </c>
      <c r="E25" s="21" t="n">
        <v>2.28590193151311</v>
      </c>
      <c r="F25" s="21" t="n">
        <v>4.56607842018395</v>
      </c>
      <c r="G25" s="20" t="n">
        <v>0.826902668351298</v>
      </c>
      <c r="H25" s="20" t="n">
        <v>0.662459249030938</v>
      </c>
      <c r="I25" s="20" t="n">
        <v>0.47779662357871</v>
      </c>
      <c r="J25" s="20" t="n">
        <v>0.310151125464989</v>
      </c>
      <c r="K25" s="20" t="n">
        <v>0.181995833478349</v>
      </c>
    </row>
    <row r="26" customFormat="false" ht="15" hidden="false" customHeight="false" outlineLevel="0" collapsed="false">
      <c r="A26" s="18" t="n">
        <v>23</v>
      </c>
      <c r="B26" s="18" t="s">
        <v>83</v>
      </c>
      <c r="C26" s="18" t="s">
        <v>86</v>
      </c>
      <c r="D26" s="21" t="n">
        <v>3.15245585211796</v>
      </c>
      <c r="E26" s="21" t="n">
        <v>2.76641361643786</v>
      </c>
      <c r="F26" s="21" t="n">
        <v>5.91886946855582</v>
      </c>
      <c r="G26" s="20" t="n">
        <v>0.928373468025287</v>
      </c>
      <c r="H26" s="20" t="n">
        <v>0.832836952507789</v>
      </c>
      <c r="I26" s="20" t="n">
        <v>0.695695467705808</v>
      </c>
      <c r="J26" s="20" t="n">
        <v>0.53654105679808</v>
      </c>
      <c r="K26" s="20" t="n">
        <v>0.381016034979371</v>
      </c>
    </row>
    <row r="27" customFormat="false" ht="15" hidden="false" customHeight="false" outlineLevel="0" collapsed="false">
      <c r="A27" s="18" t="n">
        <v>24</v>
      </c>
      <c r="B27" s="18" t="s">
        <v>83</v>
      </c>
      <c r="C27" s="18" t="s">
        <v>94</v>
      </c>
      <c r="D27" s="21" t="n">
        <v>2.71565718193568</v>
      </c>
      <c r="E27" s="21" t="n">
        <v>2.89221247788209</v>
      </c>
      <c r="F27" s="21" t="n">
        <v>5.60786965981777</v>
      </c>
      <c r="G27" s="20" t="n">
        <v>0.911745151228244</v>
      </c>
      <c r="H27" s="20" t="n">
        <v>0.801823248324619</v>
      </c>
      <c r="I27" s="20" t="n">
        <v>0.651845032896761</v>
      </c>
      <c r="J27" s="20" t="n">
        <v>0.486411894879722</v>
      </c>
      <c r="K27" s="20" t="n">
        <v>0.332756224042097</v>
      </c>
    </row>
    <row r="28" customFormat="false" ht="15" hidden="false" customHeight="false" outlineLevel="0" collapsed="false">
      <c r="A28" s="18" t="n">
        <v>25</v>
      </c>
      <c r="B28" s="18" t="s">
        <v>83</v>
      </c>
      <c r="C28" s="18" t="s">
        <v>90</v>
      </c>
      <c r="D28" s="21" t="n">
        <v>2.59520353596523</v>
      </c>
      <c r="E28" s="21" t="n">
        <v>2.739059293641</v>
      </c>
      <c r="F28" s="21" t="n">
        <v>5.33426282960622</v>
      </c>
      <c r="G28" s="20" t="n">
        <v>0.894231779190934</v>
      </c>
      <c r="H28" s="20" t="n">
        <v>0.770716975408501</v>
      </c>
      <c r="I28" s="20" t="n">
        <v>0.609962934336764</v>
      </c>
      <c r="J28" s="20" t="n">
        <v>0.440819490849268</v>
      </c>
      <c r="K28" s="20" t="n">
        <v>0.290961399876418</v>
      </c>
    </row>
    <row r="29" customFormat="false" ht="15" hidden="false" customHeight="false" outlineLevel="0" collapsed="false">
      <c r="A29" s="18" t="n">
        <v>26</v>
      </c>
      <c r="B29" s="18" t="s">
        <v>83</v>
      </c>
      <c r="C29" s="18" t="s">
        <v>87</v>
      </c>
      <c r="D29" s="21" t="n">
        <v>2.91899047124693</v>
      </c>
      <c r="E29" s="21" t="n">
        <v>2.8467991824177</v>
      </c>
      <c r="F29" s="21" t="n">
        <v>5.76578965366462</v>
      </c>
      <c r="G29" s="20" t="n">
        <v>0.920591827252822</v>
      </c>
      <c r="H29" s="20" t="n">
        <v>0.818127042239995</v>
      </c>
      <c r="I29" s="20" t="n">
        <v>0.674619259247652</v>
      </c>
      <c r="J29" s="20" t="n">
        <v>0.512129251399645</v>
      </c>
      <c r="K29" s="20" t="n">
        <v>0.357208489802471</v>
      </c>
    </row>
    <row r="30" customFormat="false" ht="15" hidden="false" customHeight="false" outlineLevel="0" collapsed="false">
      <c r="A30" s="18" t="n">
        <v>27</v>
      </c>
      <c r="B30" s="18" t="s">
        <v>83</v>
      </c>
      <c r="C30" s="18" t="s">
        <v>82</v>
      </c>
      <c r="D30" s="21" t="n">
        <v>2.55934122680838</v>
      </c>
      <c r="E30" s="21" t="n">
        <v>2.82695081756911</v>
      </c>
      <c r="F30" s="21" t="n">
        <v>5.38629204437748</v>
      </c>
      <c r="G30" s="20" t="n">
        <v>0.897789967138697</v>
      </c>
      <c r="H30" s="20" t="n">
        <v>0.776919898604826</v>
      </c>
      <c r="I30" s="20" t="n">
        <v>0.618158682891442</v>
      </c>
      <c r="J30" s="20" t="n">
        <v>0.449573094603285</v>
      </c>
      <c r="K30" s="20" t="n">
        <v>0.298833190410256</v>
      </c>
    </row>
    <row r="31" customFormat="false" ht="15" hidden="false" customHeight="false" outlineLevel="0" collapsed="false">
      <c r="A31" s="18" t="n">
        <v>28</v>
      </c>
      <c r="B31" s="18" t="s">
        <v>92</v>
      </c>
      <c r="C31" s="18" t="s">
        <v>73</v>
      </c>
      <c r="D31" s="21" t="n">
        <v>2.12481862818379</v>
      </c>
      <c r="E31" s="21" t="n">
        <v>2.38635709423764</v>
      </c>
      <c r="F31" s="21" t="n">
        <v>4.51117572242143</v>
      </c>
      <c r="G31" s="20" t="n">
        <v>0.820881351773437</v>
      </c>
      <c r="H31" s="20" t="n">
        <v>0.653495597269724</v>
      </c>
      <c r="I31" s="20" t="n">
        <v>0.467683042571001</v>
      </c>
      <c r="J31" s="20" t="n">
        <v>0.300926839893527</v>
      </c>
      <c r="K31" s="20" t="n">
        <v>0.174912288202923</v>
      </c>
    </row>
    <row r="32" customFormat="false" ht="15" hidden="false" customHeight="false" outlineLevel="0" collapsed="false">
      <c r="A32" s="18" t="n">
        <v>29</v>
      </c>
      <c r="B32" s="18" t="s">
        <v>92</v>
      </c>
      <c r="C32" s="18" t="s">
        <v>86</v>
      </c>
      <c r="D32" s="21" t="n">
        <v>2.52479250213395</v>
      </c>
      <c r="E32" s="21" t="n">
        <v>2.39060431331511</v>
      </c>
      <c r="F32" s="21" t="n">
        <v>4.91539681544905</v>
      </c>
      <c r="G32" s="20" t="n">
        <v>0.861209961674282</v>
      </c>
      <c r="H32" s="20" t="n">
        <v>0.715633119074388</v>
      </c>
      <c r="I32" s="20" t="n">
        <v>0.540286461692338</v>
      </c>
      <c r="J32" s="20" t="n">
        <v>0.369539466623999</v>
      </c>
      <c r="K32" s="20" t="n">
        <v>0.229535478645445</v>
      </c>
    </row>
    <row r="33" customFormat="false" ht="15" hidden="false" customHeight="false" outlineLevel="0" collapsed="false">
      <c r="A33" s="18" t="n">
        <v>30</v>
      </c>
      <c r="B33" s="18" t="s">
        <v>92</v>
      </c>
      <c r="C33" s="18" t="s">
        <v>94</v>
      </c>
      <c r="D33" s="21" t="n">
        <v>2.17496174822271</v>
      </c>
      <c r="E33" s="21" t="n">
        <v>2.49931376261501</v>
      </c>
      <c r="F33" s="21" t="n">
        <v>4.67427551083772</v>
      </c>
      <c r="G33" s="20" t="n">
        <v>0.838252274591331</v>
      </c>
      <c r="H33" s="20" t="n">
        <v>0.679642464146149</v>
      </c>
      <c r="I33" s="20" t="n">
        <v>0.497514843615858</v>
      </c>
      <c r="J33" s="20" t="n">
        <v>0.328442737138722</v>
      </c>
      <c r="K33" s="20" t="n">
        <v>0.196282784979361</v>
      </c>
    </row>
    <row r="34" customFormat="false" ht="15" hidden="false" customHeight="false" outlineLevel="0" collapsed="false">
      <c r="A34" s="18" t="n">
        <v>31</v>
      </c>
      <c r="B34" s="18" t="s">
        <v>92</v>
      </c>
      <c r="C34" s="18" t="s">
        <v>90</v>
      </c>
      <c r="D34" s="21" t="n">
        <v>2.07849078194524</v>
      </c>
      <c r="E34" s="21" t="n">
        <v>2.36696599629793</v>
      </c>
      <c r="F34" s="21" t="n">
        <v>4.44545677824317</v>
      </c>
      <c r="G34" s="20" t="n">
        <v>0.813434799271146</v>
      </c>
      <c r="H34" s="20" t="n">
        <v>0.642550852998641</v>
      </c>
      <c r="I34" s="20" t="n">
        <v>0.455490768258061</v>
      </c>
      <c r="J34" s="20" t="n">
        <v>0.289947558663846</v>
      </c>
      <c r="K34" s="20" t="n">
        <v>0.166587838708681</v>
      </c>
    </row>
    <row r="35" customFormat="false" ht="15" hidden="false" customHeight="false" outlineLevel="0" collapsed="false">
      <c r="A35" s="18" t="n">
        <v>32</v>
      </c>
      <c r="B35" s="18" t="s">
        <v>92</v>
      </c>
      <c r="C35" s="18" t="s">
        <v>77</v>
      </c>
      <c r="D35" s="21" t="n">
        <v>2.44548401140966</v>
      </c>
      <c r="E35" s="21" t="n">
        <v>2.13133502443739</v>
      </c>
      <c r="F35" s="21" t="n">
        <v>4.57681903584705</v>
      </c>
      <c r="G35" s="20" t="n">
        <v>0.828059714498799</v>
      </c>
      <c r="H35" s="20" t="n">
        <v>0.664193602881395</v>
      </c>
      <c r="I35" s="20" t="n">
        <v>0.479766988091737</v>
      </c>
      <c r="J35" s="20" t="n">
        <v>0.311960625596045</v>
      </c>
      <c r="K35" s="20" t="n">
        <v>0.183394957412281</v>
      </c>
    </row>
    <row r="36" customFormat="false" ht="15" hidden="false" customHeight="false" outlineLevel="0" collapsed="false">
      <c r="A36" s="18" t="n">
        <v>33</v>
      </c>
      <c r="B36" s="18" t="s">
        <v>92</v>
      </c>
      <c r="C36" s="18" t="s">
        <v>82</v>
      </c>
      <c r="D36" s="21" t="n">
        <v>2.04976876536011</v>
      </c>
      <c r="E36" s="21" t="n">
        <v>2.44291771044433</v>
      </c>
      <c r="F36" s="21" t="n">
        <v>4.49268647580444</v>
      </c>
      <c r="G36" s="20" t="n">
        <v>0.818812922309728</v>
      </c>
      <c r="H36" s="20" t="n">
        <v>0.650440075463877</v>
      </c>
      <c r="I36" s="20" t="n">
        <v>0.464262048882992</v>
      </c>
      <c r="J36" s="20" t="n">
        <v>0.297830684814952</v>
      </c>
      <c r="K36" s="20" t="n">
        <v>0.17255301064708</v>
      </c>
    </row>
    <row r="37" customFormat="false" ht="15" hidden="false" customHeight="false" outlineLevel="0" collapsed="false">
      <c r="A37" s="18" t="n">
        <v>34</v>
      </c>
      <c r="B37" s="18" t="s">
        <v>84</v>
      </c>
      <c r="C37" s="18" t="s">
        <v>91</v>
      </c>
      <c r="D37" s="21" t="n">
        <v>2.3363023177331</v>
      </c>
      <c r="E37" s="21" t="n">
        <v>2.44323929704123</v>
      </c>
      <c r="F37" s="21" t="n">
        <v>4.77954161477433</v>
      </c>
      <c r="G37" s="20" t="n">
        <v>0.848659691021078</v>
      </c>
      <c r="H37" s="20" t="n">
        <v>0.69574548513037</v>
      </c>
      <c r="I37" s="20" t="n">
        <v>0.516399525641551</v>
      </c>
      <c r="J37" s="20" t="n">
        <v>0.34634596006229</v>
      </c>
      <c r="K37" s="20" t="n">
        <v>0.210573512472316</v>
      </c>
    </row>
    <row r="38" customFormat="false" ht="15" hidden="false" customHeight="false" outlineLevel="0" collapsed="false">
      <c r="A38" s="18" t="n">
        <v>35</v>
      </c>
      <c r="B38" s="18" t="s">
        <v>84</v>
      </c>
      <c r="C38" s="18" t="s">
        <v>97</v>
      </c>
      <c r="D38" s="21" t="n">
        <v>2.38836739330575</v>
      </c>
      <c r="E38" s="21" t="n">
        <v>2.55756271824519</v>
      </c>
      <c r="F38" s="21" t="n">
        <v>4.94593011155093</v>
      </c>
      <c r="G38" s="20" t="n">
        <v>0.863899193561165</v>
      </c>
      <c r="H38" s="20" t="n">
        <v>0.719964701353274</v>
      </c>
      <c r="I38" s="20" t="n">
        <v>0.54557441720871</v>
      </c>
      <c r="J38" s="20" t="n">
        <v>0.374757817293735</v>
      </c>
      <c r="K38" s="20" t="n">
        <v>0.233871239507396</v>
      </c>
    </row>
    <row r="39" customFormat="false" ht="15" hidden="false" customHeight="false" outlineLevel="0" collapsed="false">
      <c r="A39" s="18" t="n">
        <v>36</v>
      </c>
      <c r="B39" s="18" t="s">
        <v>84</v>
      </c>
      <c r="C39" s="18" t="s">
        <v>90</v>
      </c>
      <c r="D39" s="21" t="n">
        <v>2.15555948682778</v>
      </c>
      <c r="E39" s="21" t="n">
        <v>2.53698867057909</v>
      </c>
      <c r="F39" s="21" t="n">
        <v>4.69254815740687</v>
      </c>
      <c r="G39" s="20" t="n">
        <v>0.840102979367873</v>
      </c>
      <c r="H39" s="20" t="n">
        <v>0.682481214147869</v>
      </c>
      <c r="I39" s="20" t="n">
        <v>0.500815036371542</v>
      </c>
      <c r="J39" s="20" t="n">
        <v>0.331544116958938</v>
      </c>
      <c r="K39" s="20" t="n">
        <v>0.19873668265595</v>
      </c>
    </row>
    <row r="40" customFormat="false" ht="15" hidden="false" customHeight="false" outlineLevel="0" collapsed="false">
      <c r="A40" s="18" t="n">
        <v>37</v>
      </c>
      <c r="B40" s="18" t="s">
        <v>84</v>
      </c>
      <c r="C40" s="18" t="s">
        <v>98</v>
      </c>
      <c r="D40" s="21" t="n">
        <v>2.20038822899076</v>
      </c>
      <c r="E40" s="21" t="n">
        <v>2.88687661139889</v>
      </c>
      <c r="F40" s="21" t="n">
        <v>5.08726484038965</v>
      </c>
      <c r="G40" s="20" t="n">
        <v>0.875747181183676</v>
      </c>
      <c r="H40" s="20" t="n">
        <v>0.739360334497928</v>
      </c>
      <c r="I40" s="20" t="n">
        <v>0.569640799622062</v>
      </c>
      <c r="J40" s="20" t="n">
        <v>0.398898329618353</v>
      </c>
      <c r="K40" s="20" t="n">
        <v>0.254260117165636</v>
      </c>
    </row>
    <row r="41" customFormat="false" ht="15" hidden="false" customHeight="false" outlineLevel="0" collapsed="false">
      <c r="A41" s="18" t="n">
        <v>38</v>
      </c>
      <c r="B41" s="18" t="s">
        <v>85</v>
      </c>
      <c r="C41" s="18" t="s">
        <v>91</v>
      </c>
      <c r="D41" s="21" t="n">
        <v>3.16166265648401</v>
      </c>
      <c r="E41" s="21" t="n">
        <v>2.66339081714741</v>
      </c>
      <c r="F41" s="21" t="n">
        <v>5.82505347363143</v>
      </c>
      <c r="G41" s="20" t="n">
        <v>0.923693521387997</v>
      </c>
      <c r="H41" s="20" t="n">
        <v>0.823946997732584</v>
      </c>
      <c r="I41" s="20" t="n">
        <v>0.682896114589433</v>
      </c>
      <c r="J41" s="20" t="n">
        <v>0.52164444012929</v>
      </c>
      <c r="K41" s="20" t="n">
        <v>0.366418458212996</v>
      </c>
    </row>
    <row r="42" customFormat="false" ht="15" hidden="false" customHeight="false" outlineLevel="0" collapsed="false">
      <c r="A42" s="18" t="n">
        <v>39</v>
      </c>
      <c r="B42" s="18" t="s">
        <v>85</v>
      </c>
      <c r="C42" s="18" t="s">
        <v>89</v>
      </c>
      <c r="D42" s="21" t="n">
        <v>3.31073606069898</v>
      </c>
      <c r="E42" s="21" t="n">
        <v>2.53997098096385</v>
      </c>
      <c r="F42" s="21" t="n">
        <v>5.85070704166283</v>
      </c>
      <c r="G42" s="20" t="n">
        <v>0.925000813390863</v>
      </c>
      <c r="H42" s="20" t="n">
        <v>0.826416930331681</v>
      </c>
      <c r="I42" s="20" t="n">
        <v>0.686432990933943</v>
      </c>
      <c r="J42" s="20" t="n">
        <v>0.525738538378932</v>
      </c>
      <c r="K42" s="20" t="n">
        <v>0.370408547429768</v>
      </c>
    </row>
    <row r="43" customFormat="false" ht="15" hidden="false" customHeight="false" outlineLevel="0" collapsed="false">
      <c r="A43" s="18" t="n">
        <v>40</v>
      </c>
      <c r="B43" s="18" t="s">
        <v>85</v>
      </c>
      <c r="C43" s="18" t="s">
        <v>97</v>
      </c>
      <c r="D43" s="21" t="n">
        <v>3.23212109154852</v>
      </c>
      <c r="E43" s="21" t="n">
        <v>2.78801551133444</v>
      </c>
      <c r="F43" s="21" t="n">
        <v>6.02013660288297</v>
      </c>
      <c r="G43" s="20" t="n">
        <v>0.933123082171316</v>
      </c>
      <c r="H43" s="20" t="n">
        <v>0.841999857079287</v>
      </c>
      <c r="I43" s="20" t="n">
        <v>0.709093432656965</v>
      </c>
      <c r="J43" s="20" t="n">
        <v>0.552377464886445</v>
      </c>
      <c r="K43" s="20" t="n">
        <v>0.396776501069854</v>
      </c>
    </row>
    <row r="44" customFormat="false" ht="15" hidden="false" customHeight="false" outlineLevel="0" collapsed="false">
      <c r="A44" s="18" t="n">
        <v>41</v>
      </c>
      <c r="B44" s="18" t="s">
        <v>85</v>
      </c>
      <c r="C44" s="18" t="s">
        <v>87</v>
      </c>
      <c r="D44" s="21" t="n">
        <v>3.28101152121016</v>
      </c>
      <c r="E44" s="21" t="n">
        <v>2.87437098044554</v>
      </c>
      <c r="F44" s="21" t="n">
        <v>6.1553825016557</v>
      </c>
      <c r="G44" s="20" t="n">
        <v>0.939006642862714</v>
      </c>
      <c r="H44" s="20" t="n">
        <v>0.853560457496312</v>
      </c>
      <c r="I44" s="20" t="n">
        <v>0.72631044966523</v>
      </c>
      <c r="J44" s="20" t="n">
        <v>0.573105308651594</v>
      </c>
      <c r="K44" s="20" t="n">
        <v>0.417787727182995</v>
      </c>
    </row>
    <row r="45" customFormat="false" ht="15" hidden="false" customHeight="false" outlineLevel="0" collapsed="false">
      <c r="A45" s="18" t="n">
        <v>42</v>
      </c>
      <c r="B45" s="18" t="s">
        <v>85</v>
      </c>
      <c r="C45" s="18" t="s">
        <v>98</v>
      </c>
      <c r="D45" s="21" t="n">
        <v>2.97773333552025</v>
      </c>
      <c r="E45" s="21" t="n">
        <v>3.14700269693137</v>
      </c>
      <c r="F45" s="21" t="n">
        <v>6.12473603245161</v>
      </c>
      <c r="G45" s="20" t="n">
        <v>0.937717736312598</v>
      </c>
      <c r="H45" s="20" t="n">
        <v>0.851007124675635</v>
      </c>
      <c r="I45" s="20" t="n">
        <v>0.722476769520982</v>
      </c>
      <c r="J45" s="20" t="n">
        <v>0.568452361630534</v>
      </c>
      <c r="K45" s="20" t="n">
        <v>0.41303299044589</v>
      </c>
    </row>
    <row r="46" customFormat="false" ht="15" hidden="false" customHeight="false" outlineLevel="0" collapsed="false">
      <c r="A46" s="18" t="n">
        <v>43</v>
      </c>
      <c r="B46" s="18" t="s">
        <v>86</v>
      </c>
      <c r="C46" s="18" t="s">
        <v>88</v>
      </c>
      <c r="D46" s="21" t="n">
        <v>2.51703366568674</v>
      </c>
      <c r="E46" s="21" t="n">
        <v>3.15265078022677</v>
      </c>
      <c r="F46" s="21" t="n">
        <v>5.66968444591351</v>
      </c>
      <c r="G46" s="20" t="n">
        <v>0.915311596171493</v>
      </c>
      <c r="H46" s="20" t="n">
        <v>0.808344828260655</v>
      </c>
      <c r="I46" s="20" t="n">
        <v>0.660883517834041</v>
      </c>
      <c r="J46" s="20" t="n">
        <v>0.496538067062456</v>
      </c>
      <c r="K46" s="20" t="n">
        <v>0.342308001179205</v>
      </c>
    </row>
    <row r="47" customFormat="false" ht="15" hidden="false" customHeight="false" outlineLevel="0" collapsed="false">
      <c r="A47" s="18" t="n">
        <v>44</v>
      </c>
      <c r="B47" s="18" t="s">
        <v>86</v>
      </c>
      <c r="C47" s="18" t="s">
        <v>99</v>
      </c>
      <c r="D47" s="21" t="n">
        <v>2.77753965475512</v>
      </c>
      <c r="E47" s="21" t="n">
        <v>3.51356599135356</v>
      </c>
      <c r="F47" s="21" t="n">
        <v>6.29110564610868</v>
      </c>
      <c r="G47" s="20" t="n">
        <v>0.944418538528993</v>
      </c>
      <c r="H47" s="20" t="n">
        <v>0.864415919429815</v>
      </c>
      <c r="I47" s="20" t="n">
        <v>0.742814249791618</v>
      </c>
      <c r="J47" s="20" t="n">
        <v>0.593388565478242</v>
      </c>
      <c r="K47" s="20" t="n">
        <v>0.438776732806377</v>
      </c>
    </row>
    <row r="48" customFormat="false" ht="15" hidden="false" customHeight="false" outlineLevel="0" collapsed="false">
      <c r="A48" s="18" t="n">
        <v>45</v>
      </c>
      <c r="B48" s="18" t="s">
        <v>86</v>
      </c>
      <c r="C48" s="18" t="s">
        <v>77</v>
      </c>
      <c r="D48" s="21" t="n">
        <v>2.95954090360588</v>
      </c>
      <c r="E48" s="21" t="n">
        <v>2.94667522623578</v>
      </c>
      <c r="F48" s="21" t="n">
        <v>5.90621612984166</v>
      </c>
      <c r="G48" s="20" t="n">
        <v>0.927758298647679</v>
      </c>
      <c r="H48" s="20" t="n">
        <v>0.83166071241871</v>
      </c>
      <c r="I48" s="20" t="n">
        <v>0.693990881182018</v>
      </c>
      <c r="J48" s="20" t="n">
        <v>0.534544207625148</v>
      </c>
      <c r="K48" s="20" t="n">
        <v>0.379046530535639</v>
      </c>
    </row>
    <row r="49" customFormat="false" ht="15" hidden="false" customHeight="false" outlineLevel="0" collapsed="false">
      <c r="A49" s="18" t="n">
        <v>46</v>
      </c>
      <c r="B49" s="18" t="s">
        <v>86</v>
      </c>
      <c r="C49" s="18" t="s">
        <v>79</v>
      </c>
      <c r="D49" s="21" t="n">
        <v>2.51540327323132</v>
      </c>
      <c r="E49" s="21" t="n">
        <v>3.27244660396585</v>
      </c>
      <c r="F49" s="21" t="n">
        <v>5.78784987719717</v>
      </c>
      <c r="G49" s="20" t="n">
        <v>0.921759862338505</v>
      </c>
      <c r="H49" s="20" t="n">
        <v>0.820312158345709</v>
      </c>
      <c r="I49" s="20" t="n">
        <v>0.677717500795821</v>
      </c>
      <c r="J49" s="20" t="n">
        <v>0.515680323486376</v>
      </c>
      <c r="K49" s="20" t="n">
        <v>0.360635295769652</v>
      </c>
    </row>
    <row r="50" customFormat="false" ht="15" hidden="false" customHeight="false" outlineLevel="0" collapsed="false">
      <c r="A50" s="18" t="n">
        <v>47</v>
      </c>
      <c r="B50" s="18" t="s">
        <v>86</v>
      </c>
      <c r="C50" s="18" t="s">
        <v>81</v>
      </c>
      <c r="D50" s="21" t="n">
        <v>2.96620272693421</v>
      </c>
      <c r="E50" s="21" t="n">
        <v>3.41383621876895</v>
      </c>
      <c r="F50" s="21" t="n">
        <v>6.38003894570315</v>
      </c>
      <c r="G50" s="20" t="n">
        <v>0.947715215732443</v>
      </c>
      <c r="H50" s="20" t="n">
        <v>0.871140798662822</v>
      </c>
      <c r="I50" s="20" t="n">
        <v>0.753211546849083</v>
      </c>
      <c r="J50" s="20" t="n">
        <v>0.606383247192</v>
      </c>
      <c r="K50" s="20" t="n">
        <v>0.452450948442653</v>
      </c>
    </row>
    <row r="51" customFormat="false" ht="15" hidden="false" customHeight="false" outlineLevel="0" collapsed="false">
      <c r="A51" s="18" t="n">
        <v>48</v>
      </c>
      <c r="B51" s="18" t="s">
        <v>89</v>
      </c>
      <c r="C51" s="18" t="s">
        <v>73</v>
      </c>
      <c r="D51" s="21" t="n">
        <v>2.33833665855976</v>
      </c>
      <c r="E51" s="21" t="n">
        <v>3.08259485906615</v>
      </c>
      <c r="F51" s="21" t="n">
        <v>5.42093151762591</v>
      </c>
      <c r="G51" s="20" t="n">
        <v>0.900097671542274</v>
      </c>
      <c r="H51" s="20" t="n">
        <v>0.780973646085876</v>
      </c>
      <c r="I51" s="20" t="n">
        <v>0.623555729765875</v>
      </c>
      <c r="J51" s="20" t="n">
        <v>0.455381541281235</v>
      </c>
      <c r="K51" s="20" t="n">
        <v>0.304096397930729</v>
      </c>
    </row>
    <row r="52" customFormat="false" ht="15" hidden="false" customHeight="false" outlineLevel="0" collapsed="false">
      <c r="A52" s="18" t="n">
        <v>49</v>
      </c>
      <c r="B52" s="18" t="s">
        <v>89</v>
      </c>
      <c r="C52" s="18" t="s">
        <v>74</v>
      </c>
      <c r="D52" s="21" t="n">
        <v>2.47131112407136</v>
      </c>
      <c r="E52" s="21" t="n">
        <v>3.04183107251053</v>
      </c>
      <c r="F52" s="21" t="n">
        <v>5.51314219658189</v>
      </c>
      <c r="G52" s="20" t="n">
        <v>0.906009374914231</v>
      </c>
      <c r="H52" s="20" t="n">
        <v>0.791472582730527</v>
      </c>
      <c r="I52" s="20" t="n">
        <v>0.637687898826962</v>
      </c>
      <c r="J52" s="20" t="n">
        <v>0.470758997381152</v>
      </c>
      <c r="K52" s="20" t="n">
        <v>0.318184571110772</v>
      </c>
    </row>
    <row r="53" customFormat="false" ht="15" hidden="false" customHeight="false" outlineLevel="0" collapsed="false">
      <c r="A53" s="18" t="n">
        <v>50</v>
      </c>
      <c r="B53" s="18" t="s">
        <v>89</v>
      </c>
      <c r="C53" s="18" t="s">
        <v>92</v>
      </c>
      <c r="D53" s="21" t="n">
        <v>2.00969575357211</v>
      </c>
      <c r="E53" s="21" t="n">
        <v>2.5516975557175</v>
      </c>
      <c r="F53" s="21" t="n">
        <v>4.56139330928961</v>
      </c>
      <c r="G53" s="20" t="n">
        <v>0.826395830032125</v>
      </c>
      <c r="H53" s="20" t="n">
        <v>0.661700744301178</v>
      </c>
      <c r="I53" s="20" t="n">
        <v>0.476936286108921</v>
      </c>
      <c r="J53" s="20" t="n">
        <v>0.309362297298535</v>
      </c>
      <c r="K53" s="20" t="n">
        <v>0.181386883864394</v>
      </c>
    </row>
    <row r="54" customFormat="false" ht="15" hidden="false" customHeight="false" outlineLevel="0" collapsed="false">
      <c r="A54" s="18" t="n">
        <v>51</v>
      </c>
      <c r="B54" s="18" t="s">
        <v>89</v>
      </c>
      <c r="C54" s="18" t="s">
        <v>94</v>
      </c>
      <c r="D54" s="21" t="n">
        <v>2.39351854288925</v>
      </c>
      <c r="E54" s="21" t="n">
        <v>3.22850749137007</v>
      </c>
      <c r="F54" s="21" t="n">
        <v>5.62202603425931</v>
      </c>
      <c r="G54" s="20" t="n">
        <v>0.912573980133918</v>
      </c>
      <c r="H54" s="20" t="n">
        <v>0.803332852340501</v>
      </c>
      <c r="I54" s="20" t="n">
        <v>0.65392896257267</v>
      </c>
      <c r="J54" s="20" t="n">
        <v>0.488737340951667</v>
      </c>
      <c r="K54" s="20" t="n">
        <v>0.33494104087895</v>
      </c>
    </row>
    <row r="55" customFormat="false" ht="15" hidden="false" customHeight="false" outlineLevel="0" collapsed="false">
      <c r="A55" s="18" t="n">
        <v>52</v>
      </c>
      <c r="B55" s="18" t="s">
        <v>89</v>
      </c>
      <c r="C55" s="18" t="s">
        <v>97</v>
      </c>
      <c r="D55" s="21" t="n">
        <v>2.53439554636333</v>
      </c>
      <c r="E55" s="21" t="n">
        <v>3.08234184017727</v>
      </c>
      <c r="F55" s="21" t="n">
        <v>5.6167373865406</v>
      </c>
      <c r="G55" s="20" t="n">
        <v>0.912265186566063</v>
      </c>
      <c r="H55" s="20" t="n">
        <v>0.802770005694296</v>
      </c>
      <c r="I55" s="20" t="n">
        <v>0.653151403116942</v>
      </c>
      <c r="J55" s="20" t="n">
        <v>0.487869020255761</v>
      </c>
      <c r="K55" s="20" t="n">
        <v>0.334124623821548</v>
      </c>
    </row>
    <row r="56" customFormat="false" ht="15" hidden="false" customHeight="false" outlineLevel="0" collapsed="false">
      <c r="A56" s="18" t="n">
        <v>53</v>
      </c>
      <c r="B56" s="18" t="s">
        <v>94</v>
      </c>
      <c r="C56" s="18" t="s">
        <v>85</v>
      </c>
      <c r="D56" s="21" t="n">
        <v>2.69968531757181</v>
      </c>
      <c r="E56" s="21" t="n">
        <v>3.30181746896765</v>
      </c>
      <c r="F56" s="21" t="n">
        <v>6.00150278653946</v>
      </c>
      <c r="G56" s="20" t="n">
        <v>0.932271896651139</v>
      </c>
      <c r="H56" s="20" t="n">
        <v>0.840346954197746</v>
      </c>
      <c r="I56" s="20" t="n">
        <v>0.706660711054638</v>
      </c>
      <c r="J56" s="20" t="n">
        <v>0.549483183276614</v>
      </c>
      <c r="K56" s="20" t="n">
        <v>0.393877323547687</v>
      </c>
    </row>
    <row r="57" customFormat="false" ht="15" hidden="false" customHeight="false" outlineLevel="0" collapsed="false">
      <c r="A57" s="18" t="n">
        <v>54</v>
      </c>
      <c r="B57" s="18" t="s">
        <v>94</v>
      </c>
      <c r="C57" s="18" t="s">
        <v>86</v>
      </c>
      <c r="D57" s="21" t="n">
        <v>3.1944661658785</v>
      </c>
      <c r="E57" s="21" t="n">
        <v>2.84717512213494</v>
      </c>
      <c r="F57" s="21" t="n">
        <v>6.04164128801343</v>
      </c>
      <c r="G57" s="20" t="n">
        <v>0.934092932932233</v>
      </c>
      <c r="H57" s="20" t="n">
        <v>0.843889092463249</v>
      </c>
      <c r="I57" s="20" t="n">
        <v>0.711882694559829</v>
      </c>
      <c r="J57" s="20" t="n">
        <v>0.555706327844133</v>
      </c>
      <c r="K57" s="20" t="n">
        <v>0.400121440723555</v>
      </c>
    </row>
    <row r="58" customFormat="false" ht="15" hidden="false" customHeight="false" outlineLevel="0" collapsed="false">
      <c r="A58" s="18" t="n">
        <v>55</v>
      </c>
      <c r="B58" s="18" t="s">
        <v>94</v>
      </c>
      <c r="C58" s="18" t="s">
        <v>99</v>
      </c>
      <c r="D58" s="21" t="n">
        <v>2.90384445751788</v>
      </c>
      <c r="E58" s="21" t="n">
        <v>3.02673254320557</v>
      </c>
      <c r="F58" s="21" t="n">
        <v>5.93057700072344</v>
      </c>
      <c r="G58" s="20" t="n">
        <v>0.928938288642302</v>
      </c>
      <c r="H58" s="20" t="n">
        <v>0.833919012883988</v>
      </c>
      <c r="I58" s="20" t="n">
        <v>0.697266605336133</v>
      </c>
      <c r="J58" s="20" t="n">
        <v>0.538385138183797</v>
      </c>
      <c r="K58" s="20" t="n">
        <v>0.382838383364138</v>
      </c>
    </row>
    <row r="59" customFormat="false" ht="15" hidden="false" customHeight="false" outlineLevel="0" collapsed="false">
      <c r="A59" s="18" t="n">
        <v>56</v>
      </c>
      <c r="B59" s="18" t="s">
        <v>94</v>
      </c>
      <c r="C59" s="18" t="s">
        <v>90</v>
      </c>
      <c r="D59" s="21" t="n">
        <v>2.62978778390802</v>
      </c>
      <c r="E59" s="21" t="n">
        <v>2.81902222884114</v>
      </c>
      <c r="F59" s="21" t="n">
        <v>5.44881001274916</v>
      </c>
      <c r="G59" s="20" t="n">
        <v>0.901920091775268</v>
      </c>
      <c r="H59" s="20" t="n">
        <v>0.7841924316289</v>
      </c>
      <c r="I59" s="20" t="n">
        <v>0.627864546901708</v>
      </c>
      <c r="J59" s="20" t="n">
        <v>0.460044138769603</v>
      </c>
      <c r="K59" s="20" t="n">
        <v>0.308344392767378</v>
      </c>
    </row>
    <row r="60" customFormat="false" ht="15" hidden="false" customHeight="false" outlineLevel="0" collapsed="false">
      <c r="A60" s="18" t="n">
        <v>57</v>
      </c>
      <c r="B60" s="18" t="s">
        <v>94</v>
      </c>
      <c r="C60" s="18" t="s">
        <v>87</v>
      </c>
      <c r="D60" s="21" t="n">
        <v>2.95788957445838</v>
      </c>
      <c r="E60" s="21" t="n">
        <v>2.92990743023109</v>
      </c>
      <c r="F60" s="21" t="n">
        <v>5.88779700468948</v>
      </c>
      <c r="G60" s="20" t="n">
        <v>0.926853981223648</v>
      </c>
      <c r="H60" s="20" t="n">
        <v>0.82993587596127</v>
      </c>
      <c r="I60" s="20" t="n">
        <v>0.691497452687923</v>
      </c>
      <c r="J60" s="20" t="n">
        <v>0.531630478218329</v>
      </c>
      <c r="K60" s="20" t="n">
        <v>0.376179798024792</v>
      </c>
    </row>
    <row r="61" customFormat="false" ht="15" hidden="false" customHeight="false" outlineLevel="0" collapsed="false">
      <c r="A61" s="18" t="n">
        <v>58</v>
      </c>
      <c r="B61" s="18" t="s">
        <v>97</v>
      </c>
      <c r="C61" s="18" t="s">
        <v>73</v>
      </c>
      <c r="D61" s="21" t="n">
        <v>2.56669029829335</v>
      </c>
      <c r="E61" s="21" t="n">
        <v>3.00939720896484</v>
      </c>
      <c r="F61" s="21" t="n">
        <v>5.57608750725819</v>
      </c>
      <c r="G61" s="20" t="n">
        <v>0.909857815907372</v>
      </c>
      <c r="H61" s="20" t="n">
        <v>0.798398991069554</v>
      </c>
      <c r="I61" s="20" t="n">
        <v>0.647136274594966</v>
      </c>
      <c r="J61" s="20" t="n">
        <v>0.481177693301532</v>
      </c>
      <c r="K61" s="20" t="n">
        <v>0.327857523726867</v>
      </c>
    </row>
    <row r="62" customFormat="false" ht="15" hidden="false" customHeight="false" outlineLevel="0" collapsed="false">
      <c r="A62" s="18" t="n">
        <v>59</v>
      </c>
      <c r="B62" s="18" t="s">
        <v>97</v>
      </c>
      <c r="C62" s="18" t="s">
        <v>88</v>
      </c>
      <c r="D62" s="21" t="n">
        <v>2.51235559777325</v>
      </c>
      <c r="E62" s="21" t="n">
        <v>2.87567232830159</v>
      </c>
      <c r="F62" s="21" t="n">
        <v>5.38802792607484</v>
      </c>
      <c r="G62" s="20" t="n">
        <v>0.89790676705737</v>
      </c>
      <c r="H62" s="20" t="n">
        <v>0.777124483236988</v>
      </c>
      <c r="I62" s="20" t="n">
        <v>0.618430279996782</v>
      </c>
      <c r="J62" s="20" t="n">
        <v>0.44986455547666</v>
      </c>
      <c r="K62" s="20" t="n">
        <v>0.299096532776878</v>
      </c>
    </row>
    <row r="63" customFormat="false" ht="15" hidden="false" customHeight="false" outlineLevel="0" collapsed="false">
      <c r="A63" s="18" t="n">
        <v>60</v>
      </c>
      <c r="B63" s="18" t="s">
        <v>97</v>
      </c>
      <c r="C63" s="18" t="s">
        <v>86</v>
      </c>
      <c r="D63" s="21" t="n">
        <v>3.04984168270877</v>
      </c>
      <c r="E63" s="21" t="n">
        <v>3.0147533098051</v>
      </c>
      <c r="F63" s="21" t="n">
        <v>6.06459499251387</v>
      </c>
      <c r="G63" s="20" t="n">
        <v>0.935113559870617</v>
      </c>
      <c r="H63" s="20" t="n">
        <v>0.845884111472439</v>
      </c>
      <c r="I63" s="20" t="n">
        <v>0.714838318435645</v>
      </c>
      <c r="J63" s="20" t="n">
        <v>0.55924593239218</v>
      </c>
      <c r="K63" s="20" t="n">
        <v>0.403690437244589</v>
      </c>
    </row>
    <row r="64" customFormat="false" ht="15" hidden="false" customHeight="false" outlineLevel="0" collapsed="false">
      <c r="A64" s="18" t="n">
        <v>61</v>
      </c>
      <c r="B64" s="18" t="s">
        <v>97</v>
      </c>
      <c r="C64" s="18" t="s">
        <v>99</v>
      </c>
      <c r="D64" s="21" t="n">
        <v>2.77237741981385</v>
      </c>
      <c r="E64" s="21" t="n">
        <v>3.20487906823293</v>
      </c>
      <c r="F64" s="21" t="n">
        <v>5.97725648804678</v>
      </c>
      <c r="G64" s="20" t="n">
        <v>0.93114912570855</v>
      </c>
      <c r="H64" s="20" t="n">
        <v>0.838173968819697</v>
      </c>
      <c r="I64" s="20" t="n">
        <v>0.703473251924923</v>
      </c>
      <c r="J64" s="20" t="n">
        <v>0.54570366925696</v>
      </c>
      <c r="K64" s="20" t="n">
        <v>0.39010409455373</v>
      </c>
    </row>
    <row r="65" customFormat="false" ht="15" hidden="false" customHeight="false" outlineLevel="0" collapsed="false">
      <c r="A65" s="18" t="n">
        <v>62</v>
      </c>
      <c r="B65" s="18" t="s">
        <v>97</v>
      </c>
      <c r="C65" s="18" t="s">
        <v>90</v>
      </c>
      <c r="D65" s="21" t="n">
        <v>2.5107282355064</v>
      </c>
      <c r="E65" s="21" t="n">
        <v>2.9849434018798</v>
      </c>
      <c r="F65" s="21" t="n">
        <v>5.4956716373862</v>
      </c>
      <c r="G65" s="20" t="n">
        <v>0.904914677432837</v>
      </c>
      <c r="H65" s="20" t="n">
        <v>0.789515766242899</v>
      </c>
      <c r="I65" s="20" t="n">
        <v>0.635036786907515</v>
      </c>
      <c r="J65" s="20" t="n">
        <v>0.467855580868893</v>
      </c>
      <c r="K65" s="20" t="n">
        <v>0.315507399007688</v>
      </c>
    </row>
    <row r="66" customFormat="false" ht="15" hidden="false" customHeight="false" outlineLevel="0" collapsed="false">
      <c r="A66" s="18" t="n">
        <v>63</v>
      </c>
      <c r="B66" s="18" t="s">
        <v>99</v>
      </c>
      <c r="C66" s="18" t="s">
        <v>91</v>
      </c>
      <c r="D66" s="21" t="n">
        <v>2.8982544743789</v>
      </c>
      <c r="E66" s="21" t="n">
        <v>2.86480524683293</v>
      </c>
      <c r="F66" s="21" t="n">
        <v>5.76305972121183</v>
      </c>
      <c r="G66" s="20" t="n">
        <v>0.920446160856689</v>
      </c>
      <c r="H66" s="20" t="n">
        <v>0.817855084037872</v>
      </c>
      <c r="I66" s="20" t="n">
        <v>0.674234431292367</v>
      </c>
      <c r="J66" s="20" t="n">
        <v>0.511689067590325</v>
      </c>
      <c r="K66" s="20" t="n">
        <v>0.356784566912922</v>
      </c>
    </row>
    <row r="67" customFormat="false" ht="15" hidden="false" customHeight="false" outlineLevel="0" collapsed="false">
      <c r="A67" s="18" t="n">
        <v>64</v>
      </c>
      <c r="B67" s="18" t="s">
        <v>99</v>
      </c>
      <c r="C67" s="18" t="s">
        <v>83</v>
      </c>
      <c r="D67" s="21" t="n">
        <v>2.71877921784159</v>
      </c>
      <c r="E67" s="21" t="n">
        <v>3.09975314010188</v>
      </c>
      <c r="F67" s="21" t="n">
        <v>5.81853235794347</v>
      </c>
      <c r="G67" s="20" t="n">
        <v>0.923357837875821</v>
      </c>
      <c r="H67" s="20" t="n">
        <v>0.823314414055353</v>
      </c>
      <c r="I67" s="20" t="n">
        <v>0.681992615640939</v>
      </c>
      <c r="J67" s="20" t="n">
        <v>0.520601305522103</v>
      </c>
      <c r="K67" s="20" t="n">
        <v>0.365404457079883</v>
      </c>
    </row>
    <row r="68" customFormat="false" ht="15" hidden="false" customHeight="false" outlineLevel="0" collapsed="false">
      <c r="A68" s="18" t="n">
        <v>65</v>
      </c>
      <c r="B68" s="18" t="s">
        <v>99</v>
      </c>
      <c r="C68" s="18" t="s">
        <v>84</v>
      </c>
      <c r="D68" s="21" t="n">
        <v>2.51820473163296</v>
      </c>
      <c r="E68" s="21" t="n">
        <v>2.5746351665191</v>
      </c>
      <c r="F68" s="21" t="n">
        <v>5.09283989815206</v>
      </c>
      <c r="G68" s="20" t="n">
        <v>0.876194843189177</v>
      </c>
      <c r="H68" s="20" t="n">
        <v>0.740103479552478</v>
      </c>
      <c r="I68" s="20" t="n">
        <v>0.570575814767835</v>
      </c>
      <c r="J68" s="20" t="n">
        <v>0.399849299430654</v>
      </c>
      <c r="K68" s="20" t="n">
        <v>0.255074446723556</v>
      </c>
    </row>
    <row r="69" customFormat="false" ht="15" hidden="false" customHeight="false" outlineLevel="0" collapsed="false">
      <c r="A69" s="18" t="n">
        <v>66</v>
      </c>
      <c r="B69" s="18" t="s">
        <v>99</v>
      </c>
      <c r="C69" s="18" t="s">
        <v>85</v>
      </c>
      <c r="D69" s="21" t="n">
        <v>2.74511111787149</v>
      </c>
      <c r="E69" s="21" t="n">
        <v>3.48419286248547</v>
      </c>
      <c r="F69" s="21" t="n">
        <v>6.22930398035696</v>
      </c>
      <c r="G69" s="20" t="n">
        <v>0.942012960593799</v>
      </c>
      <c r="H69" s="20" t="n">
        <v>0.859563275747447</v>
      </c>
      <c r="I69" s="20" t="n">
        <v>0.735394963586668</v>
      </c>
      <c r="J69" s="20" t="n">
        <v>0.584218933004192</v>
      </c>
      <c r="K69" s="20" t="n">
        <v>0.429234935901622</v>
      </c>
    </row>
    <row r="70" customFormat="false" ht="15" hidden="false" customHeight="false" outlineLevel="0" collapsed="false">
      <c r="A70" s="18" t="n">
        <v>67</v>
      </c>
      <c r="B70" s="18" t="s">
        <v>99</v>
      </c>
      <c r="C70" s="18" t="s">
        <v>98</v>
      </c>
      <c r="D70" s="21" t="n">
        <v>2.72964889074414</v>
      </c>
      <c r="E70" s="21" t="n">
        <v>3.38498945777035</v>
      </c>
      <c r="F70" s="21" t="n">
        <v>6.11463834851449</v>
      </c>
      <c r="G70" s="20" t="n">
        <v>0.937287472324432</v>
      </c>
      <c r="H70" s="20" t="n">
        <v>0.850157413989886</v>
      </c>
      <c r="I70" s="20" t="n">
        <v>0.721204939984345</v>
      </c>
      <c r="J70" s="20" t="n">
        <v>0.566913534578616</v>
      </c>
      <c r="K70" s="20" t="n">
        <v>0.411465387219672</v>
      </c>
    </row>
    <row r="71" customFormat="false" ht="15" hidden="false" customHeight="false" outlineLevel="0" collapsed="false">
      <c r="A71" s="18" t="n">
        <v>68</v>
      </c>
      <c r="B71" s="18" t="s">
        <v>90</v>
      </c>
      <c r="C71" s="18" t="s">
        <v>73</v>
      </c>
      <c r="D71" s="21" t="n">
        <v>2.54604282475752</v>
      </c>
      <c r="E71" s="21" t="n">
        <v>2.71605395451267</v>
      </c>
      <c r="F71" s="21" t="n">
        <v>5.26209677927019</v>
      </c>
      <c r="G71" s="20" t="n">
        <v>0.889108735735175</v>
      </c>
      <c r="H71" s="20" t="n">
        <v>0.761884083192991</v>
      </c>
      <c r="I71" s="20" t="n">
        <v>0.598420285530303</v>
      </c>
      <c r="J71" s="20" t="n">
        <v>0.428626309674992</v>
      </c>
      <c r="K71" s="20" t="n">
        <v>0.28011664058854</v>
      </c>
    </row>
    <row r="72" customFormat="false" ht="15" hidden="false" customHeight="false" outlineLevel="0" collapsed="false">
      <c r="A72" s="18" t="n">
        <v>69</v>
      </c>
      <c r="B72" s="18" t="s">
        <v>90</v>
      </c>
      <c r="C72" s="18" t="s">
        <v>74</v>
      </c>
      <c r="D72" s="21" t="n">
        <v>2.6908289412273</v>
      </c>
      <c r="E72" s="21" t="n">
        <v>2.68013725162527</v>
      </c>
      <c r="F72" s="21" t="n">
        <v>5.37096619285257</v>
      </c>
      <c r="G72" s="20" t="n">
        <v>0.896753427859314</v>
      </c>
      <c r="H72" s="20" t="n">
        <v>0.775107034701774</v>
      </c>
      <c r="I72" s="20" t="n">
        <v>0.615755612126732</v>
      </c>
      <c r="J72" s="20" t="n">
        <v>0.446998130537452</v>
      </c>
      <c r="K72" s="20" t="n">
        <v>0.296510125249761</v>
      </c>
    </row>
    <row r="73" customFormat="false" ht="15" hidden="false" customHeight="false" outlineLevel="0" collapsed="false">
      <c r="A73" s="18" t="n">
        <v>70</v>
      </c>
      <c r="B73" s="18" t="s">
        <v>90</v>
      </c>
      <c r="C73" s="18" t="s">
        <v>99</v>
      </c>
      <c r="D73" s="21" t="n">
        <v>2.750075317591</v>
      </c>
      <c r="E73" s="21" t="n">
        <v>2.89248107264747</v>
      </c>
      <c r="F73" s="21" t="n">
        <v>5.64255639023847</v>
      </c>
      <c r="G73" s="20" t="n">
        <v>0.913763194782324</v>
      </c>
      <c r="H73" s="20" t="n">
        <v>0.805505151191084</v>
      </c>
      <c r="I73" s="20" t="n">
        <v>0.65693643033247</v>
      </c>
      <c r="J73" s="20" t="n">
        <v>0.492103121587286</v>
      </c>
      <c r="K73" s="20" t="n">
        <v>0.338112480191323</v>
      </c>
    </row>
    <row r="74" customFormat="false" ht="15" hidden="false" customHeight="false" outlineLevel="0" collapsed="false">
      <c r="A74" s="18" t="n">
        <v>71</v>
      </c>
      <c r="B74" s="18" t="s">
        <v>90</v>
      </c>
      <c r="C74" s="18" t="s">
        <v>81</v>
      </c>
      <c r="D74" s="21" t="n">
        <v>2.93687288761034</v>
      </c>
      <c r="E74" s="21" t="n">
        <v>2.81038030087021</v>
      </c>
      <c r="F74" s="21" t="n">
        <v>5.74725318848055</v>
      </c>
      <c r="G74" s="20" t="n">
        <v>0.919597842027202</v>
      </c>
      <c r="H74" s="20" t="n">
        <v>0.816273677848373</v>
      </c>
      <c r="I74" s="20" t="n">
        <v>0.672000089225513</v>
      </c>
      <c r="J74" s="20" t="n">
        <v>0.509137194194868</v>
      </c>
      <c r="K74" s="20" t="n">
        <v>0.354330682105697</v>
      </c>
    </row>
    <row r="75" customFormat="false" ht="15" hidden="false" customHeight="false" outlineLevel="0" collapsed="false">
      <c r="A75" s="18" t="n">
        <v>72</v>
      </c>
      <c r="B75" s="18" t="s">
        <v>77</v>
      </c>
      <c r="C75" s="18" t="s">
        <v>88</v>
      </c>
      <c r="D75" s="21" t="n">
        <v>2.24405267717723</v>
      </c>
      <c r="E75" s="21" t="n">
        <v>3.0536200777238</v>
      </c>
      <c r="F75" s="21" t="n">
        <v>5.29767275490103</v>
      </c>
      <c r="G75" s="20" t="n">
        <v>0.891661931670804</v>
      </c>
      <c r="H75" s="20" t="n">
        <v>0.766271957502544</v>
      </c>
      <c r="I75" s="20" t="n">
        <v>0.604135694880758</v>
      </c>
      <c r="J75" s="20" t="n">
        <v>0.434644209645808</v>
      </c>
      <c r="K75" s="20" t="n">
        <v>0.285451578891844</v>
      </c>
    </row>
    <row r="76" customFormat="false" ht="15" hidden="false" customHeight="false" outlineLevel="0" collapsed="false">
      <c r="A76" s="18" t="n">
        <v>73</v>
      </c>
      <c r="B76" s="18" t="s">
        <v>77</v>
      </c>
      <c r="C76" s="18" t="s">
        <v>83</v>
      </c>
      <c r="D76" s="21" t="n">
        <v>2.28012207157442</v>
      </c>
      <c r="E76" s="21" t="n">
        <v>3.302867771305</v>
      </c>
      <c r="F76" s="21" t="n">
        <v>5.58298984287941</v>
      </c>
      <c r="G76" s="20" t="n">
        <v>0.9102708451403</v>
      </c>
      <c r="H76" s="20" t="n">
        <v>0.799146799040523</v>
      </c>
      <c r="I76" s="20" t="n">
        <v>0.648162448808867</v>
      </c>
      <c r="J76" s="20" t="n">
        <v>0.482315989134822</v>
      </c>
      <c r="K76" s="20" t="n">
        <v>0.328920624877073</v>
      </c>
    </row>
    <row r="77" customFormat="false" ht="15" hidden="false" customHeight="false" outlineLevel="0" collapsed="false">
      <c r="A77" s="18" t="n">
        <v>74</v>
      </c>
      <c r="B77" s="18" t="s">
        <v>77</v>
      </c>
      <c r="C77" s="18" t="s">
        <v>84</v>
      </c>
      <c r="D77" s="21" t="n">
        <v>2.11190895960203</v>
      </c>
      <c r="E77" s="21" t="n">
        <v>2.74334088232746</v>
      </c>
      <c r="F77" s="21" t="n">
        <v>4.85524984192949</v>
      </c>
      <c r="G77" s="20" t="n">
        <v>0.855772970450749</v>
      </c>
      <c r="H77" s="20" t="n">
        <v>0.706952360936069</v>
      </c>
      <c r="I77" s="20" t="n">
        <v>0.529781770636889</v>
      </c>
      <c r="J77" s="20" t="n">
        <v>0.359263638068855</v>
      </c>
      <c r="K77" s="20" t="n">
        <v>0.221072159770326</v>
      </c>
    </row>
    <row r="78" customFormat="false" ht="15" hidden="false" customHeight="false" outlineLevel="0" collapsed="false">
      <c r="A78" s="18" t="n">
        <v>75</v>
      </c>
      <c r="B78" s="18" t="s">
        <v>77</v>
      </c>
      <c r="C78" s="18" t="s">
        <v>85</v>
      </c>
      <c r="D78" s="21" t="n">
        <v>2.30220549271088</v>
      </c>
      <c r="E78" s="21" t="n">
        <v>3.71249831660334</v>
      </c>
      <c r="F78" s="21" t="n">
        <v>6.01470380931423</v>
      </c>
      <c r="G78" s="20" t="n">
        <v>0.932875956046683</v>
      </c>
      <c r="H78" s="20" t="n">
        <v>0.841519471189695</v>
      </c>
      <c r="I78" s="20" t="n">
        <v>0.708385676736845</v>
      </c>
      <c r="J78" s="20" t="n">
        <v>0.551534557620667</v>
      </c>
      <c r="K78" s="20" t="n">
        <v>0.395931297244526</v>
      </c>
    </row>
    <row r="79" customFormat="false" ht="15" hidden="false" customHeight="false" outlineLevel="0" collapsed="false">
      <c r="A79" s="18" t="n">
        <v>76</v>
      </c>
      <c r="B79" s="18" t="s">
        <v>77</v>
      </c>
      <c r="C79" s="18" t="s">
        <v>89</v>
      </c>
      <c r="D79" s="21" t="n">
        <v>2.54524563655394</v>
      </c>
      <c r="E79" s="21" t="n">
        <v>2.9110726154672</v>
      </c>
      <c r="F79" s="21" t="n">
        <v>5.45631825202114</v>
      </c>
      <c r="G79" s="20" t="n">
        <v>0.90240565465596</v>
      </c>
      <c r="H79" s="20" t="n">
        <v>0.785052680828423</v>
      </c>
      <c r="I79" s="20" t="n">
        <v>0.629019660761983</v>
      </c>
      <c r="J79" s="20" t="n">
        <v>0.461297939060468</v>
      </c>
      <c r="K79" s="20" t="n">
        <v>0.309490215258126</v>
      </c>
    </row>
    <row r="80" customFormat="false" ht="15" hidden="false" customHeight="false" outlineLevel="0" collapsed="false">
      <c r="A80" s="18" t="n">
        <v>77</v>
      </c>
      <c r="B80" s="18" t="s">
        <v>77</v>
      </c>
      <c r="C80" s="18" t="s">
        <v>79</v>
      </c>
      <c r="D80" s="21" t="n">
        <v>2.24259910641085</v>
      </c>
      <c r="E80" s="21" t="n">
        <v>3.16965288887163</v>
      </c>
      <c r="F80" s="21" t="n">
        <v>5.41225199528248</v>
      </c>
      <c r="G80" s="20" t="n">
        <v>0.899523971187081</v>
      </c>
      <c r="H80" s="20" t="n">
        <v>0.779963579638594</v>
      </c>
      <c r="I80" s="20" t="n">
        <v>0.622207895440067</v>
      </c>
      <c r="J80" s="20" t="n">
        <v>0.453927669338941</v>
      </c>
      <c r="K80" s="20" t="n">
        <v>0.302776010975899</v>
      </c>
    </row>
    <row r="81" customFormat="false" ht="15" hidden="false" customHeight="false" outlineLevel="0" collapsed="false">
      <c r="A81" s="18" t="n">
        <v>78</v>
      </c>
      <c r="B81" s="18" t="s">
        <v>79</v>
      </c>
      <c r="C81" s="18" t="s">
        <v>91</v>
      </c>
      <c r="D81" s="21" t="n">
        <v>2.69936100117371</v>
      </c>
      <c r="E81" s="21" t="n">
        <v>2.59443298414011</v>
      </c>
      <c r="F81" s="21" t="n">
        <v>5.29379398531382</v>
      </c>
      <c r="G81" s="20" t="n">
        <v>0.891386193241943</v>
      </c>
      <c r="H81" s="20" t="n">
        <v>0.765796728449879</v>
      </c>
      <c r="I81" s="20" t="n">
        <v>0.603514925417034</v>
      </c>
      <c r="J81" s="20" t="n">
        <v>0.433988727725352</v>
      </c>
      <c r="K81" s="20" t="n">
        <v>0.284868836716585</v>
      </c>
    </row>
    <row r="82" customFormat="false" ht="15" hidden="false" customHeight="false" outlineLevel="0" collapsed="false">
      <c r="A82" s="18" t="n">
        <v>79</v>
      </c>
      <c r="B82" s="18" t="s">
        <v>79</v>
      </c>
      <c r="C82" s="18" t="s">
        <v>83</v>
      </c>
      <c r="D82" s="21" t="n">
        <v>2.53220228117336</v>
      </c>
      <c r="E82" s="21" t="n">
        <v>2.80720715597084</v>
      </c>
      <c r="F82" s="21" t="n">
        <v>5.3394094371442</v>
      </c>
      <c r="G82" s="20" t="n">
        <v>0.894588735684391</v>
      </c>
      <c r="H82" s="20" t="n">
        <v>0.771336694321199</v>
      </c>
      <c r="I82" s="20" t="n">
        <v>0.610778381643434</v>
      </c>
      <c r="J82" s="20" t="n">
        <v>0.441686852222203</v>
      </c>
      <c r="K82" s="20" t="n">
        <v>0.291738164836102</v>
      </c>
    </row>
    <row r="83" customFormat="false" ht="15" hidden="false" customHeight="false" outlineLevel="0" collapsed="false">
      <c r="A83" s="18" t="n">
        <v>80</v>
      </c>
      <c r="B83" s="18" t="s">
        <v>79</v>
      </c>
      <c r="C83" s="18" t="s">
        <v>92</v>
      </c>
      <c r="D83" s="21" t="n">
        <v>2.18820991177527</v>
      </c>
      <c r="E83" s="21" t="n">
        <v>2.24828384973898</v>
      </c>
      <c r="F83" s="21" t="n">
        <v>4.43649376151424</v>
      </c>
      <c r="G83" s="20" t="n">
        <v>0.812398699373056</v>
      </c>
      <c r="H83" s="20" t="n">
        <v>0.641040070000699</v>
      </c>
      <c r="I83" s="20" t="n">
        <v>0.453821122496361</v>
      </c>
      <c r="J83" s="20" t="n">
        <v>0.288455967793722</v>
      </c>
      <c r="K83" s="20" t="n">
        <v>0.165465922115006</v>
      </c>
    </row>
    <row r="84" customFormat="false" ht="15" hidden="false" customHeight="false" outlineLevel="0" collapsed="false">
      <c r="A84" s="18" t="n">
        <v>81</v>
      </c>
      <c r="B84" s="18" t="s">
        <v>79</v>
      </c>
      <c r="C84" s="18" t="s">
        <v>84</v>
      </c>
      <c r="D84" s="21" t="n">
        <v>2.34539227166995</v>
      </c>
      <c r="E84" s="21" t="n">
        <v>2.33164833998008</v>
      </c>
      <c r="F84" s="21" t="n">
        <v>4.67704061165003</v>
      </c>
      <c r="G84" s="20" t="n">
        <v>0.83853353905504</v>
      </c>
      <c r="H84" s="20" t="n">
        <v>0.680073210435613</v>
      </c>
      <c r="I84" s="20" t="n">
        <v>0.498014820465288</v>
      </c>
      <c r="J84" s="20" t="n">
        <v>0.328911854223464</v>
      </c>
      <c r="K84" s="20" t="n">
        <v>0.196653378617255</v>
      </c>
    </row>
    <row r="85" customFormat="false" ht="15" hidden="false" customHeight="false" outlineLevel="0" collapsed="false">
      <c r="A85" s="18" t="n">
        <v>82</v>
      </c>
      <c r="B85" s="18" t="s">
        <v>79</v>
      </c>
      <c r="C85" s="18" t="s">
        <v>97</v>
      </c>
      <c r="D85" s="21" t="n">
        <v>2.75951692939294</v>
      </c>
      <c r="E85" s="21" t="n">
        <v>2.71583102124212</v>
      </c>
      <c r="F85" s="21" t="n">
        <v>5.47534795063505</v>
      </c>
      <c r="G85" s="20" t="n">
        <v>0.903626428903134</v>
      </c>
      <c r="H85" s="20" t="n">
        <v>0.787220431188985</v>
      </c>
      <c r="I85" s="20" t="n">
        <v>0.631937122874124</v>
      </c>
      <c r="J85" s="20" t="n">
        <v>0.464471921834332</v>
      </c>
      <c r="K85" s="20" t="n">
        <v>0.312397513868066</v>
      </c>
    </row>
    <row r="86" customFormat="false" ht="15" hidden="false" customHeight="false" outlineLevel="0" collapsed="false">
      <c r="A86" s="18" t="n">
        <v>83</v>
      </c>
      <c r="B86" s="18" t="s">
        <v>87</v>
      </c>
      <c r="C86" s="18" t="s">
        <v>88</v>
      </c>
      <c r="D86" s="21" t="n">
        <v>2.59017282846569</v>
      </c>
      <c r="E86" s="21" t="n">
        <v>2.91917096332005</v>
      </c>
      <c r="F86" s="21" t="n">
        <v>5.50934379178574</v>
      </c>
      <c r="G86" s="20" t="n">
        <v>0.905772361655485</v>
      </c>
      <c r="H86" s="20" t="n">
        <v>0.791048414401156</v>
      </c>
      <c r="I86" s="20" t="n">
        <v>0.637112557580427</v>
      </c>
      <c r="J86" s="20" t="n">
        <v>0.470128162369636</v>
      </c>
      <c r="K86" s="20" t="n">
        <v>0.317602211259008</v>
      </c>
    </row>
    <row r="87" customFormat="false" ht="15" hidden="false" customHeight="false" outlineLevel="0" collapsed="false">
      <c r="A87" s="18" t="n">
        <v>84</v>
      </c>
      <c r="B87" s="18" t="s">
        <v>87</v>
      </c>
      <c r="C87" s="18" t="s">
        <v>91</v>
      </c>
      <c r="D87" s="21" t="n">
        <v>2.80553937223337</v>
      </c>
      <c r="E87" s="21" t="n">
        <v>2.9181237826023</v>
      </c>
      <c r="F87" s="21" t="n">
        <v>5.72366315483567</v>
      </c>
      <c r="G87" s="20" t="n">
        <v>0.918316134884141</v>
      </c>
      <c r="H87" s="20" t="n">
        <v>0.813892067433292</v>
      </c>
      <c r="I87" s="20" t="n">
        <v>0.668645998249648</v>
      </c>
      <c r="J87" s="20" t="n">
        <v>0.505318784798718</v>
      </c>
      <c r="K87" s="20" t="n">
        <v>0.3506707247253</v>
      </c>
    </row>
    <row r="88" customFormat="false" ht="15" hidden="false" customHeight="false" outlineLevel="0" collapsed="false">
      <c r="A88" s="18" t="n">
        <v>85</v>
      </c>
      <c r="B88" s="18" t="s">
        <v>87</v>
      </c>
      <c r="C88" s="18" t="s">
        <v>89</v>
      </c>
      <c r="D88" s="21" t="n">
        <v>2.93782144983587</v>
      </c>
      <c r="E88" s="21" t="n">
        <v>2.78289978284477</v>
      </c>
      <c r="F88" s="21" t="n">
        <v>5.72072123268064</v>
      </c>
      <c r="G88" s="20" t="n">
        <v>0.918154967650678</v>
      </c>
      <c r="H88" s="20" t="n">
        <v>0.81359324433388</v>
      </c>
      <c r="I88" s="20" t="n">
        <v>0.668226071782555</v>
      </c>
      <c r="J88" s="20" t="n">
        <v>0.504841766179303</v>
      </c>
      <c r="K88" s="20" t="n">
        <v>0.350214495852504</v>
      </c>
    </row>
    <row r="89" customFormat="false" ht="15" hidden="false" customHeight="false" outlineLevel="0" collapsed="false">
      <c r="A89" s="18" t="n">
        <v>86</v>
      </c>
      <c r="B89" s="18" t="s">
        <v>87</v>
      </c>
      <c r="C89" s="18" t="s">
        <v>97</v>
      </c>
      <c r="D89" s="21" t="n">
        <v>2.86806151173931</v>
      </c>
      <c r="E89" s="21" t="n">
        <v>3.05466787581811</v>
      </c>
      <c r="F89" s="21" t="n">
        <v>5.92272938755742</v>
      </c>
      <c r="G89" s="20" t="n">
        <v>0.928560149077691</v>
      </c>
      <c r="H89" s="20" t="n">
        <v>0.833194366356164</v>
      </c>
      <c r="I89" s="20" t="n">
        <v>0.696214105525942</v>
      </c>
      <c r="J89" s="20" t="n">
        <v>0.537149415881112</v>
      </c>
      <c r="K89" s="20" t="n">
        <v>0.381616850533721</v>
      </c>
    </row>
    <row r="90" customFormat="false" ht="15" hidden="false" customHeight="false" outlineLevel="0" collapsed="false">
      <c r="A90" s="18" t="n">
        <v>87</v>
      </c>
      <c r="B90" s="18" t="s">
        <v>87</v>
      </c>
      <c r="C90" s="18" t="s">
        <v>77</v>
      </c>
      <c r="D90" s="21" t="n">
        <v>3.0455383008003</v>
      </c>
      <c r="E90" s="21" t="n">
        <v>2.72844959952822</v>
      </c>
      <c r="F90" s="21" t="n">
        <v>5.77398790032851</v>
      </c>
      <c r="G90" s="20" t="n">
        <v>0.921027786699756</v>
      </c>
      <c r="H90" s="20" t="n">
        <v>0.818941701105522</v>
      </c>
      <c r="I90" s="20" t="n">
        <v>0.675773050406308</v>
      </c>
      <c r="J90" s="20" t="n">
        <v>0.513450187113456</v>
      </c>
      <c r="K90" s="20" t="n">
        <v>0.358481762909476</v>
      </c>
    </row>
    <row r="91" customFormat="false" ht="15" hidden="false" customHeight="false" outlineLevel="0" collapsed="false">
      <c r="A91" s="18" t="n">
        <v>88</v>
      </c>
      <c r="B91" s="18" t="s">
        <v>81</v>
      </c>
      <c r="C91" s="18" t="s">
        <v>84</v>
      </c>
      <c r="D91" s="21" t="n">
        <v>2.44672749573494</v>
      </c>
      <c r="E91" s="21" t="n">
        <v>2.74951604695018</v>
      </c>
      <c r="F91" s="21" t="n">
        <v>5.19624354268512</v>
      </c>
      <c r="G91" s="20" t="n">
        <v>0.884237375827256</v>
      </c>
      <c r="H91" s="20" t="n">
        <v>0.753588565622306</v>
      </c>
      <c r="I91" s="20" t="n">
        <v>0.587713390283449</v>
      </c>
      <c r="J91" s="20" t="n">
        <v>0.417455317452525</v>
      </c>
      <c r="K91" s="20" t="n">
        <v>0.270303445644239</v>
      </c>
    </row>
    <row r="92" customFormat="false" ht="15" hidden="false" customHeight="false" outlineLevel="0" collapsed="false">
      <c r="A92" s="18" t="n">
        <v>89</v>
      </c>
      <c r="B92" s="18" t="s">
        <v>81</v>
      </c>
      <c r="C92" s="18" t="s">
        <v>94</v>
      </c>
      <c r="D92" s="21" t="n">
        <v>2.7187268427254</v>
      </c>
      <c r="E92" s="21" t="n">
        <v>3.35441622284784</v>
      </c>
      <c r="F92" s="21" t="n">
        <v>6.07314306557324</v>
      </c>
      <c r="G92" s="20" t="n">
        <v>0.935489839151895</v>
      </c>
      <c r="H92" s="20" t="n">
        <v>0.846621422339219</v>
      </c>
      <c r="I92" s="20" t="n">
        <v>0.715933314821298</v>
      </c>
      <c r="J92" s="20" t="n">
        <v>0.560560484458033</v>
      </c>
      <c r="K92" s="20" t="n">
        <v>0.405019141437315</v>
      </c>
    </row>
    <row r="93" customFormat="false" ht="15" hidden="false" customHeight="false" outlineLevel="0" collapsed="false">
      <c r="A93" s="18" t="n">
        <v>90</v>
      </c>
      <c r="B93" s="18" t="s">
        <v>81</v>
      </c>
      <c r="C93" s="18" t="s">
        <v>79</v>
      </c>
      <c r="D93" s="21" t="n">
        <v>2.5981370411914</v>
      </c>
      <c r="E93" s="21" t="n">
        <v>3.17678766694889</v>
      </c>
      <c r="F93" s="21" t="n">
        <v>5.77492470814029</v>
      </c>
      <c r="G93" s="20" t="n">
        <v>0.921077461401477</v>
      </c>
      <c r="H93" s="20" t="n">
        <v>0.819034595289793</v>
      </c>
      <c r="I93" s="20" t="n">
        <v>0.675904713314156</v>
      </c>
      <c r="J93" s="20" t="n">
        <v>0.513601035737341</v>
      </c>
      <c r="K93" s="20" t="n">
        <v>0.358627276852017</v>
      </c>
    </row>
    <row r="94" customFormat="false" ht="15" hidden="false" customHeight="false" outlineLevel="0" collapsed="false">
      <c r="A94" s="18" t="n">
        <v>91</v>
      </c>
      <c r="B94" s="18" t="s">
        <v>81</v>
      </c>
      <c r="C94" s="18" t="s">
        <v>87</v>
      </c>
      <c r="D94" s="21" t="n">
        <v>2.92228997114506</v>
      </c>
      <c r="E94" s="21" t="n">
        <v>3.30174544011535</v>
      </c>
      <c r="F94" s="21" t="n">
        <v>6.2240354112604</v>
      </c>
      <c r="G94" s="20" t="n">
        <v>0.941803403404946</v>
      </c>
      <c r="H94" s="20" t="n">
        <v>0.859142654737292</v>
      </c>
      <c r="I94" s="20" t="n">
        <v>0.734755079894967</v>
      </c>
      <c r="J94" s="20" t="n">
        <v>0.583432042804542</v>
      </c>
      <c r="K94" s="20" t="n">
        <v>0.428420207984894</v>
      </c>
    </row>
    <row r="95" customFormat="false" ht="15" hidden="false" customHeight="false" outlineLevel="0" collapsed="false">
      <c r="A95" s="18" t="n">
        <v>92</v>
      </c>
      <c r="B95" s="18" t="s">
        <v>81</v>
      </c>
      <c r="C95" s="18" t="s">
        <v>82</v>
      </c>
      <c r="D95" s="21" t="n">
        <v>2.56223419483973</v>
      </c>
      <c r="E95" s="21" t="n">
        <v>3.27872511309779</v>
      </c>
      <c r="F95" s="21" t="n">
        <v>5.84095930793751</v>
      </c>
      <c r="G95" s="20" t="n">
        <v>0.924506554926393</v>
      </c>
      <c r="H95" s="20" t="n">
        <v>0.825481902482147</v>
      </c>
      <c r="I95" s="20" t="n">
        <v>0.685092336882546</v>
      </c>
      <c r="J95" s="20" t="n">
        <v>0.524184678029689</v>
      </c>
      <c r="K95" s="20" t="n">
        <v>0.368892221096338</v>
      </c>
    </row>
    <row r="96" customFormat="false" ht="15" hidden="false" customHeight="false" outlineLevel="0" collapsed="false">
      <c r="A96" s="18" t="n">
        <v>93</v>
      </c>
      <c r="B96" s="18" t="s">
        <v>81</v>
      </c>
      <c r="C96" s="18" t="s">
        <v>98</v>
      </c>
      <c r="D96" s="21" t="n">
        <v>2.65216998077641</v>
      </c>
      <c r="E96" s="21" t="n">
        <v>3.61491327156846</v>
      </c>
      <c r="F96" s="21" t="n">
        <v>6.26708325234487</v>
      </c>
      <c r="G96" s="20" t="n">
        <v>0.943494903568174</v>
      </c>
      <c r="H96" s="20" t="n">
        <v>0.862547408511214</v>
      </c>
      <c r="I96" s="20" t="n">
        <v>0.73994932622695</v>
      </c>
      <c r="J96" s="20" t="n">
        <v>0.589837702650633</v>
      </c>
      <c r="K96" s="20" t="n">
        <v>0.43507128620293</v>
      </c>
    </row>
    <row r="97" customFormat="false" ht="15" hidden="false" customHeight="false" outlineLevel="0" collapsed="false">
      <c r="A97" s="18" t="n">
        <v>94</v>
      </c>
      <c r="B97" s="18" t="s">
        <v>82</v>
      </c>
      <c r="C97" s="18" t="s">
        <v>84</v>
      </c>
      <c r="D97" s="21" t="n">
        <v>2.42065172349885</v>
      </c>
      <c r="E97" s="21" t="n">
        <v>2.29942801796887</v>
      </c>
      <c r="F97" s="21" t="n">
        <v>4.72007974146773</v>
      </c>
      <c r="G97" s="20" t="n">
        <v>0.842856157608337</v>
      </c>
      <c r="H97" s="20" t="n">
        <v>0.686723871611025</v>
      </c>
      <c r="I97" s="20" t="n">
        <v>0.505770272911823</v>
      </c>
      <c r="J97" s="20" t="n">
        <v>0.336222490816444</v>
      </c>
      <c r="K97" s="20" t="n">
        <v>0.20245556057807</v>
      </c>
    </row>
    <row r="98" customFormat="false" ht="15" hidden="false" customHeight="false" outlineLevel="0" collapsed="false">
      <c r="A98" s="18" t="n">
        <v>95</v>
      </c>
      <c r="B98" s="18" t="s">
        <v>82</v>
      </c>
      <c r="C98" s="18" t="s">
        <v>89</v>
      </c>
      <c r="D98" s="21" t="n">
        <v>2.9173384623612</v>
      </c>
      <c r="E98" s="21" t="n">
        <v>2.44001829210089</v>
      </c>
      <c r="F98" s="21" t="n">
        <v>5.35735675446209</v>
      </c>
      <c r="G98" s="20" t="n">
        <v>0.895824907698792</v>
      </c>
      <c r="H98" s="20" t="n">
        <v>0.773487217831021</v>
      </c>
      <c r="I98" s="20" t="n">
        <v>0.613613893741704</v>
      </c>
      <c r="J98" s="20" t="n">
        <v>0.444709045050844</v>
      </c>
      <c r="K98" s="20" t="n">
        <v>0.294450220159833</v>
      </c>
    </row>
    <row r="99" customFormat="false" ht="15" hidden="false" customHeight="false" outlineLevel="0" collapsed="false">
      <c r="A99" s="18" t="n">
        <v>96</v>
      </c>
      <c r="B99" s="18" t="s">
        <v>82</v>
      </c>
      <c r="C99" s="18" t="s">
        <v>99</v>
      </c>
      <c r="D99" s="21" t="n">
        <v>2.83832032606574</v>
      </c>
      <c r="E99" s="21" t="n">
        <v>2.8525107778247</v>
      </c>
      <c r="F99" s="21" t="n">
        <v>5.69083110389043</v>
      </c>
      <c r="G99" s="20" t="n">
        <v>0.916500668167979</v>
      </c>
      <c r="H99" s="20" t="n">
        <v>0.810534285291582</v>
      </c>
      <c r="I99" s="20" t="n">
        <v>0.663939049614131</v>
      </c>
      <c r="J99" s="20" t="n">
        <v>0.49998506180408</v>
      </c>
      <c r="K99" s="20" t="n">
        <v>0.345582012866444</v>
      </c>
    </row>
    <row r="100" customFormat="false" ht="15" hidden="false" customHeight="false" outlineLevel="0" collapsed="false">
      <c r="A100" s="18" t="n">
        <v>97</v>
      </c>
      <c r="B100" s="18" t="s">
        <v>82</v>
      </c>
      <c r="C100" s="18" t="s">
        <v>79</v>
      </c>
      <c r="D100" s="21" t="n">
        <v>2.57044763571313</v>
      </c>
      <c r="E100" s="21" t="n">
        <v>2.6567564777892</v>
      </c>
      <c r="F100" s="21" t="n">
        <v>5.22720411350233</v>
      </c>
      <c r="G100" s="20" t="n">
        <v>0.886551383676721</v>
      </c>
      <c r="H100" s="20" t="n">
        <v>0.75751680766374</v>
      </c>
      <c r="I100" s="20" t="n">
        <v>0.592767613905239</v>
      </c>
      <c r="J100" s="20" t="n">
        <v>0.422712036944104</v>
      </c>
      <c r="K100" s="20" t="n">
        <v>0.274906664675063</v>
      </c>
    </row>
    <row r="101" customFormat="false" ht="15" hidden="false" customHeight="false" outlineLevel="0" collapsed="false">
      <c r="A101" s="18" t="n">
        <v>98</v>
      </c>
      <c r="B101" s="18" t="s">
        <v>82</v>
      </c>
      <c r="C101" s="18" t="s">
        <v>98</v>
      </c>
      <c r="D101" s="21" t="n">
        <v>2.62390472423654</v>
      </c>
      <c r="E101" s="21" t="n">
        <v>3.02316215553357</v>
      </c>
      <c r="F101" s="21" t="n">
        <v>5.64706687977011</v>
      </c>
      <c r="G101" s="20" t="n">
        <v>0.91402244764758</v>
      </c>
      <c r="H101" s="20" t="n">
        <v>0.805979713149992</v>
      </c>
      <c r="I101" s="20" t="n">
        <v>0.657594821443029</v>
      </c>
      <c r="J101" s="20" t="n">
        <v>0.492841498328047</v>
      </c>
      <c r="K101" s="20" t="n">
        <v>0.338809680260255</v>
      </c>
    </row>
    <row r="102" customFormat="false" ht="15" hidden="false" customHeight="false" outlineLevel="0" collapsed="false">
      <c r="A102" s="18" t="n">
        <v>99</v>
      </c>
      <c r="B102" s="18" t="s">
        <v>98</v>
      </c>
      <c r="C102" s="18" t="s">
        <v>73</v>
      </c>
      <c r="D102" s="21" t="n">
        <v>2.8971794662113</v>
      </c>
      <c r="E102" s="21" t="n">
        <v>2.77253918870436</v>
      </c>
      <c r="F102" s="21" t="n">
        <v>5.66971865491566</v>
      </c>
      <c r="G102" s="20" t="n">
        <v>0.915313532357343</v>
      </c>
      <c r="H102" s="20" t="n">
        <v>0.808348387164285</v>
      </c>
      <c r="I102" s="20" t="n">
        <v>0.660888475840326</v>
      </c>
      <c r="J102" s="20" t="n">
        <v>0.496543650490326</v>
      </c>
      <c r="K102" s="20" t="n">
        <v>0.342313295132326</v>
      </c>
    </row>
    <row r="103" customFormat="false" ht="15" hidden="false" customHeight="false" outlineLevel="0" collapsed="false">
      <c r="A103" s="18" t="n">
        <v>100</v>
      </c>
      <c r="B103" s="18" t="s">
        <v>98</v>
      </c>
      <c r="C103" s="18" t="s">
        <v>83</v>
      </c>
      <c r="D103" s="21" t="n">
        <v>2.88143010870509</v>
      </c>
      <c r="E103" s="21" t="n">
        <v>2.86558808517372</v>
      </c>
      <c r="F103" s="21" t="n">
        <v>5.74701819387881</v>
      </c>
      <c r="G103" s="20" t="n">
        <v>0.919585166893636</v>
      </c>
      <c r="H103" s="20" t="n">
        <v>0.816250080247071</v>
      </c>
      <c r="I103" s="20" t="n">
        <v>0.671966792246476</v>
      </c>
      <c r="J103" s="20" t="n">
        <v>0.509099215083535</v>
      </c>
      <c r="K103" s="20" t="n">
        <v>0.354294209221449</v>
      </c>
    </row>
    <row r="104" customFormat="false" ht="15" hidden="false" customHeight="false" outlineLevel="0" collapsed="false">
      <c r="A104" s="18" t="n">
        <v>101</v>
      </c>
      <c r="B104" s="18" t="s">
        <v>98</v>
      </c>
      <c r="C104" s="18" t="s">
        <v>92</v>
      </c>
      <c r="D104" s="21" t="n">
        <v>2.48999614716187</v>
      </c>
      <c r="E104" s="21" t="n">
        <v>2.29504096204557</v>
      </c>
      <c r="F104" s="21" t="n">
        <v>4.78503710920744</v>
      </c>
      <c r="G104" s="20" t="n">
        <v>0.849186335625764</v>
      </c>
      <c r="H104" s="20" t="n">
        <v>0.696569504182629</v>
      </c>
      <c r="I104" s="20" t="n">
        <v>0.517376714640365</v>
      </c>
      <c r="J104" s="20" t="n">
        <v>0.34728270837679</v>
      </c>
      <c r="K104" s="20" t="n">
        <v>0.211329566199467</v>
      </c>
    </row>
    <row r="105" customFormat="false" ht="15" hidden="false" customHeight="false" outlineLevel="0" collapsed="false">
      <c r="A105" s="18" t="n">
        <v>102</v>
      </c>
      <c r="B105" s="18" t="s">
        <v>98</v>
      </c>
      <c r="C105" s="18" t="s">
        <v>94</v>
      </c>
      <c r="D105" s="21" t="n">
        <v>2.96554935709122</v>
      </c>
      <c r="E105" s="21" t="n">
        <v>2.90377553654936</v>
      </c>
      <c r="F105" s="21" t="n">
        <v>5.86932489364058</v>
      </c>
      <c r="G105" s="20" t="n">
        <v>0.925936449439409</v>
      </c>
      <c r="H105" s="20" t="n">
        <v>0.828190979719472</v>
      </c>
      <c r="I105" s="20" t="n">
        <v>0.688982440631396</v>
      </c>
      <c r="J105" s="20" t="n">
        <v>0.528700166355336</v>
      </c>
      <c r="K105" s="20" t="n">
        <v>0.373305225470469</v>
      </c>
    </row>
    <row r="106" customFormat="false" ht="15" hidden="false" customHeight="false" outlineLevel="0" collapsed="false">
      <c r="A106" s="18" t="n">
        <v>103</v>
      </c>
      <c r="B106" s="18" t="s">
        <v>98</v>
      </c>
      <c r="C106" s="18" t="s">
        <v>87</v>
      </c>
      <c r="D106" s="21" t="n">
        <v>3.18759318110674</v>
      </c>
      <c r="E106" s="21" t="n">
        <v>2.85818067883678</v>
      </c>
      <c r="F106" s="21" t="n">
        <v>6.04577385994352</v>
      </c>
      <c r="G106" s="20" t="n">
        <v>0.934277791439628</v>
      </c>
      <c r="H106" s="20" t="n">
        <v>0.844249909800643</v>
      </c>
      <c r="I106" s="20" t="n">
        <v>0.712416468081431</v>
      </c>
      <c r="J106" s="20" t="n">
        <v>0.556344634925483</v>
      </c>
      <c r="K106" s="20" t="n">
        <v>0.40076411017608</v>
      </c>
    </row>
  </sheetData>
  <autoFilter ref="A3:K106"/>
  <mergeCells count="1">
    <mergeCell ref="A1:K1"/>
  </mergeCells>
  <conditionalFormatting sqref="G4:G106">
    <cfRule type="colorScale" priority="2">
      <colorScale>
        <cfvo type="num" val="0"/>
        <cfvo type="num" val="1"/>
        <color rgb="FFFFFFFF"/>
        <color rgb="FFCDE2FB"/>
      </colorScale>
    </cfRule>
  </conditionalFormatting>
  <conditionalFormatting sqref="H4:H106">
    <cfRule type="colorScale" priority="3">
      <colorScale>
        <cfvo type="num" val="0"/>
        <cfvo type="num" val="1"/>
        <color rgb="FFFFFFFF"/>
        <color rgb="FFCDE2FB"/>
      </colorScale>
    </cfRule>
  </conditionalFormatting>
  <conditionalFormatting sqref="I4:I106">
    <cfRule type="colorScale" priority="4">
      <colorScale>
        <cfvo type="num" val="0"/>
        <cfvo type="num" val="1"/>
        <color rgb="FFFFFFFF"/>
        <color rgb="FFCDE2FB"/>
      </colorScale>
    </cfRule>
  </conditionalFormatting>
  <conditionalFormatting sqref="J4:J106">
    <cfRule type="colorScale" priority="5">
      <colorScale>
        <cfvo type="num" val="0"/>
        <cfvo type="num" val="1"/>
        <color rgb="FFFFFFFF"/>
        <color rgb="FFCDE2FB"/>
      </colorScale>
    </cfRule>
  </conditionalFormatting>
  <conditionalFormatting sqref="K4:K106">
    <cfRule type="colorScale" priority="6">
      <colorScale>
        <cfvo type="num" val="0"/>
        <cfvo type="num" val="1"/>
        <color rgb="FFFFFFFF"/>
        <color rgb="FFCDE2FB"/>
      </colorScale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5" min="2" style="0" width="16"/>
  </cols>
  <sheetData>
    <row r="1" customFormat="false" ht="15" hidden="false" customHeight="false" outlineLevel="0" collapsed="false">
      <c r="A1" s="0" t="s">
        <v>142</v>
      </c>
      <c r="B1" s="0" t="s">
        <v>143</v>
      </c>
      <c r="C1" s="0" t="s">
        <v>55</v>
      </c>
      <c r="D1" s="0" t="s">
        <v>144</v>
      </c>
      <c r="E1" s="0" t="s">
        <v>145</v>
      </c>
      <c r="F1" s="0" t="s">
        <v>146</v>
      </c>
      <c r="G1" s="0" t="s">
        <v>147</v>
      </c>
      <c r="H1" s="0" t="s">
        <v>148</v>
      </c>
      <c r="I1" s="0" t="s">
        <v>101</v>
      </c>
      <c r="J1" s="0" t="s">
        <v>149</v>
      </c>
      <c r="K1" s="0" t="s">
        <v>150</v>
      </c>
      <c r="L1" s="0" t="s">
        <v>151</v>
      </c>
      <c r="M1" s="0" t="s">
        <v>152</v>
      </c>
      <c r="N1" s="0" t="s">
        <v>153</v>
      </c>
      <c r="O1" s="0" t="s">
        <v>154</v>
      </c>
      <c r="P1" s="0" t="s">
        <v>155</v>
      </c>
      <c r="Q1" s="0" t="s">
        <v>76</v>
      </c>
      <c r="R1" s="0" t="s">
        <v>156</v>
      </c>
      <c r="S1" s="0" t="s">
        <v>157</v>
      </c>
      <c r="T1" s="0" t="s">
        <v>158</v>
      </c>
      <c r="U1" s="0" t="s">
        <v>159</v>
      </c>
      <c r="V1" s="0" t="s">
        <v>160</v>
      </c>
      <c r="W1" s="0" t="s">
        <v>161</v>
      </c>
      <c r="X1" s="0" t="s">
        <v>162</v>
      </c>
      <c r="Y1" s="0" t="s">
        <v>163</v>
      </c>
    </row>
    <row r="2" customFormat="false" ht="15" hidden="false" customHeight="false" outlineLevel="0" collapsed="false">
      <c r="A2" s="0" t="s">
        <v>164</v>
      </c>
      <c r="B2" s="23" t="n">
        <v>0.45587463984214</v>
      </c>
      <c r="C2" s="23" t="n">
        <v>0.268513430487424</v>
      </c>
      <c r="D2" s="23" t="n">
        <v>0.275611929670436</v>
      </c>
      <c r="E2" s="23" t="n">
        <v>0.724388070329564</v>
      </c>
      <c r="F2" s="23" t="n">
        <v>0.731486569512576</v>
      </c>
      <c r="G2" s="23" t="n">
        <v>0.54412536015786</v>
      </c>
      <c r="H2" s="23" t="n">
        <v>0.909538037029801</v>
      </c>
      <c r="I2" s="23" t="n">
        <v>0.687081121714975</v>
      </c>
      <c r="J2" s="23" t="n">
        <v>0.426728192318324</v>
      </c>
      <c r="K2" s="23" t="n">
        <v>0.218434649285566</v>
      </c>
      <c r="L2" s="23" t="n">
        <v>0.573271807681676</v>
      </c>
      <c r="M2" s="23" t="n">
        <v>0.473378218688515</v>
      </c>
      <c r="N2" s="23" t="n">
        <v>0.526621781311485</v>
      </c>
      <c r="O2" s="23" t="n">
        <v>0.482809844711478</v>
      </c>
      <c r="P2" s="23" t="n">
        <v>0.691103387744236</v>
      </c>
      <c r="Q2" s="23" t="n">
        <v>0.815370185648016</v>
      </c>
      <c r="R2" s="23" t="n">
        <v>0.468646472429409</v>
      </c>
      <c r="S2" s="23" t="n">
        <v>0.592913270333189</v>
      </c>
      <c r="T2" s="23" t="n">
        <v>0.676646368764005</v>
      </c>
      <c r="U2" s="23" t="n">
        <v>0.562374339805496</v>
      </c>
      <c r="V2" s="23" t="n">
        <v>0.447256765711016</v>
      </c>
      <c r="W2" s="23" t="n">
        <v>0.784644036047701</v>
      </c>
      <c r="X2" s="23" t="n">
        <v>0.628470759007382</v>
      </c>
      <c r="Y2" s="23" t="n">
        <v>0.460701939022043</v>
      </c>
    </row>
    <row r="3" customFormat="false" ht="15" hidden="false" customHeight="false" outlineLevel="0" collapsed="false">
      <c r="A3" s="0" t="s">
        <v>165</v>
      </c>
      <c r="B3" s="23" t="n">
        <v>0.307972686723041</v>
      </c>
      <c r="C3" s="23" t="n">
        <v>0.278389639274704</v>
      </c>
      <c r="D3" s="23" t="n">
        <v>0.413637674002255</v>
      </c>
      <c r="E3" s="23" t="n">
        <v>0.586362325997745</v>
      </c>
      <c r="F3" s="23" t="n">
        <v>0.721610360725296</v>
      </c>
      <c r="G3" s="23" t="n">
        <v>0.692027313276959</v>
      </c>
      <c r="H3" s="23" t="n">
        <v>0.901450503264865</v>
      </c>
      <c r="I3" s="23" t="n">
        <v>0.667983930340205</v>
      </c>
      <c r="J3" s="23" t="n">
        <v>0.404400149911206</v>
      </c>
      <c r="K3" s="23" t="n">
        <v>0.200989578837582</v>
      </c>
      <c r="L3" s="23" t="n">
        <v>0.595599850088794</v>
      </c>
      <c r="M3" s="23" t="n">
        <v>0.462160628033405</v>
      </c>
      <c r="N3" s="23" t="n">
        <v>0.537839371966595</v>
      </c>
      <c r="O3" s="23" t="n">
        <v>0.497050353353659</v>
      </c>
      <c r="P3" s="23" t="n">
        <v>0.700460924427283</v>
      </c>
      <c r="Q3" s="23" t="n">
        <v>0.817506204392828</v>
      </c>
      <c r="R3" s="23" t="n">
        <v>0.466994351502623</v>
      </c>
      <c r="S3" s="23" t="n">
        <v>0.584039631468167</v>
      </c>
      <c r="T3" s="23" t="n">
        <v>0.671096965907437</v>
      </c>
      <c r="U3" s="23" t="n">
        <v>0.556176889566218</v>
      </c>
      <c r="V3" s="23" t="n">
        <v>0.440934124403901</v>
      </c>
      <c r="W3" s="23" t="n">
        <v>0.782504692481317</v>
      </c>
      <c r="X3" s="23" t="n">
        <v>0.625602658372821</v>
      </c>
      <c r="Y3" s="23" t="n">
        <v>0.457593720067602</v>
      </c>
    </row>
    <row r="4" customFormat="false" ht="15" hidden="false" customHeight="false" outlineLevel="0" collapsed="false">
      <c r="A4" s="0" t="s">
        <v>166</v>
      </c>
      <c r="B4" s="23" t="n">
        <v>0.621033556243381</v>
      </c>
      <c r="C4" s="23" t="n">
        <v>0.212247706539126</v>
      </c>
      <c r="D4" s="23" t="n">
        <v>0.166718737217494</v>
      </c>
      <c r="E4" s="23" t="n">
        <v>0.833281262782507</v>
      </c>
      <c r="F4" s="23" t="n">
        <v>0.787752293460875</v>
      </c>
      <c r="G4" s="23" t="n">
        <v>0.378966443756619</v>
      </c>
      <c r="H4" s="23" t="n">
        <v>0.94155412823252</v>
      </c>
      <c r="I4" s="23" t="n">
        <v>0.770996612456904</v>
      </c>
      <c r="J4" s="23" t="n">
        <v>0.535144464495277</v>
      </c>
      <c r="K4" s="23" t="n">
        <v>0.312367446176781</v>
      </c>
      <c r="L4" s="23" t="n">
        <v>0.464855535504723</v>
      </c>
      <c r="M4" s="23" t="n">
        <v>0.501073756540422</v>
      </c>
      <c r="N4" s="23" t="n">
        <v>0.498926243459578</v>
      </c>
      <c r="O4" s="23" t="n">
        <v>0.406409663737244</v>
      </c>
      <c r="P4" s="23" t="n">
        <v>0.629186682055739</v>
      </c>
      <c r="Q4" s="23" t="n">
        <v>0.786208567761444</v>
      </c>
      <c r="R4" s="23" t="n">
        <v>0.458629166280123</v>
      </c>
      <c r="S4" s="23" t="n">
        <v>0.615651051985828</v>
      </c>
      <c r="T4" s="23" t="n">
        <v>0.721953247579897</v>
      </c>
      <c r="U4" s="23" t="n">
        <v>0.614062689965953</v>
      </c>
      <c r="V4" s="23" t="n">
        <v>0.501132368931824</v>
      </c>
      <c r="W4" s="23" t="n">
        <v>0.762240244814423</v>
      </c>
      <c r="X4" s="23" t="n">
        <v>0.598882847282537</v>
      </c>
      <c r="Y4" s="23" t="n">
        <v>0.429111928284462</v>
      </c>
    </row>
    <row r="5" customFormat="false" ht="15" hidden="false" customHeight="false" outlineLevel="0" collapsed="false">
      <c r="A5" s="0" t="s">
        <v>167</v>
      </c>
      <c r="B5" s="23" t="n">
        <v>0.462807258596752</v>
      </c>
      <c r="C5" s="23" t="n">
        <v>0.276096933886394</v>
      </c>
      <c r="D5" s="23" t="n">
        <v>0.261095807516854</v>
      </c>
      <c r="E5" s="23" t="n">
        <v>0.738904192483146</v>
      </c>
      <c r="F5" s="23" t="n">
        <v>0.723903066113606</v>
      </c>
      <c r="G5" s="23" t="n">
        <v>0.537192741403248</v>
      </c>
      <c r="H5" s="23" t="n">
        <v>0.896922025676009</v>
      </c>
      <c r="I5" s="23" t="n">
        <v>0.657757137442787</v>
      </c>
      <c r="J5" s="23" t="n">
        <v>0.392710397955451</v>
      </c>
      <c r="K5" s="23" t="n">
        <v>0.192106703491128</v>
      </c>
      <c r="L5" s="23" t="n">
        <v>0.607289602044549</v>
      </c>
      <c r="M5" s="23" t="n">
        <v>0.442743147432094</v>
      </c>
      <c r="N5" s="23" t="n">
        <v>0.557256852567906</v>
      </c>
      <c r="O5" s="23" t="n">
        <v>0.504211627720559</v>
      </c>
      <c r="P5" s="23" t="n">
        <v>0.704815322184881</v>
      </c>
      <c r="Q5" s="23" t="n">
        <v>0.818040378332609</v>
      </c>
      <c r="R5" s="23" t="n">
        <v>0.465650433951659</v>
      </c>
      <c r="S5" s="23" t="n">
        <v>0.578875490099387</v>
      </c>
      <c r="T5" s="23" t="n">
        <v>0.645049258543241</v>
      </c>
      <c r="U5" s="23" t="n">
        <v>0.527459841723884</v>
      </c>
      <c r="V5" s="23" t="n">
        <v>0.412011063558203</v>
      </c>
      <c r="W5" s="23" t="n">
        <v>0.82480732189925</v>
      </c>
      <c r="X5" s="23" t="n">
        <v>0.684126417934417</v>
      </c>
      <c r="Y5" s="23" t="n">
        <v>0.523066655453941</v>
      </c>
    </row>
    <row r="6" customFormat="false" ht="15" hidden="false" customHeight="false" outlineLevel="0" collapsed="false">
      <c r="A6" s="0" t="s">
        <v>168</v>
      </c>
      <c r="B6" s="23" t="n">
        <v>0.560829226403294</v>
      </c>
      <c r="C6" s="23" t="n">
        <v>0.23249850589652</v>
      </c>
      <c r="D6" s="23" t="n">
        <v>0.206672267700187</v>
      </c>
      <c r="E6" s="23" t="n">
        <v>0.793327732299813</v>
      </c>
      <c r="F6" s="23" t="n">
        <v>0.767501494103481</v>
      </c>
      <c r="G6" s="23" t="n">
        <v>0.439170773596707</v>
      </c>
      <c r="H6" s="23" t="n">
        <v>0.934649929245704</v>
      </c>
      <c r="I6" s="23" t="n">
        <v>0.751491264967966</v>
      </c>
      <c r="J6" s="23" t="n">
        <v>0.508356106741066</v>
      </c>
      <c r="K6" s="23" t="n">
        <v>0.287692391732261</v>
      </c>
      <c r="L6" s="23" t="n">
        <v>0.491643893258934</v>
      </c>
      <c r="M6" s="23" t="n">
        <v>0.508199065873314</v>
      </c>
      <c r="N6" s="23" t="n">
        <v>0.491800934126686</v>
      </c>
      <c r="O6" s="23" t="n">
        <v>0.426293822504638</v>
      </c>
      <c r="P6" s="23" t="n">
        <v>0.646957537513443</v>
      </c>
      <c r="Q6" s="23" t="n">
        <v>0.796352310445417</v>
      </c>
      <c r="R6" s="23" t="n">
        <v>0.463798873235705</v>
      </c>
      <c r="S6" s="23" t="n">
        <v>0.613193646167679</v>
      </c>
      <c r="T6" s="23" t="n">
        <v>0.704041335259412</v>
      </c>
      <c r="U6" s="23" t="n">
        <v>0.593390756677198</v>
      </c>
      <c r="V6" s="23" t="n">
        <v>0.479337878068777</v>
      </c>
      <c r="W6" s="23" t="n">
        <v>0.768827355539506</v>
      </c>
      <c r="X6" s="23" t="n">
        <v>0.60748108440404</v>
      </c>
      <c r="Y6" s="23" t="n">
        <v>0.438184495460656</v>
      </c>
    </row>
    <row r="7" customFormat="false" ht="15" hidden="false" customHeight="false" outlineLevel="0" collapsed="false">
      <c r="A7" s="0" t="s">
        <v>169</v>
      </c>
      <c r="B7" s="23" t="n">
        <v>0.512882686211862</v>
      </c>
      <c r="C7" s="23" t="n">
        <v>0.252716665258713</v>
      </c>
      <c r="D7" s="23" t="n">
        <v>0.234400648529425</v>
      </c>
      <c r="E7" s="23" t="n">
        <v>0.765599351470575</v>
      </c>
      <c r="F7" s="23" t="n">
        <v>0.747283334741287</v>
      </c>
      <c r="G7" s="23" t="n">
        <v>0.487117313788138</v>
      </c>
      <c r="H7" s="23" t="n">
        <v>0.919607177489373</v>
      </c>
      <c r="I7" s="23" t="n">
        <v>0.711960633147489</v>
      </c>
      <c r="J7" s="23" t="n">
        <v>0.457035931275731</v>
      </c>
      <c r="K7" s="23" t="n">
        <v>0.243131645141363</v>
      </c>
      <c r="L7" s="23" t="n">
        <v>0.542964068724269</v>
      </c>
      <c r="M7" s="23" t="n">
        <v>0.482947349799624</v>
      </c>
      <c r="N7" s="23" t="n">
        <v>0.517052650200376</v>
      </c>
      <c r="O7" s="23" t="n">
        <v>0.462571246213642</v>
      </c>
      <c r="P7" s="23" t="n">
        <v>0.676475532348011</v>
      </c>
      <c r="Q7" s="23" t="n">
        <v>0.810342857188946</v>
      </c>
      <c r="R7" s="23" t="n">
        <v>0.468828988006127</v>
      </c>
      <c r="S7" s="23" t="n">
        <v>0.602696312847062</v>
      </c>
      <c r="T7" s="23" t="n">
        <v>0.799800247095497</v>
      </c>
      <c r="U7" s="23" t="n">
        <v>0.707866160018243</v>
      </c>
      <c r="V7" s="23" t="n">
        <v>0.604432781667087</v>
      </c>
      <c r="W7" s="23" t="n">
        <v>0.795788866022248</v>
      </c>
      <c r="X7" s="23" t="n">
        <v>0.64356389029001</v>
      </c>
      <c r="Y7" s="23" t="n">
        <v>0.477225313982187</v>
      </c>
    </row>
    <row r="8" customFormat="false" ht="15" hidden="false" customHeight="false" outlineLevel="0" collapsed="false">
      <c r="A8" s="0" t="s">
        <v>170</v>
      </c>
      <c r="B8" s="23" t="n">
        <v>0.4868461579774</v>
      </c>
      <c r="C8" s="23" t="n">
        <v>0.269734450064841</v>
      </c>
      <c r="D8" s="23" t="n">
        <v>0.243419391957759</v>
      </c>
      <c r="E8" s="23" t="n">
        <v>0.756580608042241</v>
      </c>
      <c r="F8" s="23" t="n">
        <v>0.730265549935159</v>
      </c>
      <c r="G8" s="23" t="n">
        <v>0.5131538420226</v>
      </c>
      <c r="H8" s="23" t="n">
        <v>0.900917288754832</v>
      </c>
      <c r="I8" s="23" t="n">
        <v>0.666951856023304</v>
      </c>
      <c r="J8" s="23" t="n">
        <v>0.403146009840653</v>
      </c>
      <c r="K8" s="23" t="n">
        <v>0.200028310616942</v>
      </c>
      <c r="L8" s="23" t="n">
        <v>0.596853990159348</v>
      </c>
      <c r="M8" s="23" t="n">
        <v>0.445065720633014</v>
      </c>
      <c r="N8" s="23" t="n">
        <v>0.554934279366987</v>
      </c>
      <c r="O8" s="23" t="n">
        <v>0.497771278914179</v>
      </c>
      <c r="P8" s="23" t="n">
        <v>0.70088897813789</v>
      </c>
      <c r="Q8" s="23" t="n">
        <v>0.817525625138665</v>
      </c>
      <c r="R8" s="23" t="n">
        <v>0.466923545406363</v>
      </c>
      <c r="S8" s="23" t="n">
        <v>0.583560192407137</v>
      </c>
      <c r="T8" s="23" t="n">
        <v>0.697045006229147</v>
      </c>
      <c r="U8" s="23" t="n">
        <v>0.585401709426987</v>
      </c>
      <c r="V8" s="23" t="n">
        <v>0.471004156906846</v>
      </c>
      <c r="W8" s="23" t="n">
        <v>0.706551630924903</v>
      </c>
      <c r="X8" s="23" t="n">
        <v>0.529299795956795</v>
      </c>
      <c r="Y8" s="23" t="n">
        <v>0.358795040984886</v>
      </c>
    </row>
    <row r="9" customFormat="false" ht="15" hidden="false" customHeight="false" outlineLevel="0" collapsed="false">
      <c r="A9" s="0" t="s">
        <v>171</v>
      </c>
      <c r="B9" s="23" t="n">
        <v>0.625594703486607</v>
      </c>
      <c r="C9" s="23" t="n">
        <v>0.209473972762562</v>
      </c>
      <c r="D9" s="23" t="n">
        <v>0.164931323750832</v>
      </c>
      <c r="E9" s="23" t="n">
        <v>0.835068676249169</v>
      </c>
      <c r="F9" s="23" t="n">
        <v>0.790526027237438</v>
      </c>
      <c r="G9" s="23" t="n">
        <v>0.374405296513394</v>
      </c>
      <c r="H9" s="23" t="n">
        <v>0.943747126297701</v>
      </c>
      <c r="I9" s="23" t="n">
        <v>0.777283384890795</v>
      </c>
      <c r="J9" s="23" t="n">
        <v>0.54404249712721</v>
      </c>
      <c r="K9" s="23" t="n">
        <v>0.320785325490116</v>
      </c>
      <c r="L9" s="23" t="n">
        <v>0.45595750287279</v>
      </c>
      <c r="M9" s="23" t="n">
        <v>0.506285283107282</v>
      </c>
      <c r="N9" s="23" t="n">
        <v>0.493714716892718</v>
      </c>
      <c r="O9" s="23" t="n">
        <v>0.399704629170491</v>
      </c>
      <c r="P9" s="23" t="n">
        <v>0.622961800807585</v>
      </c>
      <c r="Q9" s="23" t="n">
        <v>0.782428921175602</v>
      </c>
      <c r="R9" s="23" t="n">
        <v>0.456498059400679</v>
      </c>
      <c r="S9" s="23" t="n">
        <v>0.615965179768697</v>
      </c>
      <c r="T9" s="23" t="n">
        <v>0.756737487218797</v>
      </c>
      <c r="U9" s="23" t="n">
        <v>0.65514472162419</v>
      </c>
      <c r="V9" s="23" t="n">
        <v>0.545459945323204</v>
      </c>
      <c r="W9" s="23" t="n">
        <v>0.835948927745463</v>
      </c>
      <c r="X9" s="23" t="n">
        <v>0.700221915751903</v>
      </c>
      <c r="Y9" s="23" t="n">
        <v>0.541863156151063</v>
      </c>
    </row>
    <row r="10" customFormat="false" ht="15" hidden="false" customHeight="false" outlineLevel="0" collapsed="false">
      <c r="A10" s="0" t="s">
        <v>172</v>
      </c>
      <c r="B10" s="23" t="n">
        <v>0.437855750545641</v>
      </c>
      <c r="C10" s="23" t="n">
        <v>0.278339610453099</v>
      </c>
      <c r="D10" s="23" t="n">
        <v>0.28380463900126</v>
      </c>
      <c r="E10" s="23" t="n">
        <v>0.71619536099874</v>
      </c>
      <c r="F10" s="23" t="n">
        <v>0.721660389546901</v>
      </c>
      <c r="G10" s="23" t="n">
        <v>0.562144249454359</v>
      </c>
      <c r="H10" s="23" t="n">
        <v>0.898261634453548</v>
      </c>
      <c r="I10" s="23" t="n">
        <v>0.660726605636234</v>
      </c>
      <c r="J10" s="23" t="n">
        <v>0.396093893217481</v>
      </c>
      <c r="K10" s="23" t="n">
        <v>0.194660170412682</v>
      </c>
      <c r="L10" s="23" t="n">
        <v>0.603906106782519</v>
      </c>
      <c r="M10" s="23" t="n">
        <v>0.451207343807505</v>
      </c>
      <c r="N10" s="23" t="n">
        <v>0.548792656192495</v>
      </c>
      <c r="O10" s="23" t="n">
        <v>0.502167741236067</v>
      </c>
      <c r="P10" s="23" t="n">
        <v>0.703601464040866</v>
      </c>
      <c r="Q10" s="23" t="n">
        <v>0.817934677836534</v>
      </c>
      <c r="R10" s="23" t="n">
        <v>0.466066435223552</v>
      </c>
      <c r="S10" s="23" t="n">
        <v>0.58039964901922</v>
      </c>
      <c r="T10" s="23" t="n">
        <v>0.648477204482069</v>
      </c>
      <c r="U10" s="23" t="n">
        <v>0.531204504911036</v>
      </c>
      <c r="V10" s="23" t="n">
        <v>0.415747948968482</v>
      </c>
      <c r="W10" s="23" t="n">
        <v>0.835652575285083</v>
      </c>
      <c r="X10" s="23" t="n">
        <v>0.69978981692755</v>
      </c>
      <c r="Y10" s="23" t="n">
        <v>0.541353871445523</v>
      </c>
    </row>
    <row r="11" customFormat="false" ht="15" hidden="false" customHeight="false" outlineLevel="0" collapsed="false">
      <c r="A11" s="0" t="s">
        <v>173</v>
      </c>
      <c r="B11" s="23" t="n">
        <v>0.529167364969504</v>
      </c>
      <c r="C11" s="23" t="n">
        <v>0.244588057354094</v>
      </c>
      <c r="D11" s="23" t="n">
        <v>0.226244577676402</v>
      </c>
      <c r="E11" s="23" t="n">
        <v>0.773755422323598</v>
      </c>
      <c r="F11" s="23" t="n">
        <v>0.755411942645906</v>
      </c>
      <c r="G11" s="23" t="n">
        <v>0.470832635030496</v>
      </c>
      <c r="H11" s="23" t="n">
        <v>0.926931578732396</v>
      </c>
      <c r="I11" s="23" t="n">
        <v>0.730779269156838</v>
      </c>
      <c r="J11" s="23" t="n">
        <v>0.480978376203953</v>
      </c>
      <c r="K11" s="23" t="n">
        <v>0.263485130937001</v>
      </c>
      <c r="L11" s="23" t="n">
        <v>0.519021623796047</v>
      </c>
      <c r="M11" s="23" t="n">
        <v>0.497539348904862</v>
      </c>
      <c r="N11" s="23" t="n">
        <v>0.502460651095138</v>
      </c>
      <c r="O11" s="23" t="n">
        <v>0.445953202528443</v>
      </c>
      <c r="P11" s="23" t="n">
        <v>0.663446447795395</v>
      </c>
      <c r="Q11" s="23" t="n">
        <v>0.804688998153705</v>
      </c>
      <c r="R11" s="23" t="n">
        <v>0.467294138219838</v>
      </c>
      <c r="S11" s="23" t="n">
        <v>0.608536688578147</v>
      </c>
      <c r="T11" s="23" t="n">
        <v>0.711505183247144</v>
      </c>
      <c r="U11" s="23" t="n">
        <v>0.601966131386947</v>
      </c>
      <c r="V11" s="23" t="n">
        <v>0.488338299333411</v>
      </c>
      <c r="W11" s="23" t="n">
        <v>0.822678226100869</v>
      </c>
      <c r="X11" s="23" t="n">
        <v>0.681084927205135</v>
      </c>
      <c r="Y11" s="23" t="n">
        <v>0.519554439279595</v>
      </c>
    </row>
    <row r="12" customFormat="false" ht="15" hidden="false" customHeight="false" outlineLevel="0" collapsed="false">
      <c r="A12" s="0" t="s">
        <v>174</v>
      </c>
      <c r="B12" s="23" t="n">
        <v>0.570232177381576</v>
      </c>
      <c r="C12" s="23" t="n">
        <v>0.228519664863641</v>
      </c>
      <c r="D12" s="23" t="n">
        <v>0.201248157754783</v>
      </c>
      <c r="E12" s="23" t="n">
        <v>0.798751842245217</v>
      </c>
      <c r="F12" s="23" t="n">
        <v>0.771480335136359</v>
      </c>
      <c r="G12" s="23" t="n">
        <v>0.429767822618424</v>
      </c>
      <c r="H12" s="23" t="n">
        <v>0.93724714599429</v>
      </c>
      <c r="I12" s="23" t="n">
        <v>0.758661450328019</v>
      </c>
      <c r="J12" s="23" t="n">
        <v>0.518105278463434</v>
      </c>
      <c r="K12" s="23" t="n">
        <v>0.296557847521516</v>
      </c>
      <c r="L12" s="23" t="n">
        <v>0.481894721536566</v>
      </c>
      <c r="M12" s="23" t="n">
        <v>0.512403756353808</v>
      </c>
      <c r="N12" s="23" t="n">
        <v>0.487596243646192</v>
      </c>
      <c r="O12" s="23" t="n">
        <v>0.419141867530856</v>
      </c>
      <c r="P12" s="23" t="n">
        <v>0.640689298472775</v>
      </c>
      <c r="Q12" s="23" t="n">
        <v>0.792903145804836</v>
      </c>
      <c r="R12" s="23" t="n">
        <v>0.462103602806503</v>
      </c>
      <c r="S12" s="23" t="n">
        <v>0.614317450138565</v>
      </c>
      <c r="T12" s="23" t="n">
        <v>0.682710947523868</v>
      </c>
      <c r="U12" s="23" t="n">
        <v>0.569179666576416</v>
      </c>
      <c r="V12" s="23" t="n">
        <v>0.454232921709914</v>
      </c>
      <c r="W12" s="23" t="n">
        <v>0.784045811331754</v>
      </c>
      <c r="X12" s="23" t="n">
        <v>0.627667819718055</v>
      </c>
      <c r="Y12" s="23" t="n">
        <v>0.459830766661523</v>
      </c>
    </row>
    <row r="13" customFormat="false" ht="15" hidden="false" customHeight="false" outlineLevel="0" collapsed="false">
      <c r="A13" s="0" t="s">
        <v>175</v>
      </c>
      <c r="B13" s="23" t="n">
        <v>0.443281359843362</v>
      </c>
      <c r="C13" s="23" t="n">
        <v>0.25919933801004</v>
      </c>
      <c r="D13" s="23" t="n">
        <v>0.297519302146598</v>
      </c>
      <c r="E13" s="23" t="n">
        <v>0.702480697853402</v>
      </c>
      <c r="F13" s="23" t="n">
        <v>0.74080066198996</v>
      </c>
      <c r="G13" s="23" t="n">
        <v>0.556718640156638</v>
      </c>
      <c r="H13" s="23" t="n">
        <v>0.924601966662524</v>
      </c>
      <c r="I13" s="23" t="n">
        <v>0.724465804370703</v>
      </c>
      <c r="J13" s="23" t="n">
        <v>0.472936859512761</v>
      </c>
      <c r="K13" s="23" t="n">
        <v>0.256565172253054</v>
      </c>
      <c r="L13" s="23" t="n">
        <v>0.527063140487239</v>
      </c>
      <c r="M13" s="23" t="n">
        <v>0.514219507996275</v>
      </c>
      <c r="N13" s="23" t="n">
        <v>0.485780492003725</v>
      </c>
      <c r="O13" s="23" t="n">
        <v>0.451665107149763</v>
      </c>
      <c r="P13" s="23" t="n">
        <v>0.66803679440947</v>
      </c>
      <c r="Q13" s="23" t="n">
        <v>0.806825386406361</v>
      </c>
      <c r="R13" s="23" t="n">
        <v>0.46790063211765</v>
      </c>
      <c r="S13" s="23" t="n">
        <v>0.606689224114541</v>
      </c>
      <c r="T13" s="23" t="n">
        <v>0.662179514004987</v>
      </c>
      <c r="U13" s="23" t="n">
        <v>0.546276991556609</v>
      </c>
      <c r="V13" s="23" t="n">
        <v>0.430893966627374</v>
      </c>
      <c r="W13" s="23" t="n">
        <v>0.763384091862749</v>
      </c>
      <c r="X13" s="23" t="n">
        <v>0.600370022850341</v>
      </c>
      <c r="Y13" s="23" t="n">
        <v>0.430674930594135</v>
      </c>
    </row>
    <row r="14" customFormat="false" ht="15" hidden="false" customHeight="false" outlineLevel="0" collapsed="false">
      <c r="A14" s="0" t="s">
        <v>176</v>
      </c>
      <c r="B14" s="23" t="n">
        <v>0.607499625661995</v>
      </c>
      <c r="C14" s="23" t="n">
        <v>0.209152407511355</v>
      </c>
      <c r="D14" s="23" t="n">
        <v>0.18334796682665</v>
      </c>
      <c r="E14" s="23" t="n">
        <v>0.81665203317335</v>
      </c>
      <c r="F14" s="23" t="n">
        <v>0.790847592488645</v>
      </c>
      <c r="G14" s="23" t="n">
        <v>0.392500374338005</v>
      </c>
      <c r="H14" s="23" t="n">
        <v>0.951459440364575</v>
      </c>
      <c r="I14" s="23" t="n">
        <v>0.79991799297507</v>
      </c>
      <c r="J14" s="23" t="n">
        <v>0.577160704707041</v>
      </c>
      <c r="K14" s="23" t="n">
        <v>0.353117107565124</v>
      </c>
      <c r="L14" s="23" t="n">
        <v>0.422839295292959</v>
      </c>
      <c r="M14" s="23" t="n">
        <v>0.545385015443542</v>
      </c>
      <c r="N14" s="23" t="n">
        <v>0.454614984556458</v>
      </c>
      <c r="O14" s="23" t="n">
        <v>0.374298735657533</v>
      </c>
      <c r="P14" s="23" t="n">
        <v>0.59834233279945</v>
      </c>
      <c r="Q14" s="23" t="n">
        <v>0.766463639594856</v>
      </c>
      <c r="R14" s="23" t="n">
        <v>0.446800885409946</v>
      </c>
      <c r="S14" s="23" t="n">
        <v>0.614922192205351</v>
      </c>
      <c r="T14" s="23" t="n">
        <v>0.758871986257039</v>
      </c>
      <c r="U14" s="23" t="n">
        <v>0.657707802723406</v>
      </c>
      <c r="V14" s="23" t="n">
        <v>0.548271501835713</v>
      </c>
      <c r="W14" s="23" t="n">
        <v>0.803175016082338</v>
      </c>
      <c r="X14" s="23" t="n">
        <v>0.653710845896647</v>
      </c>
      <c r="Y14" s="23" t="n">
        <v>0.488493686719484</v>
      </c>
    </row>
    <row r="15" customFormat="false" ht="15" hidden="false" customHeight="false" outlineLevel="0" collapsed="false">
      <c r="A15" s="0" t="s">
        <v>177</v>
      </c>
      <c r="B15" s="23" t="n">
        <v>0.298687171929437</v>
      </c>
      <c r="C15" s="23" t="n">
        <v>0.24959390007113</v>
      </c>
      <c r="D15" s="23" t="n">
        <v>0.451718927999434</v>
      </c>
      <c r="E15" s="23" t="n">
        <v>0.548281072000567</v>
      </c>
      <c r="F15" s="23" t="n">
        <v>0.750406099928871</v>
      </c>
      <c r="G15" s="23" t="n">
        <v>0.701312828070563</v>
      </c>
      <c r="H15" s="23" t="n">
        <v>0.936173982960214</v>
      </c>
      <c r="I15" s="23" t="n">
        <v>0.755291933432767</v>
      </c>
      <c r="J15" s="23" t="n">
        <v>0.513648699095637</v>
      </c>
      <c r="K15" s="23" t="n">
        <v>0.29248958433537</v>
      </c>
      <c r="L15" s="23" t="n">
        <v>0.486351300904363</v>
      </c>
      <c r="M15" s="23" t="n">
        <v>0.545824247784222</v>
      </c>
      <c r="N15" s="23" t="n">
        <v>0.454175752215778</v>
      </c>
      <c r="O15" s="23" t="n">
        <v>0.422525283864577</v>
      </c>
      <c r="P15" s="23" t="n">
        <v>0.643684398624844</v>
      </c>
      <c r="Q15" s="23" t="n">
        <v>0.794614900463626</v>
      </c>
      <c r="R15" s="23" t="n">
        <v>0.462802349097397</v>
      </c>
      <c r="S15" s="23" t="n">
        <v>0.613732850936179</v>
      </c>
      <c r="T15" s="23" t="n">
        <v>0.697656332263643</v>
      </c>
      <c r="U15" s="23" t="n">
        <v>0.586097897006903</v>
      </c>
      <c r="V15" s="23" t="n">
        <v>0.471728422086323</v>
      </c>
      <c r="W15" s="23" t="n">
        <v>0.75393691144581</v>
      </c>
      <c r="X15" s="23" t="n">
        <v>0.588160439005092</v>
      </c>
      <c r="Y15" s="23" t="n">
        <v>0.41791908687166</v>
      </c>
    </row>
    <row r="16" customFormat="false" ht="15" hidden="false" customHeight="false" outlineLevel="0" collapsed="false">
      <c r="A16" s="0" t="s">
        <v>178</v>
      </c>
      <c r="B16" s="23" t="n">
        <v>0.450704071466609</v>
      </c>
      <c r="C16" s="23" t="n">
        <v>0.247793005350548</v>
      </c>
      <c r="D16" s="23" t="n">
        <v>0.301502923182843</v>
      </c>
      <c r="E16" s="23" t="n">
        <v>0.698497076817157</v>
      </c>
      <c r="F16" s="23" t="n">
        <v>0.752206994649452</v>
      </c>
      <c r="G16" s="23" t="n">
        <v>0.549295928533391</v>
      </c>
      <c r="H16" s="23" t="n">
        <v>0.938604999641662</v>
      </c>
      <c r="I16" s="23" t="n">
        <v>0.7620236576289</v>
      </c>
      <c r="J16" s="23" t="n">
        <v>0.522882745164768</v>
      </c>
      <c r="K16" s="23" t="n">
        <v>0.300950626732355</v>
      </c>
      <c r="L16" s="23" t="n">
        <v>0.477117254835232</v>
      </c>
      <c r="M16" s="23" t="n">
        <v>0.553460051456648</v>
      </c>
      <c r="N16" s="23" t="n">
        <v>0.446539948543352</v>
      </c>
      <c r="O16" s="23" t="n">
        <v>0.415722254476894</v>
      </c>
      <c r="P16" s="23" t="n">
        <v>0.637654372909307</v>
      </c>
      <c r="Q16" s="23" t="n">
        <v>0.791231278024327</v>
      </c>
      <c r="R16" s="23" t="n">
        <v>0.461073030896545</v>
      </c>
      <c r="S16" s="23" t="n">
        <v>0.614649936011565</v>
      </c>
      <c r="T16" s="23" t="n">
        <v>0.71067352735078</v>
      </c>
      <c r="U16" s="23" t="n">
        <v>0.601007917792324</v>
      </c>
      <c r="V16" s="23" t="n">
        <v>0.487329745813939</v>
      </c>
      <c r="W16" s="23" t="n">
        <v>0.740402809248954</v>
      </c>
      <c r="X16" s="23" t="n">
        <v>0.570952701667452</v>
      </c>
      <c r="Y16" s="23" t="n">
        <v>0.400232896496926</v>
      </c>
    </row>
    <row r="17" customFormat="false" ht="15" hidden="false" customHeight="false" outlineLevel="0" collapsed="false">
      <c r="A17" s="0" t="s">
        <v>179</v>
      </c>
      <c r="B17" s="23" t="n">
        <v>0.451622690447422</v>
      </c>
      <c r="C17" s="23" t="n">
        <v>0.266599119882747</v>
      </c>
      <c r="D17" s="23" t="n">
        <v>0.281778189669831</v>
      </c>
      <c r="E17" s="23" t="n">
        <v>0.718221810330169</v>
      </c>
      <c r="F17" s="23" t="n">
        <v>0.733400880117253</v>
      </c>
      <c r="G17" s="23" t="n">
        <v>0.548377309552578</v>
      </c>
      <c r="H17" s="23" t="n">
        <v>0.913037353022611</v>
      </c>
      <c r="I17" s="23" t="n">
        <v>0.695516238325388</v>
      </c>
      <c r="J17" s="23" t="n">
        <v>0.436868529260041</v>
      </c>
      <c r="K17" s="23" t="n">
        <v>0.226566457291418</v>
      </c>
      <c r="L17" s="23" t="n">
        <v>0.563131470739959</v>
      </c>
      <c r="M17" s="23" t="n">
        <v>0.482801438085528</v>
      </c>
      <c r="N17" s="23" t="n">
        <v>0.517198561914472</v>
      </c>
      <c r="O17" s="23" t="n">
        <v>0.47616882376257</v>
      </c>
      <c r="P17" s="23" t="n">
        <v>0.686470895731193</v>
      </c>
      <c r="Q17" s="23" t="n">
        <v>0.813978564329431</v>
      </c>
      <c r="R17" s="23" t="n">
        <v>0.46894978103397</v>
      </c>
      <c r="S17" s="23" t="n">
        <v>0.596457449632208</v>
      </c>
      <c r="T17" s="23" t="n">
        <v>0.629716979266307</v>
      </c>
      <c r="U17" s="23" t="n">
        <v>0.510836652522312</v>
      </c>
      <c r="V17" s="23" t="n">
        <v>0.395546683194298</v>
      </c>
      <c r="W17" s="23" t="n">
        <v>0.805400549885388</v>
      </c>
      <c r="X17" s="23" t="n">
        <v>0.656791376666871</v>
      </c>
      <c r="Y17" s="23" t="n">
        <v>0.491940520552936</v>
      </c>
    </row>
    <row r="18" customFormat="false" ht="15" hidden="false" customHeight="false" outlineLevel="0" collapsed="false">
      <c r="A18" s="0" t="s">
        <v>180</v>
      </c>
      <c r="B18" s="23" t="n">
        <v>0.488625056631443</v>
      </c>
      <c r="C18" s="23" t="n">
        <v>0.25596404955589</v>
      </c>
      <c r="D18" s="23" t="n">
        <v>0.255410893812668</v>
      </c>
      <c r="E18" s="23" t="n">
        <v>0.744589106187332</v>
      </c>
      <c r="F18" s="23" t="n">
        <v>0.744035950444111</v>
      </c>
      <c r="G18" s="23" t="n">
        <v>0.511374943368557</v>
      </c>
      <c r="H18" s="23" t="n">
        <v>0.920965358034294</v>
      </c>
      <c r="I18" s="23" t="n">
        <v>0.715296531690508</v>
      </c>
      <c r="J18" s="23" t="n">
        <v>0.461251976009507</v>
      </c>
      <c r="K18" s="23" t="n">
        <v>0.24666128981293</v>
      </c>
      <c r="L18" s="23" t="n">
        <v>0.538748023990493</v>
      </c>
      <c r="M18" s="23" t="n">
        <v>0.494111806149052</v>
      </c>
      <c r="N18" s="23" t="n">
        <v>0.505888193850948</v>
      </c>
      <c r="O18" s="23" t="n">
        <v>0.459713382024787</v>
      </c>
      <c r="P18" s="23" t="n">
        <v>0.674304068221364</v>
      </c>
      <c r="Q18" s="23" t="n">
        <v>0.809484746602207</v>
      </c>
      <c r="R18" s="23" t="n">
        <v>0.468635241877579</v>
      </c>
      <c r="S18" s="23" t="n">
        <v>0.603815920258421</v>
      </c>
      <c r="T18" s="23" t="n">
        <v>0.613109815856116</v>
      </c>
      <c r="U18" s="23" t="n">
        <v>0.493059349798324</v>
      </c>
      <c r="V18" s="23" t="n">
        <v>0.378162249975172</v>
      </c>
      <c r="W18" s="23" t="n">
        <v>0.78958195988257</v>
      </c>
      <c r="X18" s="23" t="n">
        <v>0.635126337050822</v>
      </c>
      <c r="Y18" s="23" t="n">
        <v>0.467953511668714</v>
      </c>
    </row>
    <row r="19" customFormat="false" ht="15" hidden="false" customHeight="false" outlineLevel="0" collapsed="false">
      <c r="A19" s="0" t="s">
        <v>181</v>
      </c>
      <c r="B19" s="23" t="n">
        <v>0.529264446484816</v>
      </c>
      <c r="C19" s="23" t="n">
        <v>0.238583431831998</v>
      </c>
      <c r="D19" s="23" t="n">
        <v>0.232152121683186</v>
      </c>
      <c r="E19" s="23" t="n">
        <v>0.767847878316815</v>
      </c>
      <c r="F19" s="23" t="n">
        <v>0.761416568168002</v>
      </c>
      <c r="G19" s="23" t="n">
        <v>0.470735553515184</v>
      </c>
      <c r="H19" s="23" t="n">
        <v>0.935493694631558</v>
      </c>
      <c r="I19" s="23" t="n">
        <v>0.753656764330793</v>
      </c>
      <c r="J19" s="23" t="n">
        <v>0.511340573361787</v>
      </c>
      <c r="K19" s="23" t="n">
        <v>0.290392722673895</v>
      </c>
      <c r="L19" s="23" t="n">
        <v>0.488659426638213</v>
      </c>
      <c r="M19" s="23" t="n">
        <v>0.523197700898735</v>
      </c>
      <c r="N19" s="23" t="n">
        <v>0.476802299101265</v>
      </c>
      <c r="O19" s="23" t="n">
        <v>0.424153121269771</v>
      </c>
      <c r="P19" s="23" t="n">
        <v>0.645100971957663</v>
      </c>
      <c r="Q19" s="23" t="n">
        <v>0.795363508730971</v>
      </c>
      <c r="R19" s="23" t="n">
        <v>0.463264041656898</v>
      </c>
      <c r="S19" s="23" t="n">
        <v>0.613526578430206</v>
      </c>
      <c r="T19" s="23" t="n">
        <v>0.631521494701148</v>
      </c>
      <c r="U19" s="23" t="n">
        <v>0.512782517239375</v>
      </c>
      <c r="V19" s="23" t="n">
        <v>0.39746350926053</v>
      </c>
      <c r="W19" s="23" t="n">
        <v>0.755725544129917</v>
      </c>
      <c r="X19" s="23" t="n">
        <v>0.590459382562178</v>
      </c>
      <c r="Y19" s="23" t="n">
        <v>0.420307660779224</v>
      </c>
    </row>
    <row r="20" customFormat="false" ht="15" hidden="false" customHeight="false" outlineLevel="0" collapsed="false">
      <c r="A20" s="0" t="s">
        <v>182</v>
      </c>
      <c r="B20" s="23" t="n">
        <v>0.717744160077261</v>
      </c>
      <c r="C20" s="23" t="n">
        <v>0.171872064016699</v>
      </c>
      <c r="D20" s="23" t="n">
        <v>0.11038377590604</v>
      </c>
      <c r="E20" s="23" t="n">
        <v>0.88961622409396</v>
      </c>
      <c r="F20" s="23" t="n">
        <v>0.828127935983301</v>
      </c>
      <c r="G20" s="23" t="n">
        <v>0.282255839922739</v>
      </c>
      <c r="H20" s="23" t="n">
        <v>0.954237582576023</v>
      </c>
      <c r="I20" s="23" t="n">
        <v>0.809140207811456</v>
      </c>
      <c r="J20" s="23" t="n">
        <v>0.590839684053257</v>
      </c>
      <c r="K20" s="23" t="n">
        <v>0.366939177927444</v>
      </c>
      <c r="L20" s="23" t="n">
        <v>0.409160315946743</v>
      </c>
      <c r="M20" s="23" t="n">
        <v>0.482117753830597</v>
      </c>
      <c r="N20" s="23" t="n">
        <v>0.517882246169403</v>
      </c>
      <c r="O20" s="23" t="n">
        <v>0.363397898522766</v>
      </c>
      <c r="P20" s="23" t="n">
        <v>0.587298404648579</v>
      </c>
      <c r="Q20" s="23" t="n">
        <v>0.758769628856944</v>
      </c>
      <c r="R20" s="23" t="n">
        <v>0.442201029884012</v>
      </c>
      <c r="S20" s="23" t="n">
        <v>0.613672254092378</v>
      </c>
      <c r="T20" s="23" t="n">
        <v>0.6849952289182</v>
      </c>
      <c r="U20" s="23" t="n">
        <v>0.571751839815497</v>
      </c>
      <c r="V20" s="23" t="n">
        <v>0.456878794162428</v>
      </c>
      <c r="W20" s="23" t="n">
        <v>0.658898891529608</v>
      </c>
      <c r="X20" s="23" t="n">
        <v>0.473765550876174</v>
      </c>
      <c r="Y20" s="23" t="n">
        <v>0.306461762303395</v>
      </c>
    </row>
    <row r="21" customFormat="false" ht="15" hidden="false" customHeight="false" outlineLevel="0" collapsed="false">
      <c r="A21" s="0" t="s">
        <v>183</v>
      </c>
      <c r="B21" s="23" t="n">
        <v>0.495364724417786</v>
      </c>
      <c r="C21" s="23" t="n">
        <v>0.262635362042403</v>
      </c>
      <c r="D21" s="23" t="n">
        <v>0.241999913539811</v>
      </c>
      <c r="E21" s="23" t="n">
        <v>0.758000086460189</v>
      </c>
      <c r="F21" s="23" t="n">
        <v>0.737364637957597</v>
      </c>
      <c r="G21" s="23" t="n">
        <v>0.504635275582214</v>
      </c>
      <c r="H21" s="23" t="n">
        <v>0.909496353694222</v>
      </c>
      <c r="I21" s="23" t="n">
        <v>0.687108852065722</v>
      </c>
      <c r="J21" s="23" t="n">
        <v>0.426716421581789</v>
      </c>
      <c r="K21" s="23" t="n">
        <v>0.218425232469351</v>
      </c>
      <c r="L21" s="23" t="n">
        <v>0.573283578418211</v>
      </c>
      <c r="M21" s="23" t="n">
        <v>0.462764286656838</v>
      </c>
      <c r="N21" s="23" t="n">
        <v>0.537235713343162</v>
      </c>
      <c r="O21" s="23" t="n">
        <v>0.482779932112433</v>
      </c>
      <c r="P21" s="23" t="n">
        <v>0.691071121224871</v>
      </c>
      <c r="Q21" s="23" t="n">
        <v>0.815334192867596</v>
      </c>
      <c r="R21" s="23" t="n">
        <v>0.468683619596372</v>
      </c>
      <c r="S21" s="23" t="n">
        <v>0.592946691239096</v>
      </c>
      <c r="T21" s="23" t="n">
        <v>0.582682345298069</v>
      </c>
      <c r="U21" s="23" t="n">
        <v>0.461087995625563</v>
      </c>
      <c r="V21" s="23" t="n">
        <v>0.347472384166225</v>
      </c>
      <c r="W21" s="23" t="n">
        <v>0.828669637887374</v>
      </c>
      <c r="X21" s="23" t="n">
        <v>0.689671617418231</v>
      </c>
      <c r="Y21" s="23" t="n">
        <v>0.529502285392039</v>
      </c>
    </row>
    <row r="22" customFormat="false" ht="15" hidden="false" customHeight="false" outlineLevel="0" collapsed="false">
      <c r="A22" s="0" t="s">
        <v>184</v>
      </c>
      <c r="B22" s="23" t="n">
        <v>0.596488740691601</v>
      </c>
      <c r="C22" s="23" t="n">
        <v>0.216740464328827</v>
      </c>
      <c r="D22" s="23" t="n">
        <v>0.186770794979572</v>
      </c>
      <c r="E22" s="23" t="n">
        <v>0.813229205020428</v>
      </c>
      <c r="F22" s="23" t="n">
        <v>0.783259535671174</v>
      </c>
      <c r="G22" s="23" t="n">
        <v>0.403511259308399</v>
      </c>
      <c r="H22" s="23" t="n">
        <v>0.944837810975331</v>
      </c>
      <c r="I22" s="23" t="n">
        <v>0.780263148415046</v>
      </c>
      <c r="J22" s="23" t="n">
        <v>0.548367548110498</v>
      </c>
      <c r="K22" s="23" t="n">
        <v>0.324918071610036</v>
      </c>
      <c r="L22" s="23" t="n">
        <v>0.451632451889502</v>
      </c>
      <c r="M22" s="23" t="n">
        <v>0.525980197558623</v>
      </c>
      <c r="N22" s="23" t="n">
        <v>0.474019802441377</v>
      </c>
      <c r="O22" s="23" t="n">
        <v>0.396470262864833</v>
      </c>
      <c r="P22" s="23" t="n">
        <v>0.619919739365294</v>
      </c>
      <c r="Q22" s="23" t="n">
        <v>0.780557569755276</v>
      </c>
      <c r="R22" s="23" t="n">
        <v>0.45534507680501</v>
      </c>
      <c r="S22" s="23" t="n">
        <v>0.615982907194992</v>
      </c>
      <c r="T22" s="23" t="n">
        <v>0.632504639423838</v>
      </c>
      <c r="U22" s="23" t="n">
        <v>0.513843853993727</v>
      </c>
      <c r="V22" s="23" t="n">
        <v>0.398510172386174</v>
      </c>
      <c r="W22" s="23" t="n">
        <v>0.776049482588728</v>
      </c>
      <c r="X22" s="23" t="n">
        <v>0.617004081745227</v>
      </c>
      <c r="Y22" s="23" t="n">
        <v>0.448335039006553</v>
      </c>
    </row>
    <row r="23" customFormat="false" ht="15" hidden="false" customHeight="false" outlineLevel="0" collapsed="false">
      <c r="A23" s="0" t="s">
        <v>185</v>
      </c>
      <c r="B23" s="23" t="n">
        <v>0.652621885693369</v>
      </c>
      <c r="C23" s="23" t="n">
        <v>0.200522086107634</v>
      </c>
      <c r="D23" s="23" t="n">
        <v>0.146856028198997</v>
      </c>
      <c r="E23" s="23" t="n">
        <v>0.853143971801003</v>
      </c>
      <c r="F23" s="23" t="n">
        <v>0.799477913892366</v>
      </c>
      <c r="G23" s="23" t="n">
        <v>0.347378114306631</v>
      </c>
      <c r="H23" s="23" t="n">
        <v>0.944819311560777</v>
      </c>
      <c r="I23" s="23" t="n">
        <v>0.780549949879681</v>
      </c>
      <c r="J23" s="23" t="n">
        <v>0.548653173872806</v>
      </c>
      <c r="K23" s="23" t="n">
        <v>0.325190873084984</v>
      </c>
      <c r="L23" s="23" t="n">
        <v>0.451346826127194</v>
      </c>
      <c r="M23" s="23" t="n">
        <v>0.49340637223671</v>
      </c>
      <c r="N23" s="23" t="n">
        <v>0.50659362776329</v>
      </c>
      <c r="O23" s="23" t="n">
        <v>0.396166137687971</v>
      </c>
      <c r="P23" s="23" t="n">
        <v>0.619628438475793</v>
      </c>
      <c r="Q23" s="23" t="n">
        <v>0.78034441483681</v>
      </c>
      <c r="R23" s="23" t="n">
        <v>0.455359076794697</v>
      </c>
      <c r="S23" s="23" t="n">
        <v>0.616075053155714</v>
      </c>
      <c r="T23" s="23" t="n">
        <v>0.872936849150633</v>
      </c>
      <c r="U23" s="23" t="n">
        <v>0.803006865230765</v>
      </c>
      <c r="V23" s="23" t="n">
        <v>0.71755851127074</v>
      </c>
      <c r="W23" s="23" t="n">
        <v>0.662459249030938</v>
      </c>
      <c r="X23" s="23" t="n">
        <v>0.47779662357871</v>
      </c>
      <c r="Y23" s="23" t="n">
        <v>0.310151125464989</v>
      </c>
    </row>
    <row r="24" customFormat="false" ht="15" hidden="false" customHeight="false" outlineLevel="0" collapsed="false">
      <c r="A24" s="0" t="s">
        <v>186</v>
      </c>
      <c r="B24" s="23" t="n">
        <v>0.397247154704857</v>
      </c>
      <c r="C24" s="23" t="n">
        <v>0.279620246095401</v>
      </c>
      <c r="D24" s="23" t="n">
        <v>0.323132599199743</v>
      </c>
      <c r="E24" s="23" t="n">
        <v>0.676867400800257</v>
      </c>
      <c r="F24" s="23" t="n">
        <v>0.720379753904599</v>
      </c>
      <c r="G24" s="23" t="n">
        <v>0.602752845295144</v>
      </c>
      <c r="H24" s="23" t="n">
        <v>0.901211274315209</v>
      </c>
      <c r="I24" s="23" t="n">
        <v>0.667409286379377</v>
      </c>
      <c r="J24" s="23" t="n">
        <v>0.403747665802002</v>
      </c>
      <c r="K24" s="23" t="n">
        <v>0.200489254616545</v>
      </c>
      <c r="L24" s="23" t="n">
        <v>0.596252334197999</v>
      </c>
      <c r="M24" s="23" t="n">
        <v>0.463473890042686</v>
      </c>
      <c r="N24" s="23" t="n">
        <v>0.536526109957314</v>
      </c>
      <c r="O24" s="23" t="n">
        <v>0.497463608513207</v>
      </c>
      <c r="P24" s="23" t="n">
        <v>0.700722019698664</v>
      </c>
      <c r="Q24" s="23" t="n">
        <v>0.817554706947522</v>
      </c>
      <c r="R24" s="23" t="n">
        <v>0.466920031762832</v>
      </c>
      <c r="S24" s="23" t="n">
        <v>0.583752719011691</v>
      </c>
      <c r="T24" s="23" t="n">
        <v>0.800220922441361</v>
      </c>
      <c r="U24" s="23" t="n">
        <v>0.708392153633964</v>
      </c>
      <c r="V24" s="23" t="n">
        <v>0.605033584314225</v>
      </c>
      <c r="W24" s="23" t="n">
        <v>0.832836952507789</v>
      </c>
      <c r="X24" s="23" t="n">
        <v>0.695695467705808</v>
      </c>
      <c r="Y24" s="23" t="n">
        <v>0.53654105679808</v>
      </c>
    </row>
    <row r="25" customFormat="false" ht="15" hidden="false" customHeight="false" outlineLevel="0" collapsed="false">
      <c r="A25" s="0" t="s">
        <v>187</v>
      </c>
      <c r="B25" s="23" t="n">
        <v>0.415872385759962</v>
      </c>
      <c r="C25" s="23" t="n">
        <v>0.271369974120152</v>
      </c>
      <c r="D25" s="23" t="n">
        <v>0.312757640119886</v>
      </c>
      <c r="E25" s="23" t="n">
        <v>0.687242359880114</v>
      </c>
      <c r="F25" s="23" t="n">
        <v>0.728630025879848</v>
      </c>
      <c r="G25" s="23" t="n">
        <v>0.584127614240038</v>
      </c>
      <c r="H25" s="23" t="n">
        <v>0.911129298871239</v>
      </c>
      <c r="I25" s="23" t="n">
        <v>0.690820335859151</v>
      </c>
      <c r="J25" s="23" t="n">
        <v>0.431231198832672</v>
      </c>
      <c r="K25" s="23" t="n">
        <v>0.222029553942528</v>
      </c>
      <c r="L25" s="23" t="n">
        <v>0.568768801167328</v>
      </c>
      <c r="M25" s="23" t="n">
        <v>0.484147799004946</v>
      </c>
      <c r="N25" s="23" t="n">
        <v>0.515852200995055</v>
      </c>
      <c r="O25" s="23" t="n">
        <v>0.479898100038566</v>
      </c>
      <c r="P25" s="23" t="n">
        <v>0.68909974492871</v>
      </c>
      <c r="Q25" s="23" t="n">
        <v>0.814808965642173</v>
      </c>
      <c r="R25" s="23" t="n">
        <v>0.468790781916623</v>
      </c>
      <c r="S25" s="23" t="n">
        <v>0.594500002630086</v>
      </c>
      <c r="T25" s="23" t="n">
        <v>0.827102285579758</v>
      </c>
      <c r="U25" s="23" t="n">
        <v>0.742480223625208</v>
      </c>
      <c r="V25" s="23" t="n">
        <v>0.64452474731283</v>
      </c>
      <c r="W25" s="23" t="n">
        <v>0.801823248324619</v>
      </c>
      <c r="X25" s="23" t="n">
        <v>0.651845032896761</v>
      </c>
      <c r="Y25" s="23" t="n">
        <v>0.486411894879722</v>
      </c>
    </row>
    <row r="26" customFormat="false" ht="15" hidden="false" customHeight="false" outlineLevel="0" collapsed="false">
      <c r="A26" s="0" t="s">
        <v>188</v>
      </c>
      <c r="B26" s="23" t="n">
        <v>0.429158576156502</v>
      </c>
      <c r="C26" s="23" t="n">
        <v>0.256552259128917</v>
      </c>
      <c r="D26" s="23" t="n">
        <v>0.314289164714581</v>
      </c>
      <c r="E26" s="23" t="n">
        <v>0.685710835285419</v>
      </c>
      <c r="F26" s="23" t="n">
        <v>0.743447740871083</v>
      </c>
      <c r="G26" s="23" t="n">
        <v>0.570841423843498</v>
      </c>
      <c r="H26" s="23" t="n">
        <v>0.929798991365186</v>
      </c>
      <c r="I26" s="23" t="n">
        <v>0.738034361975533</v>
      </c>
      <c r="J26" s="23" t="n">
        <v>0.49056055220963</v>
      </c>
      <c r="K26" s="23" t="n">
        <v>0.271843485400392</v>
      </c>
      <c r="L26" s="23" t="n">
        <v>0.509439447790371</v>
      </c>
      <c r="M26" s="23" t="n">
        <v>0.53075408371458</v>
      </c>
      <c r="N26" s="23" t="n">
        <v>0.46924591628542</v>
      </c>
      <c r="O26" s="23" t="n">
        <v>0.439238439155557</v>
      </c>
      <c r="P26" s="23" t="n">
        <v>0.657955505964794</v>
      </c>
      <c r="Q26" s="23" t="n">
        <v>0.802088020653686</v>
      </c>
      <c r="R26" s="23" t="n">
        <v>0.466190876575141</v>
      </c>
      <c r="S26" s="23" t="n">
        <v>0.610323391264033</v>
      </c>
      <c r="T26" s="23" t="n">
        <v>0.842240402624059</v>
      </c>
      <c r="U26" s="23" t="n">
        <v>0.762114035355254</v>
      </c>
      <c r="V26" s="23" t="n">
        <v>0.667787740252886</v>
      </c>
      <c r="W26" s="23" t="n">
        <v>0.770716975408501</v>
      </c>
      <c r="X26" s="23" t="n">
        <v>0.609962934336764</v>
      </c>
      <c r="Y26" s="23" t="n">
        <v>0.440819490849268</v>
      </c>
    </row>
    <row r="27" customFormat="false" ht="15" hidden="false" customHeight="false" outlineLevel="0" collapsed="false">
      <c r="A27" s="0" t="s">
        <v>189</v>
      </c>
      <c r="B27" s="23" t="n">
        <v>0.485510779136609</v>
      </c>
      <c r="C27" s="23" t="n">
        <v>0.251637820008903</v>
      </c>
      <c r="D27" s="23" t="n">
        <v>0.262851400854488</v>
      </c>
      <c r="E27" s="23" t="n">
        <v>0.737148599145512</v>
      </c>
      <c r="F27" s="23" t="n">
        <v>0.748362179991096</v>
      </c>
      <c r="G27" s="23" t="n">
        <v>0.514489220863391</v>
      </c>
      <c r="H27" s="23" t="n">
        <v>0.92775491437929</v>
      </c>
      <c r="I27" s="23" t="n">
        <v>0.732774068404867</v>
      </c>
      <c r="J27" s="23" t="n">
        <v>0.483628179778975</v>
      </c>
      <c r="K27" s="23" t="n">
        <v>0.265784343141167</v>
      </c>
      <c r="L27" s="23" t="n">
        <v>0.516371820221025</v>
      </c>
      <c r="M27" s="23" t="n">
        <v>0.513669327911794</v>
      </c>
      <c r="N27" s="23" t="n">
        <v>0.486330672088206</v>
      </c>
      <c r="O27" s="23" t="n">
        <v>0.444126734600315</v>
      </c>
      <c r="P27" s="23" t="n">
        <v>0.661970571238123</v>
      </c>
      <c r="Q27" s="23" t="n">
        <v>0.804015977316446</v>
      </c>
      <c r="R27" s="23" t="n">
        <v>0.4669897252637</v>
      </c>
      <c r="S27" s="23" t="n">
        <v>0.609035131342023</v>
      </c>
      <c r="T27" s="23" t="n">
        <v>0.847925769715222</v>
      </c>
      <c r="U27" s="23" t="n">
        <v>0.769574967817047</v>
      </c>
      <c r="V27" s="23" t="n">
        <v>0.676732057770143</v>
      </c>
      <c r="W27" s="23" t="n">
        <v>0.818127042239995</v>
      </c>
      <c r="X27" s="23" t="n">
        <v>0.674619259247652</v>
      </c>
      <c r="Y27" s="23" t="n">
        <v>0.512129251399645</v>
      </c>
    </row>
    <row r="28" customFormat="false" ht="15" hidden="false" customHeight="false" outlineLevel="0" collapsed="false">
      <c r="A28" s="0" t="s">
        <v>190</v>
      </c>
      <c r="B28" s="23" t="n">
        <v>0.526040686642669</v>
      </c>
      <c r="C28" s="23" t="n">
        <v>0.237840850811097</v>
      </c>
      <c r="D28" s="23" t="n">
        <v>0.236118462546234</v>
      </c>
      <c r="E28" s="23" t="n">
        <v>0.763881537453765</v>
      </c>
      <c r="F28" s="23" t="n">
        <v>0.762159149188903</v>
      </c>
      <c r="G28" s="23" t="n">
        <v>0.473959313357331</v>
      </c>
      <c r="H28" s="23" t="n">
        <v>0.937378737146411</v>
      </c>
      <c r="I28" s="23" t="n">
        <v>0.758832386795132</v>
      </c>
      <c r="J28" s="23" t="n">
        <v>0.518410362731073</v>
      </c>
      <c r="K28" s="23" t="n">
        <v>0.296837688306722</v>
      </c>
      <c r="L28" s="23" t="n">
        <v>0.481589637268927</v>
      </c>
      <c r="M28" s="23" t="n">
        <v>0.530267302887112</v>
      </c>
      <c r="N28" s="23" t="n">
        <v>0.469732697112888</v>
      </c>
      <c r="O28" s="23" t="n">
        <v>0.418968374415337</v>
      </c>
      <c r="P28" s="23" t="n">
        <v>0.640541048839689</v>
      </c>
      <c r="Q28" s="23" t="n">
        <v>0.792842002562072</v>
      </c>
      <c r="R28" s="23" t="n">
        <v>0.46199469848841</v>
      </c>
      <c r="S28" s="23" t="n">
        <v>0.614295652210794</v>
      </c>
      <c r="T28" s="23" t="n">
        <v>0.826808555295092</v>
      </c>
      <c r="U28" s="23" t="n">
        <v>0.74210249302244</v>
      </c>
      <c r="V28" s="23" t="n">
        <v>0.644081002216831</v>
      </c>
      <c r="W28" s="23" t="n">
        <v>0.776919898604826</v>
      </c>
      <c r="X28" s="23" t="n">
        <v>0.618158682891442</v>
      </c>
      <c r="Y28" s="23" t="n">
        <v>0.449573094603285</v>
      </c>
    </row>
    <row r="29" customFormat="false" ht="15" hidden="false" customHeight="false" outlineLevel="0" collapsed="false">
      <c r="A29" s="0" t="s">
        <v>191</v>
      </c>
      <c r="B29" s="23" t="n">
        <v>0.27393995755703</v>
      </c>
      <c r="C29" s="23" t="n">
        <v>0.255765047680959</v>
      </c>
      <c r="D29" s="23" t="n">
        <v>0.470294994762011</v>
      </c>
      <c r="E29" s="23" t="n">
        <v>0.529705005237989</v>
      </c>
      <c r="F29" s="23" t="n">
        <v>0.744234952319041</v>
      </c>
      <c r="G29" s="23" t="n">
        <v>0.72606004244297</v>
      </c>
      <c r="H29" s="23" t="n">
        <v>0.925001065102474</v>
      </c>
      <c r="I29" s="23" t="n">
        <v>0.725561011904373</v>
      </c>
      <c r="J29" s="23" t="n">
        <v>0.474318093757382</v>
      </c>
      <c r="K29" s="23" t="n">
        <v>0.257747681692181</v>
      </c>
      <c r="L29" s="23" t="n">
        <v>0.525681906242618</v>
      </c>
      <c r="M29" s="23" t="n">
        <v>0.509782718557892</v>
      </c>
      <c r="N29" s="23" t="n">
        <v>0.490217281442108</v>
      </c>
      <c r="O29" s="23" t="n">
        <v>0.450682971345092</v>
      </c>
      <c r="P29" s="23" t="n">
        <v>0.667253383410293</v>
      </c>
      <c r="Q29" s="23" t="n">
        <v>0.806465236527464</v>
      </c>
      <c r="R29" s="23" t="n">
        <v>0.467813330212192</v>
      </c>
      <c r="S29" s="23" t="n">
        <v>0.607025183329362</v>
      </c>
      <c r="T29" s="23" t="n">
        <v>0.731365743317301</v>
      </c>
      <c r="U29" s="23" t="n">
        <v>0.625054576925464</v>
      </c>
      <c r="V29" s="23" t="n">
        <v>0.512858644799739</v>
      </c>
      <c r="W29" s="23" t="n">
        <v>0.653495597269724</v>
      </c>
      <c r="X29" s="23" t="n">
        <v>0.467683042571001</v>
      </c>
      <c r="Y29" s="23" t="n">
        <v>0.300926839893527</v>
      </c>
    </row>
    <row r="30" customFormat="false" ht="15" hidden="false" customHeight="false" outlineLevel="0" collapsed="false">
      <c r="A30" s="0" t="s">
        <v>192</v>
      </c>
      <c r="B30" s="23" t="n">
        <v>0.251137103882167</v>
      </c>
      <c r="C30" s="23" t="n">
        <v>0.258344646651702</v>
      </c>
      <c r="D30" s="23" t="n">
        <v>0.490518249466131</v>
      </c>
      <c r="E30" s="23" t="n">
        <v>0.50948175053387</v>
      </c>
      <c r="F30" s="23" t="n">
        <v>0.741655353348298</v>
      </c>
      <c r="G30" s="23" t="n">
        <v>0.748862896117833</v>
      </c>
      <c r="H30" s="23" t="n">
        <v>0.917076652969214</v>
      </c>
      <c r="I30" s="23" t="n">
        <v>0.705558834157316</v>
      </c>
      <c r="J30" s="23" t="n">
        <v>0.449110525660203</v>
      </c>
      <c r="K30" s="23" t="n">
        <v>0.236559216131961</v>
      </c>
      <c r="L30" s="23" t="n">
        <v>0.550889474339797</v>
      </c>
      <c r="M30" s="23" t="n">
        <v>0.483325354102893</v>
      </c>
      <c r="N30" s="23" t="n">
        <v>0.516674645897107</v>
      </c>
      <c r="O30" s="23" t="n">
        <v>0.467966127309011</v>
      </c>
      <c r="P30" s="23" t="n">
        <v>0.680517436837253</v>
      </c>
      <c r="Q30" s="23" t="n">
        <v>0.811900149705938</v>
      </c>
      <c r="R30" s="23" t="n">
        <v>0.468999618025355</v>
      </c>
      <c r="S30" s="23" t="n">
        <v>0.60038233089404</v>
      </c>
      <c r="T30" s="23" t="n">
        <v>0.716002971660509</v>
      </c>
      <c r="U30" s="23" t="n">
        <v>0.607160232652019</v>
      </c>
      <c r="V30" s="23" t="n">
        <v>0.493817791231318</v>
      </c>
      <c r="W30" s="23" t="n">
        <v>0.715633119074388</v>
      </c>
      <c r="X30" s="23" t="n">
        <v>0.540286461692338</v>
      </c>
      <c r="Y30" s="23" t="n">
        <v>0.369539466623999</v>
      </c>
    </row>
    <row r="31" customFormat="false" ht="15" hidden="false" customHeight="false" outlineLevel="0" collapsed="false">
      <c r="A31" s="0" t="s">
        <v>193</v>
      </c>
      <c r="B31" s="23" t="n">
        <v>0.263879551007815</v>
      </c>
      <c r="C31" s="23" t="n">
        <v>0.254317073785885</v>
      </c>
      <c r="D31" s="23" t="n">
        <v>0.4818033752063</v>
      </c>
      <c r="E31" s="23" t="n">
        <v>0.5181966247937</v>
      </c>
      <c r="F31" s="23" t="n">
        <v>0.745682926214115</v>
      </c>
      <c r="G31" s="23" t="n">
        <v>0.736120448992185</v>
      </c>
      <c r="H31" s="23" t="n">
        <v>0.924777921003437</v>
      </c>
      <c r="I31" s="23" t="n">
        <v>0.725018007932475</v>
      </c>
      <c r="J31" s="23" t="n">
        <v>0.473609417185516</v>
      </c>
      <c r="K31" s="23" t="n">
        <v>0.257140605709049</v>
      </c>
      <c r="L31" s="23" t="n">
        <v>0.526390582814484</v>
      </c>
      <c r="M31" s="23" t="n">
        <v>0.506317715794563</v>
      </c>
      <c r="N31" s="23" t="n">
        <v>0.493682284205438</v>
      </c>
      <c r="O31" s="23" t="n">
        <v>0.451168503817921</v>
      </c>
      <c r="P31" s="23" t="n">
        <v>0.667637315294388</v>
      </c>
      <c r="Q31" s="23" t="n">
        <v>0.806632140245642</v>
      </c>
      <c r="R31" s="23" t="n">
        <v>0.467877402223426</v>
      </c>
      <c r="S31" s="23" t="n">
        <v>0.606872227174681</v>
      </c>
      <c r="T31" s="23" t="n">
        <v>0.720367042674357</v>
      </c>
      <c r="U31" s="23" t="n">
        <v>0.612219181210753</v>
      </c>
      <c r="V31" s="23" t="n">
        <v>0.499175106165399</v>
      </c>
      <c r="W31" s="23" t="n">
        <v>0.679642464146149</v>
      </c>
      <c r="X31" s="23" t="n">
        <v>0.497514843615858</v>
      </c>
      <c r="Y31" s="23" t="n">
        <v>0.328442737138722</v>
      </c>
    </row>
    <row r="32" customFormat="false" ht="15" hidden="false" customHeight="false" outlineLevel="0" collapsed="false">
      <c r="A32" s="0" t="s">
        <v>194</v>
      </c>
      <c r="B32" s="23" t="n">
        <v>0.268212555734817</v>
      </c>
      <c r="C32" s="23" t="n">
        <v>0.240733916109163</v>
      </c>
      <c r="D32" s="23" t="n">
        <v>0.49105352815602</v>
      </c>
      <c r="E32" s="23" t="n">
        <v>0.50894647184398</v>
      </c>
      <c r="F32" s="23" t="n">
        <v>0.759266083890837</v>
      </c>
      <c r="G32" s="23" t="n">
        <v>0.731787444265184</v>
      </c>
      <c r="H32" s="23" t="n">
        <v>0.941311896190625</v>
      </c>
      <c r="I32" s="23" t="n">
        <v>0.769733589577623</v>
      </c>
      <c r="J32" s="23" t="n">
        <v>0.533581201490536</v>
      </c>
      <c r="K32" s="23" t="n">
        <v>0.31090120724107</v>
      </c>
      <c r="L32" s="23" t="n">
        <v>0.466418798509464</v>
      </c>
      <c r="M32" s="23" t="n">
        <v>0.553403221302399</v>
      </c>
      <c r="N32" s="23" t="n">
        <v>0.446596778697601</v>
      </c>
      <c r="O32" s="23" t="n">
        <v>0.407730694700089</v>
      </c>
      <c r="P32" s="23" t="n">
        <v>0.630410688949556</v>
      </c>
      <c r="Q32" s="23" t="n">
        <v>0.78699690589814</v>
      </c>
      <c r="R32" s="23" t="n">
        <v>0.458832382336553</v>
      </c>
      <c r="S32" s="23" t="n">
        <v>0.615418599285138</v>
      </c>
      <c r="T32" s="23" t="n">
        <v>0.729146977948652</v>
      </c>
      <c r="U32" s="23" t="n">
        <v>0.622455351785489</v>
      </c>
      <c r="V32" s="23" t="n">
        <v>0.510077045923556</v>
      </c>
      <c r="W32" s="23" t="n">
        <v>0.642550852998641</v>
      </c>
      <c r="X32" s="23" t="n">
        <v>0.455490768258061</v>
      </c>
      <c r="Y32" s="23" t="n">
        <v>0.289947558663846</v>
      </c>
    </row>
    <row r="33" customFormat="false" ht="15" hidden="false" customHeight="false" outlineLevel="0" collapsed="false">
      <c r="A33" s="0" t="s">
        <v>195</v>
      </c>
      <c r="B33" s="23" t="n">
        <v>0.153956677898085</v>
      </c>
      <c r="C33" s="23" t="n">
        <v>0.212181613505321</v>
      </c>
      <c r="D33" s="23" t="n">
        <v>0.633861708596595</v>
      </c>
      <c r="E33" s="23" t="n">
        <v>0.366138291403406</v>
      </c>
      <c r="F33" s="23" t="n">
        <v>0.787818386494679</v>
      </c>
      <c r="G33" s="23" t="n">
        <v>0.846043322101916</v>
      </c>
      <c r="H33" s="23" t="n">
        <v>0.935686790634043</v>
      </c>
      <c r="I33" s="23" t="n">
        <v>0.754742111857006</v>
      </c>
      <c r="J33" s="23" t="n">
        <v>0.512612939713594</v>
      </c>
      <c r="K33" s="23" t="n">
        <v>0.291546582899524</v>
      </c>
      <c r="L33" s="23" t="n">
        <v>0.487387060286406</v>
      </c>
      <c r="M33" s="23" t="n">
        <v>0.473202399823418</v>
      </c>
      <c r="N33" s="23" t="n">
        <v>0.526797600176583</v>
      </c>
      <c r="O33" s="23" t="n">
        <v>0.423073850920449</v>
      </c>
      <c r="P33" s="23" t="n">
        <v>0.644140207734519</v>
      </c>
      <c r="Q33" s="23" t="n">
        <v>0.794772546549076</v>
      </c>
      <c r="R33" s="23" t="n">
        <v>0.463195528957483</v>
      </c>
      <c r="S33" s="23" t="n">
        <v>0.61382786777204</v>
      </c>
      <c r="T33" s="23" t="n">
        <v>0.713719374683512</v>
      </c>
      <c r="U33" s="23" t="n">
        <v>0.60452059988497</v>
      </c>
      <c r="V33" s="23" t="n">
        <v>0.491030478827367</v>
      </c>
      <c r="W33" s="23" t="n">
        <v>0.664193602881395</v>
      </c>
      <c r="X33" s="23" t="n">
        <v>0.479766988091737</v>
      </c>
      <c r="Y33" s="23" t="n">
        <v>0.311960625596045</v>
      </c>
    </row>
    <row r="34" customFormat="false" ht="15" hidden="false" customHeight="false" outlineLevel="0" collapsed="false">
      <c r="A34" s="0" t="s">
        <v>196</v>
      </c>
      <c r="B34" s="23" t="n">
        <v>0.354223598922765</v>
      </c>
      <c r="C34" s="23" t="n">
        <v>0.248614935152616</v>
      </c>
      <c r="D34" s="23" t="n">
        <v>0.397161465924619</v>
      </c>
      <c r="E34" s="23" t="n">
        <v>0.602838534075381</v>
      </c>
      <c r="F34" s="23" t="n">
        <v>0.751385064847384</v>
      </c>
      <c r="G34" s="23" t="n">
        <v>0.645776401077234</v>
      </c>
      <c r="H34" s="23" t="n">
        <v>0.941848444524692</v>
      </c>
      <c r="I34" s="23" t="n">
        <v>0.77109751587449</v>
      </c>
      <c r="J34" s="23" t="n">
        <v>0.535556794079534</v>
      </c>
      <c r="K34" s="23" t="n">
        <v>0.312756441608085</v>
      </c>
      <c r="L34" s="23" t="n">
        <v>0.464443205920467</v>
      </c>
      <c r="M34" s="23" t="n">
        <v>0.569578573025788</v>
      </c>
      <c r="N34" s="23" t="n">
        <v>0.430421426974213</v>
      </c>
      <c r="O34" s="23" t="n">
        <v>0.406291650445159</v>
      </c>
      <c r="P34" s="23" t="n">
        <v>0.629092002916607</v>
      </c>
      <c r="Q34" s="23" t="n">
        <v>0.786226646197878</v>
      </c>
      <c r="R34" s="23" t="n">
        <v>0.458341074266405</v>
      </c>
      <c r="S34" s="23" t="n">
        <v>0.615475717547675</v>
      </c>
      <c r="T34" s="23" t="n">
        <v>0.716336212923383</v>
      </c>
      <c r="U34" s="23" t="n">
        <v>0.607545863430004</v>
      </c>
      <c r="V34" s="23" t="n">
        <v>0.49422545541217</v>
      </c>
      <c r="W34" s="23" t="n">
        <v>0.650440075463877</v>
      </c>
      <c r="X34" s="23" t="n">
        <v>0.464262048882992</v>
      </c>
      <c r="Y34" s="23" t="n">
        <v>0.297830684814952</v>
      </c>
    </row>
    <row r="35" customFormat="false" ht="15" hidden="false" customHeight="false" outlineLevel="0" collapsed="false">
      <c r="A35" s="0" t="s">
        <v>197</v>
      </c>
      <c r="B35" s="23" t="n">
        <v>0.411581103777085</v>
      </c>
      <c r="C35" s="23" t="n">
        <v>0.276400828648805</v>
      </c>
      <c r="D35" s="23" t="n">
        <v>0.312018067574111</v>
      </c>
      <c r="E35" s="23" t="n">
        <v>0.68798193242589</v>
      </c>
      <c r="F35" s="23" t="n">
        <v>0.723599171351195</v>
      </c>
      <c r="G35" s="23" t="n">
        <v>0.588418896222915</v>
      </c>
      <c r="H35" s="23" t="n">
        <v>0.904496925482748</v>
      </c>
      <c r="I35" s="23" t="n">
        <v>0.675058677319068</v>
      </c>
      <c r="J35" s="23" t="n">
        <v>0.412590963764319</v>
      </c>
      <c r="K35" s="23" t="n">
        <v>0.207315952406272</v>
      </c>
      <c r="L35" s="23" t="n">
        <v>0.587409036235681</v>
      </c>
      <c r="M35" s="23" t="n">
        <v>0.46925641905771</v>
      </c>
      <c r="N35" s="23" t="n">
        <v>0.53074358094229</v>
      </c>
      <c r="O35" s="23" t="n">
        <v>0.49190596171843</v>
      </c>
      <c r="P35" s="23" t="n">
        <v>0.697180973076476</v>
      </c>
      <c r="Q35" s="23" t="n">
        <v>0.816887829063282</v>
      </c>
      <c r="R35" s="23" t="n">
        <v>0.467742724912796</v>
      </c>
      <c r="S35" s="23" t="n">
        <v>0.587449580899602</v>
      </c>
      <c r="T35" s="23" t="n">
        <v>0.630899176576398</v>
      </c>
      <c r="U35" s="23" t="n">
        <v>0.512111135469028</v>
      </c>
      <c r="V35" s="23" t="n">
        <v>0.396801834460647</v>
      </c>
      <c r="W35" s="23" t="n">
        <v>0.69574548513037</v>
      </c>
      <c r="X35" s="23" t="n">
        <v>0.516399525641551</v>
      </c>
      <c r="Y35" s="23" t="n">
        <v>0.34634596006229</v>
      </c>
    </row>
    <row r="36" customFormat="false" ht="15" hidden="false" customHeight="false" outlineLevel="0" collapsed="false">
      <c r="A36" s="0" t="s">
        <v>198</v>
      </c>
      <c r="B36" s="23" t="n">
        <v>0.476731662111688</v>
      </c>
      <c r="C36" s="23" t="n">
        <v>0.26577471489324</v>
      </c>
      <c r="D36" s="23" t="n">
        <v>0.257493622995072</v>
      </c>
      <c r="E36" s="23" t="n">
        <v>0.742506377004928</v>
      </c>
      <c r="F36" s="23" t="n">
        <v>0.73422528510676</v>
      </c>
      <c r="G36" s="23" t="n">
        <v>0.523268337888312</v>
      </c>
      <c r="H36" s="23" t="n">
        <v>0.909324810557463</v>
      </c>
      <c r="I36" s="23" t="n">
        <v>0.686633060933326</v>
      </c>
      <c r="J36" s="23" t="n">
        <v>0.426172458642485</v>
      </c>
      <c r="K36" s="23" t="n">
        <v>0.217992757928671</v>
      </c>
      <c r="L36" s="23" t="n">
        <v>0.573827541357515</v>
      </c>
      <c r="M36" s="23" t="n">
        <v>0.467756718010159</v>
      </c>
      <c r="N36" s="23" t="n">
        <v>0.532243281989842</v>
      </c>
      <c r="O36" s="23" t="n">
        <v>0.483152351914978</v>
      </c>
      <c r="P36" s="23" t="n">
        <v>0.691332052628792</v>
      </c>
      <c r="Q36" s="23" t="n">
        <v>0.815420504773993</v>
      </c>
      <c r="R36" s="23" t="n">
        <v>0.468640303004655</v>
      </c>
      <c r="S36" s="23" t="n">
        <v>0.592728755149856</v>
      </c>
      <c r="T36" s="23" t="n">
        <v>0.695374718069601</v>
      </c>
      <c r="U36" s="23" t="n">
        <v>0.583501384845391</v>
      </c>
      <c r="V36" s="23" t="n">
        <v>0.4690290882955</v>
      </c>
      <c r="W36" s="23" t="n">
        <v>0.719964701353274</v>
      </c>
      <c r="X36" s="23" t="n">
        <v>0.54557441720871</v>
      </c>
      <c r="Y36" s="23" t="n">
        <v>0.374757817293735</v>
      </c>
    </row>
    <row r="37" customFormat="false" ht="15" hidden="false" customHeight="false" outlineLevel="0" collapsed="false">
      <c r="A37" s="0" t="s">
        <v>199</v>
      </c>
      <c r="B37" s="23" t="n">
        <v>0.433323322665609</v>
      </c>
      <c r="C37" s="23" t="n">
        <v>0.26786967721078</v>
      </c>
      <c r="D37" s="23" t="n">
        <v>0.298807000123611</v>
      </c>
      <c r="E37" s="23" t="n">
        <v>0.701192999876389</v>
      </c>
      <c r="F37" s="23" t="n">
        <v>0.73213032278922</v>
      </c>
      <c r="G37" s="23" t="n">
        <v>0.566676677334391</v>
      </c>
      <c r="H37" s="23" t="n">
        <v>0.913981413697068</v>
      </c>
      <c r="I37" s="23" t="n">
        <v>0.697778357687328</v>
      </c>
      <c r="J37" s="23" t="n">
        <v>0.439629113862875</v>
      </c>
      <c r="K37" s="23" t="n">
        <v>0.22880304045847</v>
      </c>
      <c r="L37" s="23" t="n">
        <v>0.560370886137125</v>
      </c>
      <c r="M37" s="23" t="n">
        <v>0.488522288223722</v>
      </c>
      <c r="N37" s="23" t="n">
        <v>0.511477711776278</v>
      </c>
      <c r="O37" s="23" t="n">
        <v>0.474352299834193</v>
      </c>
      <c r="P37" s="23" t="n">
        <v>0.685178373238598</v>
      </c>
      <c r="Q37" s="23" t="n">
        <v>0.81356357802561</v>
      </c>
      <c r="R37" s="23" t="n">
        <v>0.468975317228858</v>
      </c>
      <c r="S37" s="23" t="n">
        <v>0.597360522015869</v>
      </c>
      <c r="T37" s="23" t="n">
        <v>0.684563208654678</v>
      </c>
      <c r="U37" s="23" t="n">
        <v>0.571264996872382</v>
      </c>
      <c r="V37" s="23" t="n">
        <v>0.456377616632586</v>
      </c>
      <c r="W37" s="23" t="n">
        <v>0.682481214147869</v>
      </c>
      <c r="X37" s="23" t="n">
        <v>0.500815036371542</v>
      </c>
      <c r="Y37" s="23" t="n">
        <v>0.331544116958938</v>
      </c>
    </row>
    <row r="38" customFormat="false" ht="15" hidden="false" customHeight="false" outlineLevel="0" collapsed="false">
      <c r="A38" s="0" t="s">
        <v>200</v>
      </c>
      <c r="B38" s="23" t="n">
        <v>0.544433707233567</v>
      </c>
      <c r="C38" s="23" t="n">
        <v>0.257265112714017</v>
      </c>
      <c r="D38" s="23" t="n">
        <v>0.198301180052416</v>
      </c>
      <c r="E38" s="23" t="n">
        <v>0.801698819947584</v>
      </c>
      <c r="F38" s="23" t="n">
        <v>0.742734887285983</v>
      </c>
      <c r="G38" s="23" t="n">
        <v>0.455566292766433</v>
      </c>
      <c r="H38" s="23" t="n">
        <v>0.902176087661053</v>
      </c>
      <c r="I38" s="23" t="n">
        <v>0.670115788657996</v>
      </c>
      <c r="J38" s="23" t="n">
        <v>0.406698082366596</v>
      </c>
      <c r="K38" s="23" t="n">
        <v>0.202755748798767</v>
      </c>
      <c r="L38" s="23" t="n">
        <v>0.593301917633404</v>
      </c>
      <c r="M38" s="23" t="n">
        <v>0.426702263682028</v>
      </c>
      <c r="N38" s="23" t="n">
        <v>0.573297736317972</v>
      </c>
      <c r="O38" s="23" t="n">
        <v>0.495478005294457</v>
      </c>
      <c r="P38" s="23" t="n">
        <v>0.699420338862286</v>
      </c>
      <c r="Q38" s="23" t="n">
        <v>0.81721381816444</v>
      </c>
      <c r="R38" s="23" t="n">
        <v>0.467360039859229</v>
      </c>
      <c r="S38" s="23" t="n">
        <v>0.585153519161382</v>
      </c>
      <c r="T38" s="23" t="n">
        <v>0.653463662514705</v>
      </c>
      <c r="U38" s="23" t="n">
        <v>0.536670217420173</v>
      </c>
      <c r="V38" s="23" t="n">
        <v>0.421220879491632</v>
      </c>
      <c r="W38" s="23" t="n">
        <v>0.739360334497928</v>
      </c>
      <c r="X38" s="23" t="n">
        <v>0.569640799622062</v>
      </c>
      <c r="Y38" s="23" t="n">
        <v>0.398898329618353</v>
      </c>
    </row>
    <row r="39" customFormat="false" ht="15" hidden="false" customHeight="false" outlineLevel="0" collapsed="false">
      <c r="A39" s="0" t="s">
        <v>201</v>
      </c>
      <c r="B39" s="23" t="n">
        <v>0.320231495630554</v>
      </c>
      <c r="C39" s="23" t="n">
        <v>0.250291422732277</v>
      </c>
      <c r="D39" s="23" t="n">
        <v>0.429477081637169</v>
      </c>
      <c r="E39" s="23" t="n">
        <v>0.570522918362831</v>
      </c>
      <c r="F39" s="23" t="n">
        <v>0.749708577267723</v>
      </c>
      <c r="G39" s="23" t="n">
        <v>0.679768504369446</v>
      </c>
      <c r="H39" s="23" t="n">
        <v>0.937773794905072</v>
      </c>
      <c r="I39" s="23" t="n">
        <v>0.759674270089504</v>
      </c>
      <c r="J39" s="23" t="n">
        <v>0.519658985938223</v>
      </c>
      <c r="K39" s="23" t="n">
        <v>0.29798341339787</v>
      </c>
      <c r="L39" s="23" t="n">
        <v>0.480341014061777</v>
      </c>
      <c r="M39" s="23" t="n">
        <v>0.554085665548008</v>
      </c>
      <c r="N39" s="23" t="n">
        <v>0.445914334451992</v>
      </c>
      <c r="O39" s="23" t="n">
        <v>0.418114808966849</v>
      </c>
      <c r="P39" s="23" t="n">
        <v>0.639790381507203</v>
      </c>
      <c r="Q39" s="23" t="n">
        <v>0.792448355214792</v>
      </c>
      <c r="R39" s="23" t="n">
        <v>0.461690856691634</v>
      </c>
      <c r="S39" s="23" t="n">
        <v>0.614348830399224</v>
      </c>
      <c r="T39" s="23" t="n">
        <v>0.665953544569186</v>
      </c>
      <c r="U39" s="23" t="n">
        <v>0.550457998761168</v>
      </c>
      <c r="V39" s="23" t="n">
        <v>0.435125275300406</v>
      </c>
      <c r="W39" s="23" t="n">
        <v>0.823946997732584</v>
      </c>
      <c r="X39" s="23" t="n">
        <v>0.682896114589433</v>
      </c>
      <c r="Y39" s="23" t="n">
        <v>0.52164444012929</v>
      </c>
    </row>
    <row r="40" customFormat="false" ht="15" hidden="false" customHeight="false" outlineLevel="0" collapsed="false">
      <c r="A40" s="0" t="s">
        <v>202</v>
      </c>
      <c r="B40" s="23" t="n">
        <v>0.204689724287008</v>
      </c>
      <c r="C40" s="23" t="n">
        <v>0.218944244685762</v>
      </c>
      <c r="D40" s="23" t="n">
        <v>0.57636603102723</v>
      </c>
      <c r="E40" s="23" t="n">
        <v>0.42363396897277</v>
      </c>
      <c r="F40" s="23" t="n">
        <v>0.781055755314238</v>
      </c>
      <c r="G40" s="23" t="n">
        <v>0.795310275712992</v>
      </c>
      <c r="H40" s="23" t="n">
        <v>0.94867081579789</v>
      </c>
      <c r="I40" s="23" t="n">
        <v>0.791403521355261</v>
      </c>
      <c r="J40" s="23" t="n">
        <v>0.564585162467323</v>
      </c>
      <c r="K40" s="23" t="n">
        <v>0.340652636989482</v>
      </c>
      <c r="L40" s="23" t="n">
        <v>0.435414837532678</v>
      </c>
      <c r="M40" s="23" t="n">
        <v>0.549480123685872</v>
      </c>
      <c r="N40" s="23" t="n">
        <v>0.450519876314128</v>
      </c>
      <c r="O40" s="23" t="n">
        <v>0.384085653330567</v>
      </c>
      <c r="P40" s="23" t="n">
        <v>0.608018178808407</v>
      </c>
      <c r="Q40" s="23" t="n">
        <v>0.772940559387439</v>
      </c>
      <c r="R40" s="23" t="n">
        <v>0.450750884365778</v>
      </c>
      <c r="S40" s="23" t="n">
        <v>0.61567326494481</v>
      </c>
      <c r="T40" s="23" t="n">
        <v>0.733233560630844</v>
      </c>
      <c r="U40" s="23" t="n">
        <v>0.627246610439587</v>
      </c>
      <c r="V40" s="23" t="n">
        <v>0.515208699799782</v>
      </c>
      <c r="W40" s="23" t="n">
        <v>0.826416930331681</v>
      </c>
      <c r="X40" s="23" t="n">
        <v>0.686432990933943</v>
      </c>
      <c r="Y40" s="23" t="n">
        <v>0.525738538378932</v>
      </c>
    </row>
    <row r="41" customFormat="false" ht="15" hidden="false" customHeight="false" outlineLevel="0" collapsed="false">
      <c r="A41" s="0" t="s">
        <v>203</v>
      </c>
      <c r="B41" s="23" t="n">
        <v>0.38584176131359</v>
      </c>
      <c r="C41" s="23" t="n">
        <v>0.251757542803976</v>
      </c>
      <c r="D41" s="23" t="n">
        <v>0.362400695882433</v>
      </c>
      <c r="E41" s="23" t="n">
        <v>0.637599304117567</v>
      </c>
      <c r="F41" s="23" t="n">
        <v>0.748242457196024</v>
      </c>
      <c r="G41" s="23" t="n">
        <v>0.61415823868641</v>
      </c>
      <c r="H41" s="23" t="n">
        <v>0.938398766514522</v>
      </c>
      <c r="I41" s="23" t="n">
        <v>0.761374671836539</v>
      </c>
      <c r="J41" s="23" t="n">
        <v>0.52201402041122</v>
      </c>
      <c r="K41" s="23" t="n">
        <v>0.300149688489272</v>
      </c>
      <c r="L41" s="23" t="n">
        <v>0.47798597958878</v>
      </c>
      <c r="M41" s="23" t="n">
        <v>0.559380753123951</v>
      </c>
      <c r="N41" s="23" t="n">
        <v>0.440619246876049</v>
      </c>
      <c r="O41" s="23" t="n">
        <v>0.416384746103302</v>
      </c>
      <c r="P41" s="23" t="n">
        <v>0.63824907802525</v>
      </c>
      <c r="Q41" s="23" t="n">
        <v>0.791578815920128</v>
      </c>
      <c r="R41" s="23" t="n">
        <v>0.461224983347267</v>
      </c>
      <c r="S41" s="23" t="n">
        <v>0.614554721242146</v>
      </c>
      <c r="T41" s="23" t="n">
        <v>0.735265111991048</v>
      </c>
      <c r="U41" s="23" t="n">
        <v>0.629634902241415</v>
      </c>
      <c r="V41" s="23" t="n">
        <v>0.517773567872899</v>
      </c>
      <c r="W41" s="23" t="n">
        <v>0.841999857079287</v>
      </c>
      <c r="X41" s="23" t="n">
        <v>0.709093432656965</v>
      </c>
      <c r="Y41" s="23" t="n">
        <v>0.552377464886445</v>
      </c>
    </row>
    <row r="42" customFormat="false" ht="15" hidden="false" customHeight="false" outlineLevel="0" collapsed="false">
      <c r="A42" s="0" t="s">
        <v>204</v>
      </c>
      <c r="B42" s="23" t="n">
        <v>0.396012732313812</v>
      </c>
      <c r="C42" s="23" t="n">
        <v>0.250068041588119</v>
      </c>
      <c r="D42" s="23" t="n">
        <v>0.35391922609807</v>
      </c>
      <c r="E42" s="23" t="n">
        <v>0.646080773901931</v>
      </c>
      <c r="F42" s="23" t="n">
        <v>0.749931958411881</v>
      </c>
      <c r="G42" s="23" t="n">
        <v>0.603987267686189</v>
      </c>
      <c r="H42" s="23" t="n">
        <v>0.940153793033443</v>
      </c>
      <c r="I42" s="23" t="n">
        <v>0.766297500130433</v>
      </c>
      <c r="J42" s="23" t="n">
        <v>0.528836149655343</v>
      </c>
      <c r="K42" s="23" t="n">
        <v>0.306468307956884</v>
      </c>
      <c r="L42" s="23" t="n">
        <v>0.471163850344657</v>
      </c>
      <c r="M42" s="23" t="n">
        <v>0.56434970264234</v>
      </c>
      <c r="N42" s="23" t="n">
        <v>0.43565029735766</v>
      </c>
      <c r="O42" s="23" t="n">
        <v>0.4113176433781</v>
      </c>
      <c r="P42" s="23" t="n">
        <v>0.63368548507656</v>
      </c>
      <c r="Q42" s="23" t="n">
        <v>0.788944613855901</v>
      </c>
      <c r="R42" s="23" t="n">
        <v>0.459829192173549</v>
      </c>
      <c r="S42" s="23" t="n">
        <v>0.61508832095289</v>
      </c>
      <c r="T42" s="23" t="n">
        <v>0.72864221694854</v>
      </c>
      <c r="U42" s="23" t="n">
        <v>0.62186474372619</v>
      </c>
      <c r="V42" s="23" t="n">
        <v>0.509445753032953</v>
      </c>
      <c r="W42" s="23" t="n">
        <v>0.853560457496312</v>
      </c>
      <c r="X42" s="23" t="n">
        <v>0.72631044966523</v>
      </c>
      <c r="Y42" s="23" t="n">
        <v>0.573105308651594</v>
      </c>
    </row>
    <row r="43" customFormat="false" ht="15" hidden="false" customHeight="false" outlineLevel="0" collapsed="false">
      <c r="A43" s="0" t="s">
        <v>205</v>
      </c>
      <c r="B43" s="23" t="n">
        <v>0.461792939476874</v>
      </c>
      <c r="C43" s="23" t="n">
        <v>0.254127917591347</v>
      </c>
      <c r="D43" s="23" t="n">
        <v>0.284079142931779</v>
      </c>
      <c r="E43" s="23" t="n">
        <v>0.715920857068221</v>
      </c>
      <c r="F43" s="23" t="n">
        <v>0.745872082408653</v>
      </c>
      <c r="G43" s="23" t="n">
        <v>0.538207060523126</v>
      </c>
      <c r="H43" s="23" t="n">
        <v>0.928713020939087</v>
      </c>
      <c r="I43" s="23" t="n">
        <v>0.73522795446765</v>
      </c>
      <c r="J43" s="23" t="n">
        <v>0.486854756348318</v>
      </c>
      <c r="K43" s="23" t="n">
        <v>0.268596512154967</v>
      </c>
      <c r="L43" s="23" t="n">
        <v>0.513145243651682</v>
      </c>
      <c r="M43" s="23" t="n">
        <v>0.522025142088135</v>
      </c>
      <c r="N43" s="23" t="n">
        <v>0.477974857911865</v>
      </c>
      <c r="O43" s="23" t="n">
        <v>0.44185826459077</v>
      </c>
      <c r="P43" s="23" t="n">
        <v>0.66011650878412</v>
      </c>
      <c r="Q43" s="23" t="n">
        <v>0.803135807045643</v>
      </c>
      <c r="R43" s="23" t="n">
        <v>0.466631442312683</v>
      </c>
      <c r="S43" s="23" t="n">
        <v>0.609650740574206</v>
      </c>
      <c r="T43" s="23" t="n">
        <v>0.689102942503479</v>
      </c>
      <c r="U43" s="23" t="n">
        <v>0.576389575089725</v>
      </c>
      <c r="V43" s="23" t="n">
        <v>0.461662121760823</v>
      </c>
      <c r="W43" s="23" t="n">
        <v>0.851007124675635</v>
      </c>
      <c r="X43" s="23" t="n">
        <v>0.722476769520982</v>
      </c>
      <c r="Y43" s="23" t="n">
        <v>0.568452361630534</v>
      </c>
    </row>
    <row r="44" customFormat="false" ht="15" hidden="false" customHeight="false" outlineLevel="0" collapsed="false">
      <c r="A44" s="0" t="s">
        <v>206</v>
      </c>
      <c r="B44" s="23" t="n">
        <v>0.514548977154803</v>
      </c>
      <c r="C44" s="23" t="n">
        <v>0.253881503931163</v>
      </c>
      <c r="D44" s="23" t="n">
        <v>0.231569518914034</v>
      </c>
      <c r="E44" s="23" t="n">
        <v>0.768430481085966</v>
      </c>
      <c r="F44" s="23" t="n">
        <v>0.746118496068837</v>
      </c>
      <c r="G44" s="23" t="n">
        <v>0.485451022845197</v>
      </c>
      <c r="H44" s="23" t="n">
        <v>0.917404273330489</v>
      </c>
      <c r="I44" s="23" t="n">
        <v>0.706463183502398</v>
      </c>
      <c r="J44" s="23" t="n">
        <v>0.45019609475357</v>
      </c>
      <c r="K44" s="23" t="n">
        <v>0.237454605922234</v>
      </c>
      <c r="L44" s="23" t="n">
        <v>0.54980390524643</v>
      </c>
      <c r="M44" s="23" t="n">
        <v>0.476525716331916</v>
      </c>
      <c r="N44" s="23" t="n">
        <v>0.523474283668085</v>
      </c>
      <c r="O44" s="23" t="n">
        <v>0.467208178576919</v>
      </c>
      <c r="P44" s="23" t="n">
        <v>0.679949667408256</v>
      </c>
      <c r="Q44" s="23" t="n">
        <v>0.81167391761352</v>
      </c>
      <c r="R44" s="23" t="n">
        <v>0.469008577580164</v>
      </c>
      <c r="S44" s="23" t="n">
        <v>0.600732827785429</v>
      </c>
      <c r="T44" s="23" t="n">
        <v>0.697777716828912</v>
      </c>
      <c r="U44" s="23" t="n">
        <v>0.586236174303965</v>
      </c>
      <c r="V44" s="23" t="n">
        <v>0.471872320578148</v>
      </c>
      <c r="W44" s="23" t="n">
        <v>0.808344828260655</v>
      </c>
      <c r="X44" s="23" t="n">
        <v>0.660883517834041</v>
      </c>
      <c r="Y44" s="23" t="n">
        <v>0.496538067062456</v>
      </c>
    </row>
    <row r="45" customFormat="false" ht="15" hidden="false" customHeight="false" outlineLevel="0" collapsed="false">
      <c r="A45" s="0" t="s">
        <v>207</v>
      </c>
      <c r="B45" s="23" t="n">
        <v>0.496336965857958</v>
      </c>
      <c r="C45" s="23" t="n">
        <v>0.268953599442637</v>
      </c>
      <c r="D45" s="23" t="n">
        <v>0.234709434699406</v>
      </c>
      <c r="E45" s="23" t="n">
        <v>0.765290565300595</v>
      </c>
      <c r="F45" s="23" t="n">
        <v>0.731046400557363</v>
      </c>
      <c r="G45" s="23" t="n">
        <v>0.503663034142043</v>
      </c>
      <c r="H45" s="23" t="n">
        <v>0.899557716922503</v>
      </c>
      <c r="I45" s="23" t="n">
        <v>0.663870163662085</v>
      </c>
      <c r="J45" s="23" t="n">
        <v>0.399605918556906</v>
      </c>
      <c r="K45" s="23" t="n">
        <v>0.197325727452993</v>
      </c>
      <c r="L45" s="23" t="n">
        <v>0.600394081443094</v>
      </c>
      <c r="M45" s="23" t="n">
        <v>0.438977417634848</v>
      </c>
      <c r="N45" s="23" t="n">
        <v>0.561022582365152</v>
      </c>
      <c r="O45" s="23" t="n">
        <v>0.499951798365597</v>
      </c>
      <c r="P45" s="23" t="n">
        <v>0.70223198946951</v>
      </c>
      <c r="Q45" s="23" t="n">
        <v>0.817713471977819</v>
      </c>
      <c r="R45" s="23" t="n">
        <v>0.466544436209093</v>
      </c>
      <c r="S45" s="23" t="n">
        <v>0.582025918717402</v>
      </c>
      <c r="T45" s="23" t="n">
        <v>0.672770310900948</v>
      </c>
      <c r="U45" s="23" t="n">
        <v>0.558042664763397</v>
      </c>
      <c r="V45" s="23" t="n">
        <v>0.44283455124802</v>
      </c>
      <c r="W45" s="23" t="n">
        <v>0.864415919429815</v>
      </c>
      <c r="X45" s="23" t="n">
        <v>0.742814249791618</v>
      </c>
      <c r="Y45" s="23" t="n">
        <v>0.593388565478242</v>
      </c>
    </row>
    <row r="46" customFormat="false" ht="15" hidden="false" customHeight="false" outlineLevel="0" collapsed="false">
      <c r="A46" s="0" t="s">
        <v>208</v>
      </c>
      <c r="B46" s="23" t="n">
        <v>0.327687390070479</v>
      </c>
      <c r="C46" s="23" t="n">
        <v>0.288417548798244</v>
      </c>
      <c r="D46" s="23" t="n">
        <v>0.383895061131278</v>
      </c>
      <c r="E46" s="23" t="n">
        <v>0.616104938868722</v>
      </c>
      <c r="F46" s="23" t="n">
        <v>0.711582451201756</v>
      </c>
      <c r="G46" s="23" t="n">
        <v>0.672312609929521</v>
      </c>
      <c r="H46" s="23" t="n">
        <v>0.88958356824251</v>
      </c>
      <c r="I46" s="23" t="n">
        <v>0.641256245437152</v>
      </c>
      <c r="J46" s="23" t="n">
        <v>0.374431475150112</v>
      </c>
      <c r="K46" s="23" t="n">
        <v>0.178559120331179</v>
      </c>
      <c r="L46" s="23" t="n">
        <v>0.625568524849888</v>
      </c>
      <c r="M46" s="23" t="n">
        <v>0.440082416626655</v>
      </c>
      <c r="N46" s="23" t="n">
        <v>0.559917583373345</v>
      </c>
      <c r="O46" s="23" t="n">
        <v>0.515152093092397</v>
      </c>
      <c r="P46" s="23" t="n">
        <v>0.71102444791133</v>
      </c>
      <c r="Q46" s="23" t="n">
        <v>0.81823316171905</v>
      </c>
      <c r="R46" s="23" t="n">
        <v>0.462697125105973</v>
      </c>
      <c r="S46" s="23" t="n">
        <v>0.569905838913693</v>
      </c>
      <c r="T46" s="23" t="n">
        <v>0.642054598610168</v>
      </c>
      <c r="U46" s="23" t="n">
        <v>0.524196949665721</v>
      </c>
      <c r="V46" s="23" t="n">
        <v>0.408763362419485</v>
      </c>
      <c r="W46" s="23" t="n">
        <v>0.83166071241871</v>
      </c>
      <c r="X46" s="23" t="n">
        <v>0.693990881182018</v>
      </c>
      <c r="Y46" s="23" t="n">
        <v>0.534544207625148</v>
      </c>
    </row>
    <row r="47" customFormat="false" ht="15" hidden="false" customHeight="false" outlineLevel="0" collapsed="false">
      <c r="A47" s="0" t="s">
        <v>209</v>
      </c>
      <c r="B47" s="23" t="n">
        <v>0.637996516603916</v>
      </c>
      <c r="C47" s="23" t="n">
        <v>0.210521677170073</v>
      </c>
      <c r="D47" s="23" t="n">
        <v>0.151481806226011</v>
      </c>
      <c r="E47" s="23" t="n">
        <v>0.848518193773989</v>
      </c>
      <c r="F47" s="23" t="n">
        <v>0.789478322829928</v>
      </c>
      <c r="G47" s="23" t="n">
        <v>0.362003483396084</v>
      </c>
      <c r="H47" s="23" t="n">
        <v>0.936293225435012</v>
      </c>
      <c r="I47" s="23" t="n">
        <v>0.756432398457621</v>
      </c>
      <c r="J47" s="23" t="n">
        <v>0.514907700207952</v>
      </c>
      <c r="K47" s="23" t="n">
        <v>0.293634926280417</v>
      </c>
      <c r="L47" s="23" t="n">
        <v>0.485092299792048</v>
      </c>
      <c r="M47" s="23" t="n">
        <v>0.472621115082822</v>
      </c>
      <c r="N47" s="23" t="n">
        <v>0.527378884917178</v>
      </c>
      <c r="O47" s="23" t="n">
        <v>0.42138552522706</v>
      </c>
      <c r="P47" s="23" t="n">
        <v>0.642658299154594</v>
      </c>
      <c r="Q47" s="23" t="n">
        <v>0.793953684375213</v>
      </c>
      <c r="R47" s="23" t="n">
        <v>0.462797472177204</v>
      </c>
      <c r="S47" s="23" t="n">
        <v>0.614092857397823</v>
      </c>
      <c r="T47" s="23" t="n">
        <v>0.732416123811627</v>
      </c>
      <c r="U47" s="23" t="n">
        <v>0.626286838987439</v>
      </c>
      <c r="V47" s="23" t="n">
        <v>0.514179263626252</v>
      </c>
      <c r="W47" s="23" t="n">
        <v>0.820312158345709</v>
      </c>
      <c r="X47" s="23" t="n">
        <v>0.677717500795821</v>
      </c>
      <c r="Y47" s="23" t="n">
        <v>0.515680323486376</v>
      </c>
    </row>
    <row r="48" customFormat="false" ht="15" hidden="false" customHeight="false" outlineLevel="0" collapsed="false">
      <c r="A48" s="0" t="s">
        <v>210</v>
      </c>
      <c r="B48" s="23" t="n">
        <v>0.480814742760228</v>
      </c>
      <c r="C48" s="23" t="n">
        <v>0.27931563641294</v>
      </c>
      <c r="D48" s="23" t="n">
        <v>0.239869620826833</v>
      </c>
      <c r="E48" s="23" t="n">
        <v>0.760130379173167</v>
      </c>
      <c r="F48" s="23" t="n">
        <v>0.72068436358706</v>
      </c>
      <c r="G48" s="23" t="n">
        <v>0.519185257239772</v>
      </c>
      <c r="H48" s="23" t="n">
        <v>0.88761940631186</v>
      </c>
      <c r="I48" s="23" t="n">
        <v>0.637198933205728</v>
      </c>
      <c r="J48" s="23" t="n">
        <v>0.369929389925032</v>
      </c>
      <c r="K48" s="23" t="n">
        <v>0.175286098868619</v>
      </c>
      <c r="L48" s="23" t="n">
        <v>0.630070610074968</v>
      </c>
      <c r="M48" s="23" t="n">
        <v>0.417813967122782</v>
      </c>
      <c r="N48" s="23" t="n">
        <v>0.582186032877218</v>
      </c>
      <c r="O48" s="23" t="n">
        <v>0.517690016386827</v>
      </c>
      <c r="P48" s="23" t="n">
        <v>0.712333307443241</v>
      </c>
      <c r="Q48" s="23" t="n">
        <v>0.818053658479767</v>
      </c>
      <c r="R48" s="23" t="n">
        <v>0.461912834337109</v>
      </c>
      <c r="S48" s="23" t="n">
        <v>0.567633185373635</v>
      </c>
      <c r="T48" s="23" t="n">
        <v>0.633791156060645</v>
      </c>
      <c r="U48" s="23" t="n">
        <v>0.515233951615396</v>
      </c>
      <c r="V48" s="23" t="n">
        <v>0.399882295808559</v>
      </c>
      <c r="W48" s="23" t="n">
        <v>0.871140798662822</v>
      </c>
      <c r="X48" s="23" t="n">
        <v>0.753211546849083</v>
      </c>
      <c r="Y48" s="23" t="n">
        <v>0.606383247192</v>
      </c>
    </row>
    <row r="49" customFormat="false" ht="15" hidden="false" customHeight="false" outlineLevel="0" collapsed="false">
      <c r="A49" s="0" t="s">
        <v>211</v>
      </c>
      <c r="B49" s="23" t="n">
        <v>0.633817361932326</v>
      </c>
      <c r="C49" s="23" t="n">
        <v>0.211700939793445</v>
      </c>
      <c r="D49" s="23" t="n">
        <v>0.154481698274229</v>
      </c>
      <c r="E49" s="23" t="n">
        <v>0.845518301725771</v>
      </c>
      <c r="F49" s="23" t="n">
        <v>0.788299060206555</v>
      </c>
      <c r="G49" s="23" t="n">
        <v>0.366182638067674</v>
      </c>
      <c r="H49" s="23" t="n">
        <v>0.936477213568855</v>
      </c>
      <c r="I49" s="23" t="n">
        <v>0.756909337624747</v>
      </c>
      <c r="J49" s="23" t="n">
        <v>0.515569988483493</v>
      </c>
      <c r="K49" s="23" t="n">
        <v>0.294239069373061</v>
      </c>
      <c r="L49" s="23" t="n">
        <v>0.484430011516507</v>
      </c>
      <c r="M49" s="23" t="n">
        <v>0.475883683960431</v>
      </c>
      <c r="N49" s="23" t="n">
        <v>0.524116316039569</v>
      </c>
      <c r="O49" s="23" t="n">
        <v>0.420907225085362</v>
      </c>
      <c r="P49" s="23" t="n">
        <v>0.642238144195795</v>
      </c>
      <c r="Q49" s="23" t="n">
        <v>0.793724304856651</v>
      </c>
      <c r="R49" s="23" t="n">
        <v>0.462670268251686</v>
      </c>
      <c r="S49" s="23" t="n">
        <v>0.614156428912542</v>
      </c>
      <c r="T49" s="23" t="n">
        <v>0.728404758424699</v>
      </c>
      <c r="U49" s="23" t="n">
        <v>0.621586989847524</v>
      </c>
      <c r="V49" s="23" t="n">
        <v>0.509148962223558</v>
      </c>
      <c r="W49" s="23" t="n">
        <v>0.780973646085876</v>
      </c>
      <c r="X49" s="23" t="n">
        <v>0.623555729765875</v>
      </c>
      <c r="Y49" s="23" t="n">
        <v>0.455381541281235</v>
      </c>
    </row>
    <row r="50" customFormat="false" ht="15" hidden="false" customHeight="false" outlineLevel="0" collapsed="false">
      <c r="A50" s="0" t="s">
        <v>212</v>
      </c>
      <c r="B50" s="23" t="n">
        <v>0.629029529027885</v>
      </c>
      <c r="C50" s="23" t="n">
        <v>0.212404248719823</v>
      </c>
      <c r="D50" s="23" t="n">
        <v>0.158566222252292</v>
      </c>
      <c r="E50" s="23" t="n">
        <v>0.841433777747708</v>
      </c>
      <c r="F50" s="23" t="n">
        <v>0.787595751280177</v>
      </c>
      <c r="G50" s="23" t="n">
        <v>0.370970470972115</v>
      </c>
      <c r="H50" s="23" t="n">
        <v>0.937669989829449</v>
      </c>
      <c r="I50" s="23" t="n">
        <v>0.760167634125815</v>
      </c>
      <c r="J50" s="23" t="n">
        <v>0.520051900177917</v>
      </c>
      <c r="K50" s="23" t="n">
        <v>0.298342989016414</v>
      </c>
      <c r="L50" s="23" t="n">
        <v>0.479948099822083</v>
      </c>
      <c r="M50" s="23" t="n">
        <v>0.482877171661068</v>
      </c>
      <c r="N50" s="23" t="n">
        <v>0.517122828338932</v>
      </c>
      <c r="O50" s="23" t="n">
        <v>0.417618089651532</v>
      </c>
      <c r="P50" s="23" t="n">
        <v>0.639327000813035</v>
      </c>
      <c r="Q50" s="23" t="n">
        <v>0.792098713961968</v>
      </c>
      <c r="R50" s="23" t="n">
        <v>0.461824645109401</v>
      </c>
      <c r="S50" s="23" t="n">
        <v>0.614596358258334</v>
      </c>
      <c r="T50" s="23" t="n">
        <v>0.685257959668208</v>
      </c>
      <c r="U50" s="23" t="n">
        <v>0.572047996217835</v>
      </c>
      <c r="V50" s="23" t="n">
        <v>0.457183758666614</v>
      </c>
      <c r="W50" s="23" t="n">
        <v>0.791472582730527</v>
      </c>
      <c r="X50" s="23" t="n">
        <v>0.637687898826962</v>
      </c>
      <c r="Y50" s="23" t="n">
        <v>0.470758997381152</v>
      </c>
    </row>
    <row r="51" customFormat="false" ht="15" hidden="false" customHeight="false" outlineLevel="0" collapsed="false">
      <c r="A51" s="0" t="s">
        <v>213</v>
      </c>
      <c r="B51" s="23" t="n">
        <v>0.834156029199319</v>
      </c>
      <c r="C51" s="23" t="n">
        <v>0.111137751182224</v>
      </c>
      <c r="D51" s="23" t="n">
        <v>0.0547062196184578</v>
      </c>
      <c r="E51" s="23" t="n">
        <v>0.945293780381542</v>
      </c>
      <c r="F51" s="23" t="n">
        <v>0.888862248817777</v>
      </c>
      <c r="G51" s="23" t="n">
        <v>0.165843970800682</v>
      </c>
      <c r="H51" s="23" t="n">
        <v>0.972027675358373</v>
      </c>
      <c r="I51" s="23" t="n">
        <v>0.869122020089349</v>
      </c>
      <c r="J51" s="23" t="n">
        <v>0.689072829744096</v>
      </c>
      <c r="K51" s="23" t="n">
        <v>0.474993919307705</v>
      </c>
      <c r="L51" s="23" t="n">
        <v>0.310927170255904</v>
      </c>
      <c r="M51" s="23" t="n">
        <v>0.445685813158527</v>
      </c>
      <c r="N51" s="23" t="n">
        <v>0.554314186841473</v>
      </c>
      <c r="O51" s="23" t="n">
        <v>0.282954845614277</v>
      </c>
      <c r="P51" s="23" t="n">
        <v>0.497033756050668</v>
      </c>
      <c r="Q51" s="23" t="n">
        <v>0.687278258510865</v>
      </c>
      <c r="R51" s="23" t="n">
        <v>0.394128100781644</v>
      </c>
      <c r="S51" s="23" t="n">
        <v>0.584372603241841</v>
      </c>
      <c r="T51" s="23" t="n">
        <v>0.779795383353858</v>
      </c>
      <c r="U51" s="23" t="n">
        <v>0.683103864685817</v>
      </c>
      <c r="V51" s="23" t="n">
        <v>0.576431489461104</v>
      </c>
      <c r="W51" s="23" t="n">
        <v>0.661700744301178</v>
      </c>
      <c r="X51" s="23" t="n">
        <v>0.476936286108921</v>
      </c>
      <c r="Y51" s="23" t="n">
        <v>0.309362297298535</v>
      </c>
    </row>
    <row r="52" customFormat="false" ht="15" hidden="false" customHeight="false" outlineLevel="0" collapsed="false">
      <c r="A52" s="0" t="s">
        <v>214</v>
      </c>
      <c r="B52" s="23" t="n">
        <v>0.621240755764678</v>
      </c>
      <c r="C52" s="23" t="n">
        <v>0.216805911128329</v>
      </c>
      <c r="D52" s="23" t="n">
        <v>0.161953333106993</v>
      </c>
      <c r="E52" s="23" t="n">
        <v>0.838046666893007</v>
      </c>
      <c r="F52" s="23" t="n">
        <v>0.783194088871671</v>
      </c>
      <c r="G52" s="23" t="n">
        <v>0.378759244235322</v>
      </c>
      <c r="H52" s="23" t="n">
        <v>0.934389436949661</v>
      </c>
      <c r="I52" s="23" t="n">
        <v>0.751121924061847</v>
      </c>
      <c r="J52" s="23" t="n">
        <v>0.507733248501614</v>
      </c>
      <c r="K52" s="23" t="n">
        <v>0.287129817993427</v>
      </c>
      <c r="L52" s="23" t="n">
        <v>0.492266751498386</v>
      </c>
      <c r="M52" s="23" t="n">
        <v>0.476609776803223</v>
      </c>
      <c r="N52" s="23" t="n">
        <v>0.523390223196777</v>
      </c>
      <c r="O52" s="23" t="n">
        <v>0.426656188448047</v>
      </c>
      <c r="P52" s="23" t="n">
        <v>0.647259618956234</v>
      </c>
      <c r="Q52" s="23" t="n">
        <v>0.796473340661102</v>
      </c>
      <c r="R52" s="23" t="n">
        <v>0.46399210606842</v>
      </c>
      <c r="S52" s="23" t="n">
        <v>0.613205827773288</v>
      </c>
      <c r="T52" s="23" t="n">
        <v>0.718804746773969</v>
      </c>
      <c r="U52" s="23" t="n">
        <v>0.610405933769913</v>
      </c>
      <c r="V52" s="23" t="n">
        <v>0.497252595025264</v>
      </c>
      <c r="W52" s="23" t="n">
        <v>0.803332852340501</v>
      </c>
      <c r="X52" s="23" t="n">
        <v>0.65392896257267</v>
      </c>
      <c r="Y52" s="23" t="n">
        <v>0.488737340951667</v>
      </c>
    </row>
    <row r="53" customFormat="false" ht="15" hidden="false" customHeight="false" outlineLevel="0" collapsed="false">
      <c r="A53" s="0" t="s">
        <v>215</v>
      </c>
      <c r="B53" s="23" t="n">
        <v>0.684039405587102</v>
      </c>
      <c r="C53" s="23" t="n">
        <v>0.186901425211006</v>
      </c>
      <c r="D53" s="23" t="n">
        <v>0.129059169201892</v>
      </c>
      <c r="E53" s="23" t="n">
        <v>0.870940830798108</v>
      </c>
      <c r="F53" s="23" t="n">
        <v>0.813098574788994</v>
      </c>
      <c r="G53" s="23" t="n">
        <v>0.315960594412898</v>
      </c>
      <c r="H53" s="23" t="n">
        <v>0.949760528371327</v>
      </c>
      <c r="I53" s="23" t="n">
        <v>0.795295805238504</v>
      </c>
      <c r="J53" s="23" t="n">
        <v>0.57009025941437</v>
      </c>
      <c r="K53" s="23" t="n">
        <v>0.346078118978823</v>
      </c>
      <c r="L53" s="23" t="n">
        <v>0.42990974058563</v>
      </c>
      <c r="M53" s="23" t="n">
        <v>0.490456907670505</v>
      </c>
      <c r="N53" s="23" t="n">
        <v>0.509543092329496</v>
      </c>
      <c r="O53" s="23" t="n">
        <v>0.379670268956957</v>
      </c>
      <c r="P53" s="23" t="n">
        <v>0.603682409392504</v>
      </c>
      <c r="Q53" s="23" t="n">
        <v>0.770021884955852</v>
      </c>
      <c r="R53" s="23" t="n">
        <v>0.449217686259681</v>
      </c>
      <c r="S53" s="23" t="n">
        <v>0.615557161823028</v>
      </c>
      <c r="T53" s="23" t="n">
        <v>0.736421820753226</v>
      </c>
      <c r="U53" s="23" t="n">
        <v>0.630996646949142</v>
      </c>
      <c r="V53" s="23" t="n">
        <v>0.519238054298155</v>
      </c>
      <c r="W53" s="23" t="n">
        <v>0.802770005694296</v>
      </c>
      <c r="X53" s="23" t="n">
        <v>0.653151403116942</v>
      </c>
      <c r="Y53" s="23" t="n">
        <v>0.487869020255761</v>
      </c>
    </row>
    <row r="54" customFormat="false" ht="15" hidden="false" customHeight="false" outlineLevel="0" collapsed="false">
      <c r="A54" s="0" t="s">
        <v>216</v>
      </c>
      <c r="B54" s="23" t="n">
        <v>0.627227752522016</v>
      </c>
      <c r="C54" s="23" t="n">
        <v>0.210393608813374</v>
      </c>
      <c r="D54" s="23" t="n">
        <v>0.16237863866461</v>
      </c>
      <c r="E54" s="23" t="n">
        <v>0.83762136133539</v>
      </c>
      <c r="F54" s="23" t="n">
        <v>0.789606391186626</v>
      </c>
      <c r="G54" s="23" t="n">
        <v>0.372772247477984</v>
      </c>
      <c r="H54" s="23" t="n">
        <v>0.941624100827332</v>
      </c>
      <c r="I54" s="23" t="n">
        <v>0.771233444634423</v>
      </c>
      <c r="J54" s="23" t="n">
        <v>0.535463747849238</v>
      </c>
      <c r="K54" s="23" t="n">
        <v>0.312667468439079</v>
      </c>
      <c r="L54" s="23" t="n">
        <v>0.464536252150762</v>
      </c>
      <c r="M54" s="23" t="n">
        <v>0.497700426210343</v>
      </c>
      <c r="N54" s="23" t="n">
        <v>0.502299573789657</v>
      </c>
      <c r="O54" s="23" t="n">
        <v>0.406160352978094</v>
      </c>
      <c r="P54" s="23" t="n">
        <v>0.628956632388253</v>
      </c>
      <c r="Q54" s="23" t="n">
        <v>0.786067176363151</v>
      </c>
      <c r="R54" s="23" t="n">
        <v>0.458565976195344</v>
      </c>
      <c r="S54" s="23" t="n">
        <v>0.615676520170242</v>
      </c>
      <c r="T54" s="23" t="n">
        <v>0.755066699832809</v>
      </c>
      <c r="U54" s="23" t="n">
        <v>0.653141955775733</v>
      </c>
      <c r="V54" s="23" t="n">
        <v>0.543266851575864</v>
      </c>
      <c r="W54" s="23" t="n">
        <v>0.840346954197746</v>
      </c>
      <c r="X54" s="23" t="n">
        <v>0.706660711054638</v>
      </c>
      <c r="Y54" s="23" t="n">
        <v>0.549483183276614</v>
      </c>
    </row>
    <row r="55" customFormat="false" ht="15" hidden="false" customHeight="false" outlineLevel="0" collapsed="false">
      <c r="A55" s="0" t="s">
        <v>217</v>
      </c>
      <c r="B55" s="23" t="n">
        <v>0.440231034863097</v>
      </c>
      <c r="C55" s="23" t="n">
        <v>0.280404026988705</v>
      </c>
      <c r="D55" s="23" t="n">
        <v>0.279364938148197</v>
      </c>
      <c r="E55" s="23" t="n">
        <v>0.720635061851803</v>
      </c>
      <c r="F55" s="23" t="n">
        <v>0.719595973011295</v>
      </c>
      <c r="G55" s="23" t="n">
        <v>0.559768965136903</v>
      </c>
      <c r="H55" s="23" t="n">
        <v>0.894808687981662</v>
      </c>
      <c r="I55" s="23" t="n">
        <v>0.652936224767377</v>
      </c>
      <c r="J55" s="23" t="n">
        <v>0.387317358672917</v>
      </c>
      <c r="K55" s="23" t="n">
        <v>0.188066297529952</v>
      </c>
      <c r="L55" s="23" t="n">
        <v>0.612682641327083</v>
      </c>
      <c r="M55" s="23" t="n">
        <v>0.443247118714511</v>
      </c>
      <c r="N55" s="23" t="n">
        <v>0.556752881285489</v>
      </c>
      <c r="O55" s="23" t="n">
        <v>0.507491329308745</v>
      </c>
      <c r="P55" s="23" t="n">
        <v>0.706742390451711</v>
      </c>
      <c r="Q55" s="23" t="n">
        <v>0.818197312008934</v>
      </c>
      <c r="R55" s="23" t="n">
        <v>0.464869927237426</v>
      </c>
      <c r="S55" s="23" t="n">
        <v>0.576324848794648</v>
      </c>
      <c r="T55" s="23" t="n">
        <v>0.670250122350182</v>
      </c>
      <c r="U55" s="23" t="n">
        <v>0.555233638127947</v>
      </c>
      <c r="V55" s="23" t="n">
        <v>0.439974348753699</v>
      </c>
      <c r="W55" s="23" t="n">
        <v>0.843889092463249</v>
      </c>
      <c r="X55" s="23" t="n">
        <v>0.711882694559829</v>
      </c>
      <c r="Y55" s="23" t="n">
        <v>0.555706327844133</v>
      </c>
    </row>
    <row r="56" customFormat="false" ht="15" hidden="false" customHeight="false" outlineLevel="0" collapsed="false">
      <c r="A56" s="0" t="s">
        <v>218</v>
      </c>
      <c r="B56" s="23" t="n">
        <v>0.488756030674576</v>
      </c>
      <c r="C56" s="23" t="n">
        <v>0.264725942875028</v>
      </c>
      <c r="D56" s="23" t="n">
        <v>0.246518026450396</v>
      </c>
      <c r="E56" s="23" t="n">
        <v>0.753481973549605</v>
      </c>
      <c r="F56" s="23" t="n">
        <v>0.735274057124972</v>
      </c>
      <c r="G56" s="23" t="n">
        <v>0.511243969325424</v>
      </c>
      <c r="H56" s="23" t="n">
        <v>0.908039392521478</v>
      </c>
      <c r="I56" s="23" t="n">
        <v>0.683610552188671</v>
      </c>
      <c r="J56" s="23" t="n">
        <v>0.422567875865997</v>
      </c>
      <c r="K56" s="23" t="n">
        <v>0.215136256665596</v>
      </c>
      <c r="L56" s="23" t="n">
        <v>0.577432124134003</v>
      </c>
      <c r="M56" s="23" t="n">
        <v>0.461237576053878</v>
      </c>
      <c r="N56" s="23" t="n">
        <v>0.538762423946123</v>
      </c>
      <c r="O56" s="23" t="n">
        <v>0.485471516655481</v>
      </c>
      <c r="P56" s="23" t="n">
        <v>0.692903135855882</v>
      </c>
      <c r="Q56" s="23" t="n">
        <v>0.815832856021549</v>
      </c>
      <c r="R56" s="23" t="n">
        <v>0.468474295523076</v>
      </c>
      <c r="S56" s="23" t="n">
        <v>0.591404015688743</v>
      </c>
      <c r="T56" s="23" t="n">
        <v>0.645733346626129</v>
      </c>
      <c r="U56" s="23" t="n">
        <v>0.528206308194751</v>
      </c>
      <c r="V56" s="23" t="n">
        <v>0.412755155398626</v>
      </c>
      <c r="W56" s="23" t="n">
        <v>0.833919012883988</v>
      </c>
      <c r="X56" s="23" t="n">
        <v>0.697266605336133</v>
      </c>
      <c r="Y56" s="23" t="n">
        <v>0.538385138183797</v>
      </c>
    </row>
    <row r="57" customFormat="false" ht="15" hidden="false" customHeight="false" outlineLevel="0" collapsed="false">
      <c r="A57" s="0" t="s">
        <v>219</v>
      </c>
      <c r="B57" s="23" t="n">
        <v>0.476039001962594</v>
      </c>
      <c r="C57" s="23" t="n">
        <v>0.254996214901869</v>
      </c>
      <c r="D57" s="23" t="n">
        <v>0.268964783135538</v>
      </c>
      <c r="E57" s="23" t="n">
        <v>0.731035216864463</v>
      </c>
      <c r="F57" s="23" t="n">
        <v>0.745003785098131</v>
      </c>
      <c r="G57" s="23" t="n">
        <v>0.523960998037407</v>
      </c>
      <c r="H57" s="23" t="n">
        <v>0.924982389339206</v>
      </c>
      <c r="I57" s="23" t="n">
        <v>0.725528936761751</v>
      </c>
      <c r="J57" s="23" t="n">
        <v>0.474271112347176</v>
      </c>
      <c r="K57" s="23" t="n">
        <v>0.257707405408859</v>
      </c>
      <c r="L57" s="23" t="n">
        <v>0.525728887652824</v>
      </c>
      <c r="M57" s="23" t="n">
        <v>0.508346551426494</v>
      </c>
      <c r="N57" s="23" t="n">
        <v>0.491653448573506</v>
      </c>
      <c r="O57" s="23" t="n">
        <v>0.45071127699203</v>
      </c>
      <c r="P57" s="23" t="n">
        <v>0.667274983930347</v>
      </c>
      <c r="Q57" s="23" t="n">
        <v>0.806472465331955</v>
      </c>
      <c r="R57" s="23" t="n">
        <v>0.467821531352892</v>
      </c>
      <c r="S57" s="23" t="n">
        <v>0.607019012754501</v>
      </c>
      <c r="T57" s="23" t="n">
        <v>0.709355576269468</v>
      </c>
      <c r="U57" s="23" t="n">
        <v>0.599490801927187</v>
      </c>
      <c r="V57" s="23" t="n">
        <v>0.485734394990552</v>
      </c>
      <c r="W57" s="23" t="n">
        <v>0.7841924316289</v>
      </c>
      <c r="X57" s="23" t="n">
        <v>0.627864546901708</v>
      </c>
      <c r="Y57" s="23" t="n">
        <v>0.460044138769603</v>
      </c>
    </row>
    <row r="58" customFormat="false" ht="15" hidden="false" customHeight="false" outlineLevel="0" collapsed="false">
      <c r="A58" s="0" t="s">
        <v>220</v>
      </c>
      <c r="B58" s="23" t="n">
        <v>0.531355529264127</v>
      </c>
      <c r="C58" s="23" t="n">
        <v>0.245965059707496</v>
      </c>
      <c r="D58" s="23" t="n">
        <v>0.222679411028377</v>
      </c>
      <c r="E58" s="23" t="n">
        <v>0.777320588971623</v>
      </c>
      <c r="F58" s="23" t="n">
        <v>0.754034940292504</v>
      </c>
      <c r="G58" s="23" t="n">
        <v>0.468644470735873</v>
      </c>
      <c r="H58" s="23" t="n">
        <v>0.924252156743924</v>
      </c>
      <c r="I58" s="23" t="n">
        <v>0.723846444372647</v>
      </c>
      <c r="J58" s="23" t="n">
        <v>0.472042864755615</v>
      </c>
      <c r="K58" s="23" t="n">
        <v>0.255800899233407</v>
      </c>
      <c r="L58" s="23" t="n">
        <v>0.527957135244385</v>
      </c>
      <c r="M58" s="23" t="n">
        <v>0.489094793156981</v>
      </c>
      <c r="N58" s="23" t="n">
        <v>0.510905206843019</v>
      </c>
      <c r="O58" s="23" t="n">
        <v>0.452209291988309</v>
      </c>
      <c r="P58" s="23" t="n">
        <v>0.668451257510517</v>
      </c>
      <c r="Q58" s="23" t="n">
        <v>0.806965764910911</v>
      </c>
      <c r="R58" s="23" t="n">
        <v>0.46804554513924</v>
      </c>
      <c r="S58" s="23" t="n">
        <v>0.606560052539634</v>
      </c>
      <c r="T58" s="23" t="n">
        <v>0.717493971253084</v>
      </c>
      <c r="U58" s="23" t="n">
        <v>0.60888649634488</v>
      </c>
      <c r="V58" s="23" t="n">
        <v>0.495643597751213</v>
      </c>
      <c r="W58" s="23" t="n">
        <v>0.82993587596127</v>
      </c>
      <c r="X58" s="23" t="n">
        <v>0.691497452687923</v>
      </c>
      <c r="Y58" s="23" t="n">
        <v>0.531630478218329</v>
      </c>
    </row>
    <row r="59" customFormat="false" ht="15" hidden="false" customHeight="false" outlineLevel="0" collapsed="false">
      <c r="A59" s="0" t="s">
        <v>221</v>
      </c>
      <c r="B59" s="23" t="n">
        <v>0.428918087517414</v>
      </c>
      <c r="C59" s="23" t="n">
        <v>0.265920880638504</v>
      </c>
      <c r="D59" s="23" t="n">
        <v>0.305161031844082</v>
      </c>
      <c r="E59" s="23" t="n">
        <v>0.694838968155918</v>
      </c>
      <c r="F59" s="23" t="n">
        <v>0.734079119361496</v>
      </c>
      <c r="G59" s="23" t="n">
        <v>0.571081912482586</v>
      </c>
      <c r="H59" s="23" t="n">
        <v>0.917240691612103</v>
      </c>
      <c r="I59" s="23" t="n">
        <v>0.705803866062109</v>
      </c>
      <c r="J59" s="23" t="n">
        <v>0.449470793477639</v>
      </c>
      <c r="K59" s="23" t="n">
        <v>0.23685630321662</v>
      </c>
      <c r="L59" s="23" t="n">
        <v>0.550529206522361</v>
      </c>
      <c r="M59" s="23" t="n">
        <v>0.497335239804342</v>
      </c>
      <c r="N59" s="23" t="n">
        <v>0.502664760195658</v>
      </c>
      <c r="O59" s="23" t="n">
        <v>0.467769898134464</v>
      </c>
      <c r="P59" s="23" t="n">
        <v>0.680384388395483</v>
      </c>
      <c r="Q59" s="23" t="n">
        <v>0.81188038578858</v>
      </c>
      <c r="R59" s="23" t="n">
        <v>0.468947562845488</v>
      </c>
      <c r="S59" s="23" t="n">
        <v>0.600443560238586</v>
      </c>
      <c r="T59" s="23" t="n">
        <v>0.726227641255352</v>
      </c>
      <c r="U59" s="23" t="n">
        <v>0.619043116394093</v>
      </c>
      <c r="V59" s="23" t="n">
        <v>0.506433603071027</v>
      </c>
      <c r="W59" s="23" t="n">
        <v>0.798398991069554</v>
      </c>
      <c r="X59" s="23" t="n">
        <v>0.647136274594966</v>
      </c>
      <c r="Y59" s="23" t="n">
        <v>0.481177693301532</v>
      </c>
    </row>
    <row r="60" customFormat="false" ht="15" hidden="false" customHeight="false" outlineLevel="0" collapsed="false">
      <c r="A60" s="0" t="s">
        <v>222</v>
      </c>
      <c r="B60" s="23" t="n">
        <v>0.461009677352878</v>
      </c>
      <c r="C60" s="23" t="n">
        <v>0.250869873803684</v>
      </c>
      <c r="D60" s="23" t="n">
        <v>0.288120448843439</v>
      </c>
      <c r="E60" s="23" t="n">
        <v>0.711879551156562</v>
      </c>
      <c r="F60" s="23" t="n">
        <v>0.749130126196316</v>
      </c>
      <c r="G60" s="23" t="n">
        <v>0.538990322647122</v>
      </c>
      <c r="H60" s="23" t="n">
        <v>0.933189686879786</v>
      </c>
      <c r="I60" s="23" t="n">
        <v>0.747175887144364</v>
      </c>
      <c r="J60" s="23" t="n">
        <v>0.502676063596337</v>
      </c>
      <c r="K60" s="23" t="n">
        <v>0.282587428900334</v>
      </c>
      <c r="L60" s="23" t="n">
        <v>0.497323936403664</v>
      </c>
      <c r="M60" s="23" t="n">
        <v>0.535127577286278</v>
      </c>
      <c r="N60" s="23" t="n">
        <v>0.464872422713722</v>
      </c>
      <c r="O60" s="23" t="n">
        <v>0.430513623283449</v>
      </c>
      <c r="P60" s="23" t="n">
        <v>0.650602257979452</v>
      </c>
      <c r="Q60" s="23" t="n">
        <v>0.798332835461199</v>
      </c>
      <c r="R60" s="23" t="n">
        <v>0.464588458244031</v>
      </c>
      <c r="S60" s="23" t="n">
        <v>0.612319035725777</v>
      </c>
      <c r="T60" s="23" t="n">
        <v>0.708999838916174</v>
      </c>
      <c r="U60" s="23" t="n">
        <v>0.599081599315288</v>
      </c>
      <c r="V60" s="23" t="n">
        <v>0.485304398140991</v>
      </c>
      <c r="W60" s="23" t="n">
        <v>0.777124483236988</v>
      </c>
      <c r="X60" s="23" t="n">
        <v>0.618430279996782</v>
      </c>
      <c r="Y60" s="23" t="n">
        <v>0.44986455547666</v>
      </c>
    </row>
    <row r="61" customFormat="false" ht="15" hidden="false" customHeight="false" outlineLevel="0" collapsed="false">
      <c r="A61" s="0" t="s">
        <v>223</v>
      </c>
      <c r="B61" s="23" t="n">
        <v>0.398057052040988</v>
      </c>
      <c r="C61" s="23" t="n">
        <v>0.275904826469972</v>
      </c>
      <c r="D61" s="23" t="n">
        <v>0.32603812148904</v>
      </c>
      <c r="E61" s="23" t="n">
        <v>0.67396187851096</v>
      </c>
      <c r="F61" s="23" t="n">
        <v>0.724095173530028</v>
      </c>
      <c r="G61" s="23" t="n">
        <v>0.601942947959012</v>
      </c>
      <c r="H61" s="23" t="n">
        <v>0.906363183345092</v>
      </c>
      <c r="I61" s="23" t="n">
        <v>0.679425637788126</v>
      </c>
      <c r="J61" s="23" t="n">
        <v>0.417706852250393</v>
      </c>
      <c r="K61" s="23" t="n">
        <v>0.211310290672288</v>
      </c>
      <c r="L61" s="23" t="n">
        <v>0.582293147749607</v>
      </c>
      <c r="M61" s="23" t="n">
        <v>0.474947378010008</v>
      </c>
      <c r="N61" s="23" t="n">
        <v>0.525052621989992</v>
      </c>
      <c r="O61" s="23" t="n">
        <v>0.488656331094699</v>
      </c>
      <c r="P61" s="23" t="n">
        <v>0.695052892672804</v>
      </c>
      <c r="Q61" s="23" t="n">
        <v>0.816415073797958</v>
      </c>
      <c r="R61" s="23" t="n">
        <v>0.468115347115838</v>
      </c>
      <c r="S61" s="23" t="n">
        <v>0.589477528240992</v>
      </c>
      <c r="T61" s="23" t="n">
        <v>0.691571528762167</v>
      </c>
      <c r="U61" s="23" t="n">
        <v>0.579184343375267</v>
      </c>
      <c r="V61" s="23" t="n">
        <v>0.464552544767084</v>
      </c>
      <c r="W61" s="23" t="n">
        <v>0.845884111472439</v>
      </c>
      <c r="X61" s="23" t="n">
        <v>0.714838318435645</v>
      </c>
      <c r="Y61" s="23" t="n">
        <v>0.55924593239218</v>
      </c>
    </row>
    <row r="62" customFormat="false" ht="15" hidden="false" customHeight="false" outlineLevel="0" collapsed="false">
      <c r="A62" s="0" t="s">
        <v>224</v>
      </c>
      <c r="B62" s="23" t="n">
        <v>0.445596013823509</v>
      </c>
      <c r="C62" s="23" t="n">
        <v>0.264075608958079</v>
      </c>
      <c r="D62" s="23" t="n">
        <v>0.290328377218412</v>
      </c>
      <c r="E62" s="23" t="n">
        <v>0.709671622781588</v>
      </c>
      <c r="F62" s="23" t="n">
        <v>0.735924391041921</v>
      </c>
      <c r="G62" s="23" t="n">
        <v>0.554403986176491</v>
      </c>
      <c r="H62" s="23" t="n">
        <v>0.917560651761926</v>
      </c>
      <c r="I62" s="23" t="n">
        <v>0.706633263743484</v>
      </c>
      <c r="J62" s="23" t="n">
        <v>0.450484256514805</v>
      </c>
      <c r="K62" s="23" t="n">
        <v>0.237692680643583</v>
      </c>
      <c r="L62" s="23" t="n">
        <v>0.549515743485195</v>
      </c>
      <c r="M62" s="23" t="n">
        <v>0.495324138928437</v>
      </c>
      <c r="N62" s="23" t="n">
        <v>0.504675861071563</v>
      </c>
      <c r="O62" s="23" t="n">
        <v>0.467076395247121</v>
      </c>
      <c r="P62" s="23" t="n">
        <v>0.679867971118343</v>
      </c>
      <c r="Q62" s="23" t="n">
        <v>0.811682682900119</v>
      </c>
      <c r="R62" s="23" t="n">
        <v>0.468940583099901</v>
      </c>
      <c r="S62" s="23" t="n">
        <v>0.600755294881677</v>
      </c>
      <c r="T62" s="23" t="n">
        <v>0.670887827358673</v>
      </c>
      <c r="U62" s="23" t="n">
        <v>0.555943880910867</v>
      </c>
      <c r="V62" s="23" t="n">
        <v>0.440696971763641</v>
      </c>
      <c r="W62" s="23" t="n">
        <v>0.838173968819697</v>
      </c>
      <c r="X62" s="23" t="n">
        <v>0.703473251924923</v>
      </c>
      <c r="Y62" s="23" t="n">
        <v>0.54570366925696</v>
      </c>
    </row>
    <row r="63" customFormat="false" ht="15" hidden="false" customHeight="false" outlineLevel="0" collapsed="false">
      <c r="A63" s="0" t="s">
        <v>225</v>
      </c>
      <c r="B63" s="23" t="n">
        <v>0.429891761159277</v>
      </c>
      <c r="C63" s="23" t="n">
        <v>0.253264509069587</v>
      </c>
      <c r="D63" s="23" t="n">
        <v>0.316843729771136</v>
      </c>
      <c r="E63" s="23" t="n">
        <v>0.683156270228864</v>
      </c>
      <c r="F63" s="23" t="n">
        <v>0.746735490930413</v>
      </c>
      <c r="G63" s="23" t="n">
        <v>0.570108238840722</v>
      </c>
      <c r="H63" s="23" t="n">
        <v>0.933974562423962</v>
      </c>
      <c r="I63" s="23" t="n">
        <v>0.749242639827518</v>
      </c>
      <c r="J63" s="23" t="n">
        <v>0.505472935553429</v>
      </c>
      <c r="K63" s="23" t="n">
        <v>0.285095918123128</v>
      </c>
      <c r="L63" s="23" t="n">
        <v>0.494527064446571</v>
      </c>
      <c r="M63" s="23" t="n">
        <v>0.542662969232268</v>
      </c>
      <c r="N63" s="23" t="n">
        <v>0.457337030767732</v>
      </c>
      <c r="O63" s="23" t="n">
        <v>0.428501626870533</v>
      </c>
      <c r="P63" s="23" t="n">
        <v>0.648878644300834</v>
      </c>
      <c r="Q63" s="23" t="n">
        <v>0.797430291633234</v>
      </c>
      <c r="R63" s="23" t="n">
        <v>0.46414672170439</v>
      </c>
      <c r="S63" s="23" t="n">
        <v>0.61269836903679</v>
      </c>
      <c r="T63" s="23" t="n">
        <v>0.732519438705319</v>
      </c>
      <c r="U63" s="23" t="n">
        <v>0.626408105226232</v>
      </c>
      <c r="V63" s="23" t="n">
        <v>0.514309291011148</v>
      </c>
      <c r="W63" s="23" t="n">
        <v>0.789515766242899</v>
      </c>
      <c r="X63" s="23" t="n">
        <v>0.635036786907515</v>
      </c>
      <c r="Y63" s="23" t="n">
        <v>0.467855580868893</v>
      </c>
    </row>
    <row r="64" customFormat="false" ht="15" hidden="false" customHeight="false" outlineLevel="0" collapsed="false">
      <c r="A64" s="0" t="s">
        <v>226</v>
      </c>
      <c r="B64" s="23" t="n">
        <v>0.424688896181804</v>
      </c>
      <c r="C64" s="23" t="n">
        <v>0.267687943243933</v>
      </c>
      <c r="D64" s="23" t="n">
        <v>0.307623160574263</v>
      </c>
      <c r="E64" s="23" t="n">
        <v>0.692376839425737</v>
      </c>
      <c r="F64" s="23" t="n">
        <v>0.732312056756067</v>
      </c>
      <c r="G64" s="23" t="n">
        <v>0.575311103818196</v>
      </c>
      <c r="H64" s="23" t="n">
        <v>0.915291856063116</v>
      </c>
      <c r="I64" s="23" t="n">
        <v>0.700977161947578</v>
      </c>
      <c r="J64" s="23" t="n">
        <v>0.443538154956882</v>
      </c>
      <c r="K64" s="23" t="n">
        <v>0.231986807365407</v>
      </c>
      <c r="L64" s="23" t="n">
        <v>0.556461845043118</v>
      </c>
      <c r="M64" s="23" t="n">
        <v>0.493083394256738</v>
      </c>
      <c r="N64" s="23" t="n">
        <v>0.506916605743262</v>
      </c>
      <c r="O64" s="23" t="n">
        <v>0.471753701106234</v>
      </c>
      <c r="P64" s="23" t="n">
        <v>0.683305048697709</v>
      </c>
      <c r="Q64" s="23" t="n">
        <v>0.81292921818265</v>
      </c>
      <c r="R64" s="23" t="n">
        <v>0.468990354582171</v>
      </c>
      <c r="S64" s="23" t="n">
        <v>0.598614524067112</v>
      </c>
      <c r="T64" s="23" t="n">
        <v>0.583833228010931</v>
      </c>
      <c r="U64" s="23" t="n">
        <v>0.462283385335563</v>
      </c>
      <c r="V64" s="23" t="n">
        <v>0.348606626714491</v>
      </c>
      <c r="W64" s="23" t="n">
        <v>0.817855084037872</v>
      </c>
      <c r="X64" s="23" t="n">
        <v>0.674234431292367</v>
      </c>
      <c r="Y64" s="23" t="n">
        <v>0.511689067590325</v>
      </c>
    </row>
    <row r="65" customFormat="false" ht="15" hidden="false" customHeight="false" outlineLevel="0" collapsed="false">
      <c r="A65" s="0" t="s">
        <v>227</v>
      </c>
      <c r="B65" s="23" t="n">
        <v>0.48664916245173</v>
      </c>
      <c r="C65" s="23" t="n">
        <v>0.260249364276429</v>
      </c>
      <c r="D65" s="23" t="n">
        <v>0.253101473271841</v>
      </c>
      <c r="E65" s="23" t="n">
        <v>0.746898526728159</v>
      </c>
      <c r="F65" s="23" t="n">
        <v>0.739750635723571</v>
      </c>
      <c r="G65" s="23" t="n">
        <v>0.51335083754827</v>
      </c>
      <c r="H65" s="23" t="n">
        <v>0.91519931007707</v>
      </c>
      <c r="I65" s="23" t="n">
        <v>0.700908406654697</v>
      </c>
      <c r="J65" s="23" t="n">
        <v>0.443397732230266</v>
      </c>
      <c r="K65" s="23" t="n">
        <v>0.231872022205417</v>
      </c>
      <c r="L65" s="23" t="n">
        <v>0.556602267769734</v>
      </c>
      <c r="M65" s="23" t="n">
        <v>0.479611479914901</v>
      </c>
      <c r="N65" s="23" t="n">
        <v>0.520388520085099</v>
      </c>
      <c r="O65" s="23" t="n">
        <v>0.471801577846804</v>
      </c>
      <c r="P65" s="23" t="n">
        <v>0.683327287871654</v>
      </c>
      <c r="Q65" s="23" t="n">
        <v>0.812907100379441</v>
      </c>
      <c r="R65" s="23" t="n">
        <v>0.469036384449281</v>
      </c>
      <c r="S65" s="23" t="n">
        <v>0.598616196957068</v>
      </c>
      <c r="T65" s="23" t="n">
        <v>0.761964856532384</v>
      </c>
      <c r="U65" s="23" t="n">
        <v>0.661430630175929</v>
      </c>
      <c r="V65" s="23" t="n">
        <v>0.552365073060153</v>
      </c>
      <c r="W65" s="23" t="n">
        <v>0.823314414055353</v>
      </c>
      <c r="X65" s="23" t="n">
        <v>0.681992615640939</v>
      </c>
      <c r="Y65" s="23" t="n">
        <v>0.520601305522103</v>
      </c>
    </row>
    <row r="66" customFormat="false" ht="15" hidden="false" customHeight="false" outlineLevel="0" collapsed="false">
      <c r="A66" s="0" t="s">
        <v>228</v>
      </c>
      <c r="B66" s="23" t="n">
        <v>0.461683183401895</v>
      </c>
      <c r="C66" s="23" t="n">
        <v>0.276778128596004</v>
      </c>
      <c r="D66" s="23" t="n">
        <v>0.2615386880021</v>
      </c>
      <c r="E66" s="23" t="n">
        <v>0.7384613119979</v>
      </c>
      <c r="F66" s="23" t="n">
        <v>0.723221871403996</v>
      </c>
      <c r="G66" s="23" t="n">
        <v>0.538316816598104</v>
      </c>
      <c r="H66" s="23" t="n">
        <v>0.896131703957303</v>
      </c>
      <c r="I66" s="23" t="n">
        <v>0.655969647591675</v>
      </c>
      <c r="J66" s="23" t="n">
        <v>0.390698117785273</v>
      </c>
      <c r="K66" s="23" t="n">
        <v>0.19059487129436</v>
      </c>
      <c r="L66" s="23" t="n">
        <v>0.609301882214727</v>
      </c>
      <c r="M66" s="23" t="n">
        <v>0.44128954688148</v>
      </c>
      <c r="N66" s="23" t="n">
        <v>0.55871045311852</v>
      </c>
      <c r="O66" s="23" t="n">
        <v>0.50543358617203</v>
      </c>
      <c r="P66" s="23" t="n">
        <v>0.705536832662943</v>
      </c>
      <c r="Q66" s="23" t="n">
        <v>0.818101938553411</v>
      </c>
      <c r="R66" s="23" t="n">
        <v>0.465374776297314</v>
      </c>
      <c r="S66" s="23" t="n">
        <v>0.577939882187782</v>
      </c>
      <c r="T66" s="23" t="n">
        <v>0.625035087693308</v>
      </c>
      <c r="U66" s="23" t="n">
        <v>0.505801072716562</v>
      </c>
      <c r="V66" s="23" t="n">
        <v>0.390599066286656</v>
      </c>
      <c r="W66" s="23" t="n">
        <v>0.740103479552478</v>
      </c>
      <c r="X66" s="23" t="n">
        <v>0.570575814767835</v>
      </c>
      <c r="Y66" s="23" t="n">
        <v>0.399849299430654</v>
      </c>
    </row>
    <row r="67" customFormat="false" ht="15" hidden="false" customHeight="false" outlineLevel="0" collapsed="false">
      <c r="A67" s="0" t="s">
        <v>229</v>
      </c>
      <c r="B67" s="23" t="n">
        <v>0.598493345102832</v>
      </c>
      <c r="C67" s="23" t="n">
        <v>0.220000443716259</v>
      </c>
      <c r="D67" s="23" t="n">
        <v>0.181506211180909</v>
      </c>
      <c r="E67" s="23" t="n">
        <v>0.818493788819091</v>
      </c>
      <c r="F67" s="23" t="n">
        <v>0.779999556283741</v>
      </c>
      <c r="G67" s="23" t="n">
        <v>0.401506654897168</v>
      </c>
      <c r="H67" s="23" t="n">
        <v>0.939303439333494</v>
      </c>
      <c r="I67" s="23" t="n">
        <v>0.764527412229029</v>
      </c>
      <c r="J67" s="23" t="n">
        <v>0.526147900307121</v>
      </c>
      <c r="K67" s="23" t="n">
        <v>0.303969756244684</v>
      </c>
      <c r="L67" s="23" t="n">
        <v>0.473852099692879</v>
      </c>
      <c r="M67" s="23" t="n">
        <v>0.505599498703513</v>
      </c>
      <c r="N67" s="23" t="n">
        <v>0.494400501296487</v>
      </c>
      <c r="O67" s="23" t="n">
        <v>0.413155539026374</v>
      </c>
      <c r="P67" s="23" t="n">
        <v>0.63533368308881</v>
      </c>
      <c r="Q67" s="23" t="n">
        <v>0.789836655481569</v>
      </c>
      <c r="R67" s="23" t="n">
        <v>0.460557655984345</v>
      </c>
      <c r="S67" s="23" t="n">
        <v>0.615060628377104</v>
      </c>
      <c r="T67" s="23" t="n">
        <v>0.67996156739269</v>
      </c>
      <c r="U67" s="23" t="n">
        <v>0.566090235464568</v>
      </c>
      <c r="V67" s="23" t="n">
        <v>0.451061599455107</v>
      </c>
      <c r="W67" s="23" t="n">
        <v>0.859563275747447</v>
      </c>
      <c r="X67" s="23" t="n">
        <v>0.735394963586668</v>
      </c>
      <c r="Y67" s="23" t="n">
        <v>0.584218933004192</v>
      </c>
    </row>
    <row r="68" customFormat="false" ht="15" hidden="false" customHeight="false" outlineLevel="0" collapsed="false">
      <c r="A68" s="0" t="s">
        <v>230</v>
      </c>
      <c r="B68" s="23" t="n">
        <v>0.561107830937974</v>
      </c>
      <c r="C68" s="23" t="n">
        <v>0.246092514258452</v>
      </c>
      <c r="D68" s="23" t="n">
        <v>0.192799654803574</v>
      </c>
      <c r="E68" s="23" t="n">
        <v>0.807200345196426</v>
      </c>
      <c r="F68" s="23" t="n">
        <v>0.753907485741548</v>
      </c>
      <c r="G68" s="23" t="n">
        <v>0.438892169062026</v>
      </c>
      <c r="H68" s="23" t="n">
        <v>0.913714273984516</v>
      </c>
      <c r="I68" s="23" t="n">
        <v>0.697601852320267</v>
      </c>
      <c r="J68" s="23" t="n">
        <v>0.439246005560194</v>
      </c>
      <c r="K68" s="23" t="n">
        <v>0.228491799081158</v>
      </c>
      <c r="L68" s="23" t="n">
        <v>0.560753994439806</v>
      </c>
      <c r="M68" s="23" t="n">
        <v>0.447973894068609</v>
      </c>
      <c r="N68" s="23" t="n">
        <v>0.552026105931391</v>
      </c>
      <c r="O68" s="23" t="n">
        <v>0.474468268424322</v>
      </c>
      <c r="P68" s="23" t="n">
        <v>0.685222474903359</v>
      </c>
      <c r="Q68" s="23" t="n">
        <v>0.813486283268034</v>
      </c>
      <c r="R68" s="23" t="n">
        <v>0.46911005323911</v>
      </c>
      <c r="S68" s="23" t="n">
        <v>0.597373861603785</v>
      </c>
      <c r="T68" s="23" t="n">
        <v>0.606501709808455</v>
      </c>
      <c r="U68" s="23" t="n">
        <v>0.486050544055165</v>
      </c>
      <c r="V68" s="23" t="n">
        <v>0.371371308650266</v>
      </c>
      <c r="W68" s="23" t="n">
        <v>0.850157413989886</v>
      </c>
      <c r="X68" s="23" t="n">
        <v>0.721204939984345</v>
      </c>
      <c r="Y68" s="23" t="n">
        <v>0.566913534578616</v>
      </c>
    </row>
    <row r="69" customFormat="false" ht="15" hidden="false" customHeight="false" outlineLevel="0" collapsed="false">
      <c r="A69" s="0" t="s">
        <v>231</v>
      </c>
      <c r="B69" s="23" t="n">
        <v>0.48214574649626</v>
      </c>
      <c r="C69" s="23" t="n">
        <v>0.253305372164891</v>
      </c>
      <c r="D69" s="23" t="n">
        <v>0.264548881338849</v>
      </c>
      <c r="E69" s="23" t="n">
        <v>0.735451118661151</v>
      </c>
      <c r="F69" s="23" t="n">
        <v>0.746694627835109</v>
      </c>
      <c r="G69" s="23" t="n">
        <v>0.51785425350374</v>
      </c>
      <c r="H69" s="23" t="n">
        <v>0.926123914535262</v>
      </c>
      <c r="I69" s="23" t="n">
        <v>0.728505530958109</v>
      </c>
      <c r="J69" s="23" t="n">
        <v>0.478096892671608</v>
      </c>
      <c r="K69" s="23" t="n">
        <v>0.260995768923087</v>
      </c>
      <c r="L69" s="23" t="n">
        <v>0.521903107328392</v>
      </c>
      <c r="M69" s="23" t="n">
        <v>0.509962510421435</v>
      </c>
      <c r="N69" s="23" t="n">
        <v>0.490037489578566</v>
      </c>
      <c r="O69" s="23" t="n">
        <v>0.448027021863654</v>
      </c>
      <c r="P69" s="23" t="n">
        <v>0.665128145612175</v>
      </c>
      <c r="Q69" s="23" t="n">
        <v>0.805494171589327</v>
      </c>
      <c r="R69" s="23" t="n">
        <v>0.467509762035022</v>
      </c>
      <c r="S69" s="23" t="n">
        <v>0.607875788012174</v>
      </c>
      <c r="T69" s="23" t="n">
        <v>0.705438001696561</v>
      </c>
      <c r="U69" s="23" t="n">
        <v>0.594991273720897</v>
      </c>
      <c r="V69" s="23" t="n">
        <v>0.481013383755684</v>
      </c>
      <c r="W69" s="23" t="n">
        <v>0.761884083192991</v>
      </c>
      <c r="X69" s="23" t="n">
        <v>0.598420285530303</v>
      </c>
      <c r="Y69" s="23" t="n">
        <v>0.428626309674992</v>
      </c>
    </row>
    <row r="70" customFormat="false" ht="15" hidden="false" customHeight="false" outlineLevel="0" collapsed="false">
      <c r="A70" s="0" t="s">
        <v>232</v>
      </c>
      <c r="B70" s="23" t="n">
        <v>0.47633065914055</v>
      </c>
      <c r="C70" s="23" t="n">
        <v>0.252837825049394</v>
      </c>
      <c r="D70" s="23" t="n">
        <v>0.270831515810055</v>
      </c>
      <c r="E70" s="23" t="n">
        <v>0.729168484189945</v>
      </c>
      <c r="F70" s="23" t="n">
        <v>0.747162174950606</v>
      </c>
      <c r="G70" s="23" t="n">
        <v>0.52366934085945</v>
      </c>
      <c r="H70" s="23" t="n">
        <v>0.927916593662331</v>
      </c>
      <c r="I70" s="23" t="n">
        <v>0.733171162620756</v>
      </c>
      <c r="J70" s="23" t="n">
        <v>0.484155207711208</v>
      </c>
      <c r="K70" s="23" t="n">
        <v>0.266242747828279</v>
      </c>
      <c r="L70" s="23" t="n">
        <v>0.515844792288792</v>
      </c>
      <c r="M70" s="23" t="n">
        <v>0.516465291965736</v>
      </c>
      <c r="N70" s="23" t="n">
        <v>0.483534708034264</v>
      </c>
      <c r="O70" s="23" t="n">
        <v>0.443761385951123</v>
      </c>
      <c r="P70" s="23" t="n">
        <v>0.661673845834052</v>
      </c>
      <c r="Q70" s="23" t="n">
        <v>0.803878603641571</v>
      </c>
      <c r="R70" s="23" t="n">
        <v>0.466928414792477</v>
      </c>
      <c r="S70" s="23" t="n">
        <v>0.609133172599996</v>
      </c>
      <c r="T70" s="23" t="n">
        <v>0.670080970728574</v>
      </c>
      <c r="U70" s="23" t="n">
        <v>0.555045308189119</v>
      </c>
      <c r="V70" s="23" t="n">
        <v>0.43978279947896</v>
      </c>
      <c r="W70" s="23" t="n">
        <v>0.775107034701774</v>
      </c>
      <c r="X70" s="23" t="n">
        <v>0.615755612126732</v>
      </c>
      <c r="Y70" s="23" t="n">
        <v>0.446998130537452</v>
      </c>
    </row>
    <row r="71" customFormat="false" ht="15" hidden="false" customHeight="false" outlineLevel="0" collapsed="false">
      <c r="A71" s="0" t="s">
        <v>233</v>
      </c>
      <c r="B71" s="23" t="n">
        <v>0.499352864426719</v>
      </c>
      <c r="C71" s="23" t="n">
        <v>0.25012926221857</v>
      </c>
      <c r="D71" s="23" t="n">
        <v>0.250517873354711</v>
      </c>
      <c r="E71" s="23" t="n">
        <v>0.749482126645289</v>
      </c>
      <c r="F71" s="23" t="n">
        <v>0.74987073778143</v>
      </c>
      <c r="G71" s="23" t="n">
        <v>0.500647135573281</v>
      </c>
      <c r="H71" s="23" t="n">
        <v>0.926813814100854</v>
      </c>
      <c r="I71" s="23" t="n">
        <v>0.730357763392843</v>
      </c>
      <c r="J71" s="23" t="n">
        <v>0.480472970183316</v>
      </c>
      <c r="K71" s="23" t="n">
        <v>0.263047783860416</v>
      </c>
      <c r="L71" s="23" t="n">
        <v>0.519527029816684</v>
      </c>
      <c r="M71" s="23" t="n">
        <v>0.507105364735342</v>
      </c>
      <c r="N71" s="23" t="n">
        <v>0.492894635264658</v>
      </c>
      <c r="O71" s="23" t="n">
        <v>0.446340843917538</v>
      </c>
      <c r="P71" s="23" t="n">
        <v>0.663766030240438</v>
      </c>
      <c r="Q71" s="23" t="n">
        <v>0.804854995294494</v>
      </c>
      <c r="R71" s="23" t="n">
        <v>0.467309979532427</v>
      </c>
      <c r="S71" s="23" t="n">
        <v>0.608398944586483</v>
      </c>
      <c r="T71" s="23" t="n">
        <v>0.642428434367044</v>
      </c>
      <c r="U71" s="23" t="n">
        <v>0.524603840610751</v>
      </c>
      <c r="V71" s="23" t="n">
        <v>0.409167931939842</v>
      </c>
      <c r="W71" s="23" t="n">
        <v>0.805505151191084</v>
      </c>
      <c r="X71" s="23" t="n">
        <v>0.65693643033247</v>
      </c>
      <c r="Y71" s="23" t="n">
        <v>0.492103121587286</v>
      </c>
    </row>
    <row r="72" customFormat="false" ht="15" hidden="false" customHeight="false" outlineLevel="0" collapsed="false">
      <c r="A72" s="0" t="s">
        <v>234</v>
      </c>
      <c r="B72" s="23" t="n">
        <v>0.48396440421835</v>
      </c>
      <c r="C72" s="23" t="n">
        <v>0.259502081945547</v>
      </c>
      <c r="D72" s="23" t="n">
        <v>0.256533513836103</v>
      </c>
      <c r="E72" s="23" t="n">
        <v>0.743466486163897</v>
      </c>
      <c r="F72" s="23" t="n">
        <v>0.740497918054453</v>
      </c>
      <c r="G72" s="23" t="n">
        <v>0.51603559578165</v>
      </c>
      <c r="H72" s="23" t="n">
        <v>0.916904779216458</v>
      </c>
      <c r="I72" s="23" t="n">
        <v>0.705110382497029</v>
      </c>
      <c r="J72" s="23" t="n">
        <v>0.448564804931194</v>
      </c>
      <c r="K72" s="23" t="n">
        <v>0.236109659233399</v>
      </c>
      <c r="L72" s="23" t="n">
        <v>0.551435195068806</v>
      </c>
      <c r="M72" s="23" t="n">
        <v>0.484739135333548</v>
      </c>
      <c r="N72" s="23" t="n">
        <v>0.515260864666452</v>
      </c>
      <c r="O72" s="23" t="n">
        <v>0.468339974285264</v>
      </c>
      <c r="P72" s="23" t="n">
        <v>0.68079511998306</v>
      </c>
      <c r="Q72" s="23" t="n">
        <v>0.812006019704946</v>
      </c>
      <c r="R72" s="23" t="n">
        <v>0.46900072326363</v>
      </c>
      <c r="S72" s="23" t="n">
        <v>0.600211622985516</v>
      </c>
      <c r="T72" s="23" t="n">
        <v>0.639963655524684</v>
      </c>
      <c r="U72" s="23" t="n">
        <v>0.521923374830666</v>
      </c>
      <c r="V72" s="23" t="n">
        <v>0.406504996332883</v>
      </c>
      <c r="W72" s="23" t="n">
        <v>0.816273677848373</v>
      </c>
      <c r="X72" s="23" t="n">
        <v>0.672000089225513</v>
      </c>
      <c r="Y72" s="23" t="n">
        <v>0.509137194194868</v>
      </c>
    </row>
    <row r="73" customFormat="false" ht="15" hidden="false" customHeight="false" outlineLevel="0" collapsed="false">
      <c r="A73" s="0" t="s">
        <v>235</v>
      </c>
      <c r="B73" s="23" t="n">
        <v>0.656706758754522</v>
      </c>
      <c r="C73" s="23" t="n">
        <v>0.203863112994046</v>
      </c>
      <c r="D73" s="23" t="n">
        <v>0.139430128251431</v>
      </c>
      <c r="E73" s="23" t="n">
        <v>0.860569871748569</v>
      </c>
      <c r="F73" s="23" t="n">
        <v>0.796136887005953</v>
      </c>
      <c r="G73" s="23" t="n">
        <v>0.343293241245477</v>
      </c>
      <c r="H73" s="23" t="n">
        <v>0.937334119996593</v>
      </c>
      <c r="I73" s="23" t="n">
        <v>0.759432033169033</v>
      </c>
      <c r="J73" s="23" t="n">
        <v>0.518969190642772</v>
      </c>
      <c r="K73" s="23" t="n">
        <v>0.297348590727448</v>
      </c>
      <c r="L73" s="23" t="n">
        <v>0.481030809357228</v>
      </c>
      <c r="M73" s="23" t="n">
        <v>0.463688511809297</v>
      </c>
      <c r="N73" s="23" t="n">
        <v>0.536311488190703</v>
      </c>
      <c r="O73" s="23" t="n">
        <v>0.418364929353821</v>
      </c>
      <c r="P73" s="23" t="n">
        <v>0.639985529269145</v>
      </c>
      <c r="Q73" s="23" t="n">
        <v>0.792448152898918</v>
      </c>
      <c r="R73" s="23" t="n">
        <v>0.462083442441585</v>
      </c>
      <c r="S73" s="23" t="n">
        <v>0.614546066071358</v>
      </c>
      <c r="T73" s="23" t="n">
        <v>0.70197925317048</v>
      </c>
      <c r="U73" s="23" t="n">
        <v>0.591031167796861</v>
      </c>
      <c r="V73" s="23" t="n">
        <v>0.476871357235875</v>
      </c>
      <c r="W73" s="23" t="n">
        <v>0.766271957502544</v>
      </c>
      <c r="X73" s="23" t="n">
        <v>0.604135694880758</v>
      </c>
      <c r="Y73" s="23" t="n">
        <v>0.434644209645808</v>
      </c>
    </row>
    <row r="74" customFormat="false" ht="15" hidden="false" customHeight="false" outlineLevel="0" collapsed="false">
      <c r="A74" s="0" t="s">
        <v>236</v>
      </c>
      <c r="B74" s="23" t="n">
        <v>0.661764499713578</v>
      </c>
      <c r="C74" s="23" t="n">
        <v>0.205916025561594</v>
      </c>
      <c r="D74" s="23" t="n">
        <v>0.132319474724828</v>
      </c>
      <c r="E74" s="23" t="n">
        <v>0.867680525275172</v>
      </c>
      <c r="F74" s="23" t="n">
        <v>0.794083974438406</v>
      </c>
      <c r="G74" s="23" t="n">
        <v>0.338235500286423</v>
      </c>
      <c r="H74" s="23" t="n">
        <v>0.931016382764407</v>
      </c>
      <c r="I74" s="23" t="n">
        <v>0.742341381195933</v>
      </c>
      <c r="J74" s="23" t="n">
        <v>0.495865253059697</v>
      </c>
      <c r="K74" s="23" t="n">
        <v>0.276521780529985</v>
      </c>
      <c r="L74" s="23" t="n">
        <v>0.504134746940303</v>
      </c>
      <c r="M74" s="23" t="n">
        <v>0.438918074144141</v>
      </c>
      <c r="N74" s="23" t="n">
        <v>0.56108192585586</v>
      </c>
      <c r="O74" s="23" t="n">
        <v>0.43515112970471</v>
      </c>
      <c r="P74" s="23" t="n">
        <v>0.654494602234422</v>
      </c>
      <c r="Q74" s="23" t="n">
        <v>0.800212174923728</v>
      </c>
      <c r="R74" s="23" t="n">
        <v>0.465819600665948</v>
      </c>
      <c r="S74" s="23" t="n">
        <v>0.611537173355255</v>
      </c>
      <c r="T74" s="23" t="n">
        <v>0.816521308268093</v>
      </c>
      <c r="U74" s="23" t="n">
        <v>0.728948119371647</v>
      </c>
      <c r="V74" s="23" t="n">
        <v>0.628714908288538</v>
      </c>
      <c r="W74" s="23" t="n">
        <v>0.799146799040523</v>
      </c>
      <c r="X74" s="23" t="n">
        <v>0.648162448808867</v>
      </c>
      <c r="Y74" s="23" t="n">
        <v>0.482315989134822</v>
      </c>
    </row>
    <row r="75" customFormat="false" ht="15" hidden="false" customHeight="false" outlineLevel="0" collapsed="false">
      <c r="A75" s="0" t="s">
        <v>237</v>
      </c>
      <c r="B75" s="23" t="n">
        <v>0.63159117064212</v>
      </c>
      <c r="C75" s="23" t="n">
        <v>0.22640729277741</v>
      </c>
      <c r="D75" s="23" t="n">
        <v>0.14200153658047</v>
      </c>
      <c r="E75" s="23" t="n">
        <v>0.85799846341953</v>
      </c>
      <c r="F75" s="23" t="n">
        <v>0.77359270722259</v>
      </c>
      <c r="G75" s="23" t="n">
        <v>0.36840882935788</v>
      </c>
      <c r="H75" s="23" t="n">
        <v>0.912909980196951</v>
      </c>
      <c r="I75" s="23" t="n">
        <v>0.696106950933686</v>
      </c>
      <c r="J75" s="23" t="n">
        <v>0.437266039805861</v>
      </c>
      <c r="K75" s="23" t="n">
        <v>0.226887250273797</v>
      </c>
      <c r="L75" s="23" t="n">
        <v>0.56273396019414</v>
      </c>
      <c r="M75" s="23" t="n">
        <v>0.406249530445393</v>
      </c>
      <c r="N75" s="23" t="n">
        <v>0.593750469554607</v>
      </c>
      <c r="O75" s="23" t="n">
        <v>0.475643940391091</v>
      </c>
      <c r="P75" s="23" t="n">
        <v>0.686022729923154</v>
      </c>
      <c r="Q75" s="23" t="n">
        <v>0.813657526989605</v>
      </c>
      <c r="R75" s="23" t="n">
        <v>0.469219700659889</v>
      </c>
      <c r="S75" s="23" t="n">
        <v>0.59685449772634</v>
      </c>
      <c r="T75" s="23" t="n">
        <v>0.74000367122085</v>
      </c>
      <c r="U75" s="23" t="n">
        <v>0.635222283924683</v>
      </c>
      <c r="V75" s="23" t="n">
        <v>0.523792077397214</v>
      </c>
      <c r="W75" s="23" t="n">
        <v>0.706952360936069</v>
      </c>
      <c r="X75" s="23" t="n">
        <v>0.529781770636889</v>
      </c>
      <c r="Y75" s="23" t="n">
        <v>0.359263638068855</v>
      </c>
    </row>
    <row r="76" customFormat="false" ht="15" hidden="false" customHeight="false" outlineLevel="0" collapsed="false">
      <c r="A76" s="0" t="s">
        <v>238</v>
      </c>
      <c r="B76" s="23" t="n">
        <v>0.766284499267028</v>
      </c>
      <c r="C76" s="23" t="n">
        <v>0.150542257692616</v>
      </c>
      <c r="D76" s="23" t="n">
        <v>0.0831732430403562</v>
      </c>
      <c r="E76" s="23" t="n">
        <v>0.916826756959643</v>
      </c>
      <c r="F76" s="23" t="n">
        <v>0.849457742307384</v>
      </c>
      <c r="G76" s="23" t="n">
        <v>0.233715500732972</v>
      </c>
      <c r="H76" s="23" t="n">
        <v>0.957149641678918</v>
      </c>
      <c r="I76" s="23" t="n">
        <v>0.81864572848337</v>
      </c>
      <c r="J76" s="23" t="n">
        <v>0.605369542372554</v>
      </c>
      <c r="K76" s="23" t="n">
        <v>0.38193261084985</v>
      </c>
      <c r="L76" s="23" t="n">
        <v>0.394630457627447</v>
      </c>
      <c r="M76" s="23" t="n">
        <v>0.447760686849764</v>
      </c>
      <c r="N76" s="23" t="n">
        <v>0.552239313150236</v>
      </c>
      <c r="O76" s="23" t="n">
        <v>0.351780099306364</v>
      </c>
      <c r="P76" s="23" t="n">
        <v>0.575217030829068</v>
      </c>
      <c r="Q76" s="23" t="n">
        <v>0.750081023408082</v>
      </c>
      <c r="R76" s="23" t="n">
        <v>0.43671311763352</v>
      </c>
      <c r="S76" s="23" t="n">
        <v>0.611577110212535</v>
      </c>
      <c r="T76" s="23" t="n">
        <v>0.802576788712554</v>
      </c>
      <c r="U76" s="23" t="n">
        <v>0.711341945078331</v>
      </c>
      <c r="V76" s="23" t="n">
        <v>0.608407623629399</v>
      </c>
      <c r="W76" s="23" t="n">
        <v>0.841519471189695</v>
      </c>
      <c r="X76" s="23" t="n">
        <v>0.708385676736845</v>
      </c>
      <c r="Y76" s="23" t="n">
        <v>0.551534557620667</v>
      </c>
    </row>
    <row r="77" customFormat="false" ht="15" hidden="false" customHeight="false" outlineLevel="0" collapsed="false">
      <c r="A77" s="0" t="s">
        <v>239</v>
      </c>
      <c r="B77" s="23" t="n">
        <v>0.472840254933894</v>
      </c>
      <c r="C77" s="23" t="n">
        <v>0.259237381684227</v>
      </c>
      <c r="D77" s="23" t="n">
        <v>0.267922363381879</v>
      </c>
      <c r="E77" s="23" t="n">
        <v>0.732077636618121</v>
      </c>
      <c r="F77" s="23" t="n">
        <v>0.740762618315773</v>
      </c>
      <c r="G77" s="23" t="n">
        <v>0.527159745066106</v>
      </c>
      <c r="H77" s="23" t="n">
        <v>0.919637648601053</v>
      </c>
      <c r="I77" s="23" t="n">
        <v>0.711898568986548</v>
      </c>
      <c r="J77" s="23" t="n">
        <v>0.457007738244829</v>
      </c>
      <c r="K77" s="23" t="n">
        <v>0.243108209018052</v>
      </c>
      <c r="L77" s="23" t="n">
        <v>0.542992261755171</v>
      </c>
      <c r="M77" s="23" t="n">
        <v>0.49476544140954</v>
      </c>
      <c r="N77" s="23" t="n">
        <v>0.50523455859046</v>
      </c>
      <c r="O77" s="23" t="n">
        <v>0.462629910356224</v>
      </c>
      <c r="P77" s="23" t="n">
        <v>0.676529439583001</v>
      </c>
      <c r="Q77" s="23" t="n">
        <v>0.810387873219712</v>
      </c>
      <c r="R77" s="23" t="n">
        <v>0.468790359968496</v>
      </c>
      <c r="S77" s="23" t="n">
        <v>0.602648793605207</v>
      </c>
      <c r="T77" s="23" t="n">
        <v>0.705060432703891</v>
      </c>
      <c r="U77" s="23" t="n">
        <v>0.594558409303</v>
      </c>
      <c r="V77" s="23" t="n">
        <v>0.480560042332796</v>
      </c>
      <c r="W77" s="23" t="n">
        <v>0.785052680828423</v>
      </c>
      <c r="X77" s="23" t="n">
        <v>0.629019660761983</v>
      </c>
      <c r="Y77" s="23" t="n">
        <v>0.461297939060468</v>
      </c>
    </row>
    <row r="78" customFormat="false" ht="15" hidden="false" customHeight="false" outlineLevel="0" collapsed="false">
      <c r="A78" s="0" t="s">
        <v>240</v>
      </c>
      <c r="B78" s="23" t="n">
        <v>0.770290783786222</v>
      </c>
      <c r="C78" s="23" t="n">
        <v>0.14852375044515</v>
      </c>
      <c r="D78" s="23" t="n">
        <v>0.081185465768628</v>
      </c>
      <c r="E78" s="23" t="n">
        <v>0.918814534231372</v>
      </c>
      <c r="F78" s="23" t="n">
        <v>0.851476249554851</v>
      </c>
      <c r="G78" s="23" t="n">
        <v>0.229709216213778</v>
      </c>
      <c r="H78" s="23" t="n">
        <v>0.957664003917621</v>
      </c>
      <c r="I78" s="23" t="n">
        <v>0.820306063965283</v>
      </c>
      <c r="J78" s="23" t="n">
        <v>0.607955069493217</v>
      </c>
      <c r="K78" s="23" t="n">
        <v>0.384635055903891</v>
      </c>
      <c r="L78" s="23" t="n">
        <v>0.392044930506783</v>
      </c>
      <c r="M78" s="23" t="n">
        <v>0.445792544492652</v>
      </c>
      <c r="N78" s="23" t="n">
        <v>0.554207455507348</v>
      </c>
      <c r="O78" s="23" t="n">
        <v>0.349708934424404</v>
      </c>
      <c r="P78" s="23" t="n">
        <v>0.57302894801373</v>
      </c>
      <c r="Q78" s="23" t="n">
        <v>0.748477407462069</v>
      </c>
      <c r="R78" s="23" t="n">
        <v>0.435671008061392</v>
      </c>
      <c r="S78" s="23" t="n">
        <v>0.611119467509732</v>
      </c>
      <c r="T78" s="23" t="n">
        <v>0.741130765957815</v>
      </c>
      <c r="U78" s="23" t="n">
        <v>0.636554746194548</v>
      </c>
      <c r="V78" s="23" t="n">
        <v>0.525231099289722</v>
      </c>
      <c r="W78" s="23" t="n">
        <v>0.779963579638594</v>
      </c>
      <c r="X78" s="23" t="n">
        <v>0.622207895440067</v>
      </c>
      <c r="Y78" s="23" t="n">
        <v>0.453927669338941</v>
      </c>
    </row>
    <row r="79" customFormat="false" ht="15" hidden="false" customHeight="false" outlineLevel="0" collapsed="false">
      <c r="A79" s="0" t="s">
        <v>241</v>
      </c>
      <c r="B79" s="23" t="n">
        <v>0.315487972235046</v>
      </c>
      <c r="C79" s="23" t="n">
        <v>0.249894435047321</v>
      </c>
      <c r="D79" s="23" t="n">
        <v>0.434617592717633</v>
      </c>
      <c r="E79" s="23" t="n">
        <v>0.565382407282367</v>
      </c>
      <c r="F79" s="23" t="n">
        <v>0.750105564952679</v>
      </c>
      <c r="G79" s="23" t="n">
        <v>0.684512027764954</v>
      </c>
      <c r="H79" s="23" t="n">
        <v>0.937776047312259</v>
      </c>
      <c r="I79" s="23" t="n">
        <v>0.759688236493</v>
      </c>
      <c r="J79" s="23" t="n">
        <v>0.519675369504936</v>
      </c>
      <c r="K79" s="23" t="n">
        <v>0.297998448923772</v>
      </c>
      <c r="L79" s="23" t="n">
        <v>0.480324630495064</v>
      </c>
      <c r="M79" s="23" t="n">
        <v>0.553409569229142</v>
      </c>
      <c r="N79" s="23" t="n">
        <v>0.446590430770859</v>
      </c>
      <c r="O79" s="23" t="n">
        <v>0.418100677807323</v>
      </c>
      <c r="P79" s="23" t="n">
        <v>0.639777598388487</v>
      </c>
      <c r="Q79" s="23" t="n">
        <v>0.792440264810426</v>
      </c>
      <c r="R79" s="23" t="n">
        <v>0.461689787569228</v>
      </c>
      <c r="S79" s="23" t="n">
        <v>0.614352453991167</v>
      </c>
      <c r="T79" s="23" t="n">
        <v>0.656045183620279</v>
      </c>
      <c r="U79" s="23" t="n">
        <v>0.539508532538913</v>
      </c>
      <c r="V79" s="23" t="n">
        <v>0.42407165911097</v>
      </c>
      <c r="W79" s="23" t="n">
        <v>0.765796728449879</v>
      </c>
      <c r="X79" s="23" t="n">
        <v>0.603514925417034</v>
      </c>
      <c r="Y79" s="23" t="n">
        <v>0.433988727725352</v>
      </c>
    </row>
    <row r="80" customFormat="false" ht="15" hidden="false" customHeight="false" outlineLevel="0" collapsed="false">
      <c r="A80" s="0" t="s">
        <v>242</v>
      </c>
      <c r="B80" s="23" t="n">
        <v>0.377280149274393</v>
      </c>
      <c r="C80" s="23" t="n">
        <v>0.255309996658155</v>
      </c>
      <c r="D80" s="23" t="n">
        <v>0.367409854067452</v>
      </c>
      <c r="E80" s="23" t="n">
        <v>0.632590145932548</v>
      </c>
      <c r="F80" s="23" t="n">
        <v>0.744690003341845</v>
      </c>
      <c r="G80" s="23" t="n">
        <v>0.622719850725608</v>
      </c>
      <c r="H80" s="23" t="n">
        <v>0.934203672283015</v>
      </c>
      <c r="I80" s="23" t="n">
        <v>0.749821338309787</v>
      </c>
      <c r="J80" s="23" t="n">
        <v>0.50626798943668</v>
      </c>
      <c r="K80" s="23" t="n">
        <v>0.285810957498142</v>
      </c>
      <c r="L80" s="23" t="n">
        <v>0.49373201056332</v>
      </c>
      <c r="M80" s="23" t="n">
        <v>0.547172390182232</v>
      </c>
      <c r="N80" s="23" t="n">
        <v>0.452827609817768</v>
      </c>
      <c r="O80" s="23" t="n">
        <v>0.427935682846335</v>
      </c>
      <c r="P80" s="23" t="n">
        <v>0.648392714784873</v>
      </c>
      <c r="Q80" s="23" t="n">
        <v>0.797177066122731</v>
      </c>
      <c r="R80" s="23" t="n">
        <v>0.464010380811646</v>
      </c>
      <c r="S80" s="23" t="n">
        <v>0.612794732149504</v>
      </c>
      <c r="T80" s="23" t="n">
        <v>0.816789996648426</v>
      </c>
      <c r="U80" s="23" t="n">
        <v>0.729289869094868</v>
      </c>
      <c r="V80" s="23" t="n">
        <v>0.629111995048082</v>
      </c>
      <c r="W80" s="23" t="n">
        <v>0.771336694321199</v>
      </c>
      <c r="X80" s="23" t="n">
        <v>0.610778381643434</v>
      </c>
      <c r="Y80" s="23" t="n">
        <v>0.441686852222203</v>
      </c>
    </row>
    <row r="81" customFormat="false" ht="15" hidden="false" customHeight="false" outlineLevel="0" collapsed="false">
      <c r="A81" s="0" t="s">
        <v>243</v>
      </c>
      <c r="B81" s="23" t="n">
        <v>0.564030517973121</v>
      </c>
      <c r="C81" s="23" t="n">
        <v>0.221160150309844</v>
      </c>
      <c r="D81" s="23" t="n">
        <v>0.214809331717035</v>
      </c>
      <c r="E81" s="23" t="n">
        <v>0.785190668282965</v>
      </c>
      <c r="F81" s="23" t="n">
        <v>0.778839849690156</v>
      </c>
      <c r="G81" s="23" t="n">
        <v>0.435969482026879</v>
      </c>
      <c r="H81" s="23" t="n">
        <v>0.949446650438996</v>
      </c>
      <c r="I81" s="23" t="n">
        <v>0.793659691646755</v>
      </c>
      <c r="J81" s="23" t="n">
        <v>0.567929871254082</v>
      </c>
      <c r="K81" s="23" t="n">
        <v>0.343945360008054</v>
      </c>
      <c r="L81" s="23" t="n">
        <v>0.432070128745918</v>
      </c>
      <c r="M81" s="23" t="n">
        <v>0.557594923433604</v>
      </c>
      <c r="N81" s="23" t="n">
        <v>0.442405076566396</v>
      </c>
      <c r="O81" s="23" t="n">
        <v>0.381516779184915</v>
      </c>
      <c r="P81" s="23" t="n">
        <v>0.605501290430943</v>
      </c>
      <c r="Q81" s="23" t="n">
        <v>0.77128515142024</v>
      </c>
      <c r="R81" s="23" t="n">
        <v>0.449714331638701</v>
      </c>
      <c r="S81" s="23" t="n">
        <v>0.615498192627999</v>
      </c>
      <c r="T81" s="23" t="n">
        <v>0.743534493255417</v>
      </c>
      <c r="U81" s="23" t="n">
        <v>0.639400940698684</v>
      </c>
      <c r="V81" s="23" t="n">
        <v>0.528309761698237</v>
      </c>
      <c r="W81" s="23" t="n">
        <v>0.641040070000699</v>
      </c>
      <c r="X81" s="23" t="n">
        <v>0.453821122496361</v>
      </c>
      <c r="Y81" s="23" t="n">
        <v>0.288455967793722</v>
      </c>
    </row>
    <row r="82" customFormat="false" ht="15" hidden="false" customHeight="false" outlineLevel="0" collapsed="false">
      <c r="A82" s="0" t="s">
        <v>244</v>
      </c>
      <c r="B82" s="23" t="n">
        <v>0.358165842035266</v>
      </c>
      <c r="C82" s="23" t="n">
        <v>0.26766886775378</v>
      </c>
      <c r="D82" s="23" t="n">
        <v>0.374165290210954</v>
      </c>
      <c r="E82" s="23" t="n">
        <v>0.625834709789046</v>
      </c>
      <c r="F82" s="23" t="n">
        <v>0.73233113224622</v>
      </c>
      <c r="G82" s="23" t="n">
        <v>0.641834157964734</v>
      </c>
      <c r="H82" s="23" t="n">
        <v>0.918533318630654</v>
      </c>
      <c r="I82" s="23" t="n">
        <v>0.70897027197283</v>
      </c>
      <c r="J82" s="23" t="n">
        <v>0.45341429103273</v>
      </c>
      <c r="K82" s="23" t="n">
        <v>0.240118308590107</v>
      </c>
      <c r="L82" s="23" t="n">
        <v>0.54658570896727</v>
      </c>
      <c r="M82" s="23" t="n">
        <v>0.505274516714766</v>
      </c>
      <c r="N82" s="23" t="n">
        <v>0.494725483285234</v>
      </c>
      <c r="O82" s="23" t="n">
        <v>0.465119027597924</v>
      </c>
      <c r="P82" s="23" t="n">
        <v>0.678415010040547</v>
      </c>
      <c r="Q82" s="23" t="n">
        <v>0.811149276407833</v>
      </c>
      <c r="R82" s="23" t="n">
        <v>0.468851963382723</v>
      </c>
      <c r="S82" s="23" t="n">
        <v>0.601586229750009</v>
      </c>
      <c r="T82" s="23" t="n">
        <v>0.695295002961333</v>
      </c>
      <c r="U82" s="23" t="n">
        <v>0.583410757887991</v>
      </c>
      <c r="V82" s="23" t="n">
        <v>0.468934966087847</v>
      </c>
      <c r="W82" s="23" t="n">
        <v>0.680073210435613</v>
      </c>
      <c r="X82" s="23" t="n">
        <v>0.498014820465288</v>
      </c>
      <c r="Y82" s="23" t="n">
        <v>0.328911854223464</v>
      </c>
    </row>
    <row r="83" customFormat="false" ht="15" hidden="false" customHeight="false" outlineLevel="0" collapsed="false">
      <c r="A83" s="0" t="s">
        <v>245</v>
      </c>
      <c r="B83" s="23" t="n">
        <v>0.38071817580899</v>
      </c>
      <c r="C83" s="23" t="n">
        <v>0.251940433053161</v>
      </c>
      <c r="D83" s="23" t="n">
        <v>0.367341391137849</v>
      </c>
      <c r="E83" s="23" t="n">
        <v>0.632658608862152</v>
      </c>
      <c r="F83" s="23" t="n">
        <v>0.748059566946839</v>
      </c>
      <c r="G83" s="23" t="n">
        <v>0.61928182419101</v>
      </c>
      <c r="H83" s="23" t="n">
        <v>0.938257395582887</v>
      </c>
      <c r="I83" s="23" t="n">
        <v>0.760979465588912</v>
      </c>
      <c r="J83" s="23" t="n">
        <v>0.521469668631917</v>
      </c>
      <c r="K83" s="23" t="n">
        <v>0.299648296144979</v>
      </c>
      <c r="L83" s="23" t="n">
        <v>0.478530331368083</v>
      </c>
      <c r="M83" s="23" t="n">
        <v>0.55906624068683</v>
      </c>
      <c r="N83" s="23" t="n">
        <v>0.440933759313171</v>
      </c>
      <c r="O83" s="23" t="n">
        <v>0.416787726950969</v>
      </c>
      <c r="P83" s="23" t="n">
        <v>0.638609099437907</v>
      </c>
      <c r="Q83" s="23" t="n">
        <v>0.791783810720465</v>
      </c>
      <c r="R83" s="23" t="n">
        <v>0.461331169443933</v>
      </c>
      <c r="S83" s="23" t="n">
        <v>0.61450588072649</v>
      </c>
      <c r="T83" s="23" t="n">
        <v>0.714614838796559</v>
      </c>
      <c r="U83" s="23" t="n">
        <v>0.605555058228443</v>
      </c>
      <c r="V83" s="23" t="n">
        <v>0.49212215993625</v>
      </c>
      <c r="W83" s="23" t="n">
        <v>0.787220431188985</v>
      </c>
      <c r="X83" s="23" t="n">
        <v>0.631937122874124</v>
      </c>
      <c r="Y83" s="23" t="n">
        <v>0.464471921834332</v>
      </c>
    </row>
    <row r="84" customFormat="false" ht="15" hidden="false" customHeight="false" outlineLevel="0" collapsed="false">
      <c r="A84" s="0" t="s">
        <v>246</v>
      </c>
      <c r="B84" s="23" t="n">
        <v>0.452673038785135</v>
      </c>
      <c r="C84" s="23" t="n">
        <v>0.250690833200746</v>
      </c>
      <c r="D84" s="23" t="n">
        <v>0.296636128014119</v>
      </c>
      <c r="E84" s="23" t="n">
        <v>0.703363871985881</v>
      </c>
      <c r="F84" s="23" t="n">
        <v>0.749309166799254</v>
      </c>
      <c r="G84" s="23" t="n">
        <v>0.547326961214865</v>
      </c>
      <c r="H84" s="23" t="n">
        <v>0.934627444824243</v>
      </c>
      <c r="I84" s="23" t="n">
        <v>0.751059887868693</v>
      </c>
      <c r="J84" s="23" t="n">
        <v>0.507907788698148</v>
      </c>
      <c r="K84" s="23" t="n">
        <v>0.28728828781618</v>
      </c>
      <c r="L84" s="23" t="n">
        <v>0.492092211301852</v>
      </c>
      <c r="M84" s="23" t="n">
        <v>0.541001846704999</v>
      </c>
      <c r="N84" s="23" t="n">
        <v>0.458998153295001</v>
      </c>
      <c r="O84" s="23" t="n">
        <v>0.426719656126095</v>
      </c>
      <c r="P84" s="23" t="n">
        <v>0.647339157008063</v>
      </c>
      <c r="Q84" s="23" t="n">
        <v>0.796602678188079</v>
      </c>
      <c r="R84" s="23" t="n">
        <v>0.463771600052513</v>
      </c>
      <c r="S84" s="23" t="n">
        <v>0.613035121232528</v>
      </c>
      <c r="T84" s="23" t="n">
        <v>0.698427422353936</v>
      </c>
      <c r="U84" s="23" t="n">
        <v>0.586976537993729</v>
      </c>
      <c r="V84" s="23" t="n">
        <v>0.472643031687048</v>
      </c>
      <c r="W84" s="23" t="n">
        <v>0.791048414401156</v>
      </c>
      <c r="X84" s="23" t="n">
        <v>0.637112557580427</v>
      </c>
      <c r="Y84" s="23" t="n">
        <v>0.470128162369636</v>
      </c>
    </row>
    <row r="85" customFormat="false" ht="15" hidden="false" customHeight="false" outlineLevel="0" collapsed="false">
      <c r="A85" s="0" t="s">
        <v>247</v>
      </c>
      <c r="B85" s="23" t="n">
        <v>0.399649821232921</v>
      </c>
      <c r="C85" s="23" t="n">
        <v>0.259920418305521</v>
      </c>
      <c r="D85" s="23" t="n">
        <v>0.340429760461558</v>
      </c>
      <c r="E85" s="23" t="n">
        <v>0.659570239538442</v>
      </c>
      <c r="F85" s="23" t="n">
        <v>0.740079581694479</v>
      </c>
      <c r="G85" s="23" t="n">
        <v>0.600350178767079</v>
      </c>
      <c r="H85" s="23" t="n">
        <v>0.927731291759824</v>
      </c>
      <c r="I85" s="23" t="n">
        <v>0.732543643130822</v>
      </c>
      <c r="J85" s="23" t="n">
        <v>0.483388837144528</v>
      </c>
      <c r="K85" s="23" t="n">
        <v>0.265576421491937</v>
      </c>
      <c r="L85" s="23" t="n">
        <v>0.516611162855472</v>
      </c>
      <c r="M85" s="23" t="n">
        <v>0.528088482207427</v>
      </c>
      <c r="N85" s="23" t="n">
        <v>0.471911517792573</v>
      </c>
      <c r="O85" s="23" t="n">
        <v>0.444342454615296</v>
      </c>
      <c r="P85" s="23" t="n">
        <v>0.662154870267888</v>
      </c>
      <c r="Q85" s="23" t="n">
        <v>0.804127731053426</v>
      </c>
      <c r="R85" s="23" t="n">
        <v>0.466967221638885</v>
      </c>
      <c r="S85" s="23" t="n">
        <v>0.608940082424423</v>
      </c>
      <c r="T85" s="23" t="n">
        <v>0.666193102674682</v>
      </c>
      <c r="U85" s="23" t="n">
        <v>0.550723825224587</v>
      </c>
      <c r="V85" s="23" t="n">
        <v>0.435394741007618</v>
      </c>
      <c r="W85" s="23" t="n">
        <v>0.813892067433292</v>
      </c>
      <c r="X85" s="23" t="n">
        <v>0.668645998249648</v>
      </c>
      <c r="Y85" s="23" t="n">
        <v>0.505318784798718</v>
      </c>
    </row>
    <row r="86" customFormat="false" ht="15" hidden="false" customHeight="false" outlineLevel="0" collapsed="false">
      <c r="A86" s="0" t="s">
        <v>248</v>
      </c>
      <c r="B86" s="23" t="n">
        <v>0.274557353862132</v>
      </c>
      <c r="C86" s="23" t="n">
        <v>0.247493001913276</v>
      </c>
      <c r="D86" s="23" t="n">
        <v>0.477949644224592</v>
      </c>
      <c r="E86" s="23" t="n">
        <v>0.522050355775408</v>
      </c>
      <c r="F86" s="23" t="n">
        <v>0.752506998086724</v>
      </c>
      <c r="G86" s="23" t="n">
        <v>0.725442646137868</v>
      </c>
      <c r="H86" s="23" t="n">
        <v>0.934850419765168</v>
      </c>
      <c r="I86" s="23" t="n">
        <v>0.751728308203922</v>
      </c>
      <c r="J86" s="23" t="n">
        <v>0.508789222653078</v>
      </c>
      <c r="K86" s="23" t="n">
        <v>0.288083884143802</v>
      </c>
      <c r="L86" s="23" t="n">
        <v>0.491210777346922</v>
      </c>
      <c r="M86" s="23" t="n">
        <v>0.536357668838902</v>
      </c>
      <c r="N86" s="23" t="n">
        <v>0.463642331161098</v>
      </c>
      <c r="O86" s="23" t="n">
        <v>0.42606119711209</v>
      </c>
      <c r="P86" s="23" t="n">
        <v>0.646766535621365</v>
      </c>
      <c r="Q86" s="23" t="n">
        <v>0.796287111479944</v>
      </c>
      <c r="R86" s="23" t="n">
        <v>0.463644424060119</v>
      </c>
      <c r="S86" s="23" t="n">
        <v>0.613164999918697</v>
      </c>
      <c r="T86" s="23" t="n">
        <v>0.714479749385983</v>
      </c>
      <c r="U86" s="23" t="n">
        <v>0.605398949210492</v>
      </c>
      <c r="V86" s="23" t="n">
        <v>0.491957361675944</v>
      </c>
      <c r="W86" s="23" t="n">
        <v>0.81359324433388</v>
      </c>
      <c r="X86" s="23" t="n">
        <v>0.668226071782555</v>
      </c>
      <c r="Y86" s="23" t="n">
        <v>0.504841766179303</v>
      </c>
    </row>
    <row r="87" customFormat="false" ht="15" hidden="false" customHeight="false" outlineLevel="0" collapsed="false">
      <c r="A87" s="0" t="s">
        <v>249</v>
      </c>
      <c r="B87" s="23" t="n">
        <v>0.467958923516958</v>
      </c>
      <c r="C87" s="23" t="n">
        <v>0.251622884044523</v>
      </c>
      <c r="D87" s="23" t="n">
        <v>0.28041819243852</v>
      </c>
      <c r="E87" s="23" t="n">
        <v>0.71958180756148</v>
      </c>
      <c r="F87" s="23" t="n">
        <v>0.748377115955477</v>
      </c>
      <c r="G87" s="23" t="n">
        <v>0.532041076483043</v>
      </c>
      <c r="H87" s="23" t="n">
        <v>0.931069393912036</v>
      </c>
      <c r="I87" s="23" t="n">
        <v>0.741496020420697</v>
      </c>
      <c r="J87" s="23" t="n">
        <v>0.495101926078863</v>
      </c>
      <c r="K87" s="23" t="n">
        <v>0.2758475382803</v>
      </c>
      <c r="L87" s="23" t="n">
        <v>0.504898073921137</v>
      </c>
      <c r="M87" s="23" t="n">
        <v>0.527447006264652</v>
      </c>
      <c r="N87" s="23" t="n">
        <v>0.472552993735348</v>
      </c>
      <c r="O87" s="23" t="n">
        <v>0.435967467833173</v>
      </c>
      <c r="P87" s="23" t="n">
        <v>0.655221855631736</v>
      </c>
      <c r="Q87" s="23" t="n">
        <v>0.800710738168361</v>
      </c>
      <c r="R87" s="23" t="n">
        <v>0.465648482140398</v>
      </c>
      <c r="S87" s="23" t="n">
        <v>0.611137364677023</v>
      </c>
      <c r="T87" s="23" t="n">
        <v>0.723663099247687</v>
      </c>
      <c r="U87" s="23" t="n">
        <v>0.616052747307466</v>
      </c>
      <c r="V87" s="23" t="n">
        <v>0.503248247647843</v>
      </c>
      <c r="W87" s="23" t="n">
        <v>0.833194366356164</v>
      </c>
      <c r="X87" s="23" t="n">
        <v>0.696214105525942</v>
      </c>
      <c r="Y87" s="23" t="n">
        <v>0.537149415881112</v>
      </c>
    </row>
    <row r="88" customFormat="false" ht="15" hidden="false" customHeight="false" outlineLevel="0" collapsed="false">
      <c r="A88" s="0" t="s">
        <v>250</v>
      </c>
      <c r="B88" s="23" t="n">
        <v>0.269291234031585</v>
      </c>
      <c r="C88" s="23" t="n">
        <v>0.261058765675232</v>
      </c>
      <c r="D88" s="23" t="n">
        <v>0.469650000293183</v>
      </c>
      <c r="E88" s="23" t="n">
        <v>0.530349999706817</v>
      </c>
      <c r="F88" s="23" t="n">
        <v>0.738941234324768</v>
      </c>
      <c r="G88" s="23" t="n">
        <v>0.730708765968416</v>
      </c>
      <c r="H88" s="23" t="n">
        <v>0.917670239651031</v>
      </c>
      <c r="I88" s="23" t="n">
        <v>0.706967833684001</v>
      </c>
      <c r="J88" s="23" t="n">
        <v>0.450876436744286</v>
      </c>
      <c r="K88" s="23" t="n">
        <v>0.238016664797945</v>
      </c>
      <c r="L88" s="23" t="n">
        <v>0.549123563255714</v>
      </c>
      <c r="M88" s="23" t="n">
        <v>0.490426497242812</v>
      </c>
      <c r="N88" s="23" t="n">
        <v>0.509573502757188</v>
      </c>
      <c r="O88" s="23" t="n">
        <v>0.466793802906745</v>
      </c>
      <c r="P88" s="23" t="n">
        <v>0.679653574853087</v>
      </c>
      <c r="Q88" s="23" t="n">
        <v>0.811591560087066</v>
      </c>
      <c r="R88" s="23" t="n">
        <v>0.468951168886057</v>
      </c>
      <c r="S88" s="23" t="n">
        <v>0.600889154120035</v>
      </c>
      <c r="T88" s="23" t="n">
        <v>0.68304325539008</v>
      </c>
      <c r="U88" s="23" t="n">
        <v>0.569553552521554</v>
      </c>
      <c r="V88" s="23" t="n">
        <v>0.454617208633107</v>
      </c>
      <c r="W88" s="23" t="n">
        <v>0.818941701105522</v>
      </c>
      <c r="X88" s="23" t="n">
        <v>0.675773050406308</v>
      </c>
      <c r="Y88" s="23" t="n">
        <v>0.513450187113456</v>
      </c>
    </row>
    <row r="89" customFormat="false" ht="15" hidden="false" customHeight="false" outlineLevel="0" collapsed="false">
      <c r="A89" s="0" t="s">
        <v>251</v>
      </c>
      <c r="B89" s="23" t="n">
        <v>0.462671613359736</v>
      </c>
      <c r="C89" s="23" t="n">
        <v>0.283663484857175</v>
      </c>
      <c r="D89" s="23" t="n">
        <v>0.253664901783089</v>
      </c>
      <c r="E89" s="23" t="n">
        <v>0.746335098216911</v>
      </c>
      <c r="F89" s="23" t="n">
        <v>0.716336515142825</v>
      </c>
      <c r="G89" s="23" t="n">
        <v>0.537328386640264</v>
      </c>
      <c r="H89" s="23" t="n">
        <v>0.885350444191249</v>
      </c>
      <c r="I89" s="23" t="n">
        <v>0.632225165434741</v>
      </c>
      <c r="J89" s="23" t="n">
        <v>0.364574078032196</v>
      </c>
      <c r="K89" s="23" t="n">
        <v>0.171425579880949</v>
      </c>
      <c r="L89" s="23" t="n">
        <v>0.635425921967804</v>
      </c>
      <c r="M89" s="23" t="n">
        <v>0.418258926774453</v>
      </c>
      <c r="N89" s="23" t="n">
        <v>0.581741073225548</v>
      </c>
      <c r="O89" s="23" t="n">
        <v>0.520776366159052</v>
      </c>
      <c r="P89" s="23" t="n">
        <v>0.713924864310299</v>
      </c>
      <c r="Q89" s="23" t="n">
        <v>0.817871916372911</v>
      </c>
      <c r="R89" s="23" t="n">
        <v>0.460799585553792</v>
      </c>
      <c r="S89" s="23" t="n">
        <v>0.564746637616404</v>
      </c>
      <c r="T89" s="23" t="n">
        <v>0.674624176409485</v>
      </c>
      <c r="U89" s="23" t="n">
        <v>0.560112720203285</v>
      </c>
      <c r="V89" s="23" t="n">
        <v>0.444946112865749</v>
      </c>
      <c r="W89" s="23" t="n">
        <v>0.753588565622306</v>
      </c>
      <c r="X89" s="23" t="n">
        <v>0.587713390283449</v>
      </c>
      <c r="Y89" s="23" t="n">
        <v>0.417455317452525</v>
      </c>
    </row>
    <row r="90" customFormat="false" ht="15" hidden="false" customHeight="false" outlineLevel="0" collapsed="false">
      <c r="A90" s="0" t="s">
        <v>252</v>
      </c>
      <c r="B90" s="23" t="n">
        <v>0.43460291668005</v>
      </c>
      <c r="C90" s="23" t="n">
        <v>0.281465074144889</v>
      </c>
      <c r="D90" s="23" t="n">
        <v>0.283932009175062</v>
      </c>
      <c r="E90" s="23" t="n">
        <v>0.716067990824938</v>
      </c>
      <c r="F90" s="23" t="n">
        <v>0.718534925855111</v>
      </c>
      <c r="G90" s="23" t="n">
        <v>0.56539708331995</v>
      </c>
      <c r="H90" s="23" t="n">
        <v>0.89416206288488</v>
      </c>
      <c r="I90" s="23" t="n">
        <v>0.651475373367409</v>
      </c>
      <c r="J90" s="23" t="n">
        <v>0.38569080586405</v>
      </c>
      <c r="K90" s="23" t="n">
        <v>0.18685482681029</v>
      </c>
      <c r="L90" s="23" t="n">
        <v>0.61430919413595</v>
      </c>
      <c r="M90" s="23" t="n">
        <v>0.442958602803409</v>
      </c>
      <c r="N90" s="23" t="n">
        <v>0.557041397196591</v>
      </c>
      <c r="O90" s="23" t="n">
        <v>0.508471257020831</v>
      </c>
      <c r="P90" s="23" t="n">
        <v>0.70730723607459</v>
      </c>
      <c r="Q90" s="23" t="n">
        <v>0.818227419757298</v>
      </c>
      <c r="R90" s="23" t="n">
        <v>0.464620546557119</v>
      </c>
      <c r="S90" s="23" t="n">
        <v>0.575540730239827</v>
      </c>
      <c r="T90" s="23" t="n">
        <v>0.658085381268623</v>
      </c>
      <c r="U90" s="23" t="n">
        <v>0.541755886741576</v>
      </c>
      <c r="V90" s="23" t="n">
        <v>0.426333118823281</v>
      </c>
      <c r="W90" s="23" t="n">
        <v>0.846621422339219</v>
      </c>
      <c r="X90" s="23" t="n">
        <v>0.715933314821298</v>
      </c>
      <c r="Y90" s="23" t="n">
        <v>0.560560484458033</v>
      </c>
    </row>
    <row r="91" customFormat="false" ht="15" hidden="false" customHeight="false" outlineLevel="0" collapsed="false">
      <c r="A91" s="0" t="s">
        <v>253</v>
      </c>
      <c r="B91" s="23" t="n">
        <v>0.602922415323591</v>
      </c>
      <c r="C91" s="23" t="n">
        <v>0.223455538268462</v>
      </c>
      <c r="D91" s="23" t="n">
        <v>0.173622046407947</v>
      </c>
      <c r="E91" s="23" t="n">
        <v>0.826377953592053</v>
      </c>
      <c r="F91" s="23" t="n">
        <v>0.776544461731538</v>
      </c>
      <c r="G91" s="23" t="n">
        <v>0.39707758467641</v>
      </c>
      <c r="H91" s="23" t="n">
        <v>0.932190542909496</v>
      </c>
      <c r="I91" s="23" t="n">
        <v>0.745071409787627</v>
      </c>
      <c r="J91" s="23" t="n">
        <v>0.499648586698491</v>
      </c>
      <c r="K91" s="23" t="n">
        <v>0.279883367270595</v>
      </c>
      <c r="L91" s="23" t="n">
        <v>0.50035141330151</v>
      </c>
      <c r="M91" s="23" t="n">
        <v>0.47995223338206</v>
      </c>
      <c r="N91" s="23" t="n">
        <v>0.52004776661794</v>
      </c>
      <c r="O91" s="23" t="n">
        <v>0.432541956211005</v>
      </c>
      <c r="P91" s="23" t="n">
        <v>0.652307175638901</v>
      </c>
      <c r="Q91" s="23" t="n">
        <v>0.799145640408442</v>
      </c>
      <c r="R91" s="23" t="n">
        <v>0.465188042517032</v>
      </c>
      <c r="S91" s="23" t="n">
        <v>0.612026507286573</v>
      </c>
      <c r="T91" s="23" t="n">
        <v>0.680413499810673</v>
      </c>
      <c r="U91" s="23" t="n">
        <v>0.566597580944506</v>
      </c>
      <c r="V91" s="23" t="n">
        <v>0.451581897323224</v>
      </c>
      <c r="W91" s="23" t="n">
        <v>0.819034595289793</v>
      </c>
      <c r="X91" s="23" t="n">
        <v>0.675904713314156</v>
      </c>
      <c r="Y91" s="23" t="n">
        <v>0.513601035737341</v>
      </c>
    </row>
    <row r="92" customFormat="false" ht="15" hidden="false" customHeight="false" outlineLevel="0" collapsed="false">
      <c r="A92" s="0" t="s">
        <v>254</v>
      </c>
      <c r="B92" s="23" t="n">
        <v>0.503638893384442</v>
      </c>
      <c r="C92" s="23" t="n">
        <v>0.258438234314728</v>
      </c>
      <c r="D92" s="23" t="n">
        <v>0.237922872300829</v>
      </c>
      <c r="E92" s="23" t="n">
        <v>0.762077127699171</v>
      </c>
      <c r="F92" s="23" t="n">
        <v>0.741561765685272</v>
      </c>
      <c r="G92" s="23" t="n">
        <v>0.496361106615558</v>
      </c>
      <c r="H92" s="23" t="n">
        <v>0.913607489048575</v>
      </c>
      <c r="I92" s="23" t="n">
        <v>0.697071938301797</v>
      </c>
      <c r="J92" s="23" t="n">
        <v>0.43869710859524</v>
      </c>
      <c r="K92" s="23" t="n">
        <v>0.228046757988991</v>
      </c>
      <c r="L92" s="23" t="n">
        <v>0.56130289140476</v>
      </c>
      <c r="M92" s="23" t="n">
        <v>0.470377121587554</v>
      </c>
      <c r="N92" s="23" t="n">
        <v>0.529622878412446</v>
      </c>
      <c r="O92" s="23" t="n">
        <v>0.474910380453335</v>
      </c>
      <c r="P92" s="23" t="n">
        <v>0.685560731059584</v>
      </c>
      <c r="Q92" s="23" t="n">
        <v>0.813649995185065</v>
      </c>
      <c r="R92" s="23" t="n">
        <v>0.469025180312806</v>
      </c>
      <c r="S92" s="23" t="n">
        <v>0.597114444438287</v>
      </c>
      <c r="T92" s="23" t="n">
        <v>0.688461719445413</v>
      </c>
      <c r="U92" s="23" t="n">
        <v>0.575664567909864</v>
      </c>
      <c r="V92" s="23" t="n">
        <v>0.460913274164652</v>
      </c>
      <c r="W92" s="23" t="n">
        <v>0.859142654737292</v>
      </c>
      <c r="X92" s="23" t="n">
        <v>0.734755079894967</v>
      </c>
      <c r="Y92" s="23" t="n">
        <v>0.583432042804542</v>
      </c>
    </row>
    <row r="93" customFormat="false" ht="15" hidden="false" customHeight="false" outlineLevel="0" collapsed="false">
      <c r="A93" s="0" t="s">
        <v>255</v>
      </c>
      <c r="B93" s="23" t="n">
        <v>0.543637274095709</v>
      </c>
      <c r="C93" s="23" t="n">
        <v>0.242975950374775</v>
      </c>
      <c r="D93" s="23" t="n">
        <v>0.213386775529516</v>
      </c>
      <c r="E93" s="23" t="n">
        <v>0.786613224470484</v>
      </c>
      <c r="F93" s="23" t="n">
        <v>0.757024049625225</v>
      </c>
      <c r="G93" s="23" t="n">
        <v>0.456362725904291</v>
      </c>
      <c r="H93" s="23" t="n">
        <v>0.92483718456084</v>
      </c>
      <c r="I93" s="23" t="n">
        <v>0.725409109098347</v>
      </c>
      <c r="J93" s="23" t="n">
        <v>0.474025729061622</v>
      </c>
      <c r="K93" s="23" t="n">
        <v>0.257496936535539</v>
      </c>
      <c r="L93" s="23" t="n">
        <v>0.525974270938378</v>
      </c>
      <c r="M93" s="23" t="n">
        <v>0.485956331360988</v>
      </c>
      <c r="N93" s="23" t="n">
        <v>0.514043668639012</v>
      </c>
      <c r="O93" s="23" t="n">
        <v>0.450811455499217</v>
      </c>
      <c r="P93" s="23" t="n">
        <v>0.667340248025301</v>
      </c>
      <c r="Q93" s="23" t="n">
        <v>0.806462810671217</v>
      </c>
      <c r="R93" s="23" t="n">
        <v>0.467912172562808</v>
      </c>
      <c r="S93" s="23" t="n">
        <v>0.607034735208725</v>
      </c>
      <c r="T93" s="23" t="n">
        <v>0.658076110440591</v>
      </c>
      <c r="U93" s="23" t="n">
        <v>0.541745666150218</v>
      </c>
      <c r="V93" s="23" t="n">
        <v>0.426322825598388</v>
      </c>
      <c r="W93" s="23" t="n">
        <v>0.825481902482147</v>
      </c>
      <c r="X93" s="23" t="n">
        <v>0.685092336882546</v>
      </c>
      <c r="Y93" s="23" t="n">
        <v>0.524184678029689</v>
      </c>
    </row>
    <row r="94" customFormat="false" ht="15" hidden="false" customHeight="false" outlineLevel="0" collapsed="false">
      <c r="A94" s="0" t="s">
        <v>256</v>
      </c>
      <c r="B94" s="23" t="n">
        <v>0.560354063671756</v>
      </c>
      <c r="C94" s="23" t="n">
        <v>0.252012206393277</v>
      </c>
      <c r="D94" s="23" t="n">
        <v>0.187633729934967</v>
      </c>
      <c r="E94" s="23" t="n">
        <v>0.812366270065033</v>
      </c>
      <c r="F94" s="23" t="n">
        <v>0.747987793606723</v>
      </c>
      <c r="G94" s="23" t="n">
        <v>0.439645936328245</v>
      </c>
      <c r="H94" s="23" t="n">
        <v>0.90441019460565</v>
      </c>
      <c r="I94" s="23" t="n">
        <v>0.675395405216618</v>
      </c>
      <c r="J94" s="23" t="n">
        <v>0.412794928246641</v>
      </c>
      <c r="K94" s="23" t="n">
        <v>0.207474345999895</v>
      </c>
      <c r="L94" s="23" t="n">
        <v>0.587205071753359</v>
      </c>
      <c r="M94" s="23" t="n">
        <v>0.424801018335001</v>
      </c>
      <c r="N94" s="23" t="n">
        <v>0.575198981664999</v>
      </c>
      <c r="O94" s="23" t="n">
        <v>0.491615266359009</v>
      </c>
      <c r="P94" s="23" t="n">
        <v>0.696935848605755</v>
      </c>
      <c r="Q94" s="23" t="n">
        <v>0.816709013712443</v>
      </c>
      <c r="R94" s="23" t="n">
        <v>0.467921059216723</v>
      </c>
      <c r="S94" s="23" t="n">
        <v>0.587694224323411</v>
      </c>
      <c r="T94" s="23" t="n">
        <v>0.651920857447176</v>
      </c>
      <c r="U94" s="23" t="n">
        <v>0.534976775678928</v>
      </c>
      <c r="V94" s="23" t="n">
        <v>0.419522841251939</v>
      </c>
      <c r="W94" s="23" t="n">
        <v>0.862547408511214</v>
      </c>
      <c r="X94" s="23" t="n">
        <v>0.73994932622695</v>
      </c>
      <c r="Y94" s="23" t="n">
        <v>0.589837702650633</v>
      </c>
    </row>
    <row r="95" customFormat="false" ht="15" hidden="false" customHeight="false" outlineLevel="0" collapsed="false">
      <c r="A95" s="0" t="s">
        <v>257</v>
      </c>
      <c r="B95" s="23" t="n">
        <v>0.412156902484691</v>
      </c>
      <c r="C95" s="23" t="n">
        <v>0.267311110721739</v>
      </c>
      <c r="D95" s="23" t="n">
        <v>0.32053198679357</v>
      </c>
      <c r="E95" s="23" t="n">
        <v>0.67946801320643</v>
      </c>
      <c r="F95" s="23" t="n">
        <v>0.732688889278261</v>
      </c>
      <c r="G95" s="23" t="n">
        <v>0.587843097515309</v>
      </c>
      <c r="H95" s="23" t="n">
        <v>0.917067997075215</v>
      </c>
      <c r="I95" s="23" t="n">
        <v>0.705348541338864</v>
      </c>
      <c r="J95" s="23" t="n">
        <v>0.448917905296588</v>
      </c>
      <c r="K95" s="23" t="n">
        <v>0.236400585897143</v>
      </c>
      <c r="L95" s="23" t="n">
        <v>0.551082094703412</v>
      </c>
      <c r="M95" s="23" t="n">
        <v>0.499099930854435</v>
      </c>
      <c r="N95" s="23" t="n">
        <v>0.500900069145565</v>
      </c>
      <c r="O95" s="23" t="n">
        <v>0.468150091778627</v>
      </c>
      <c r="P95" s="23" t="n">
        <v>0.680667411178072</v>
      </c>
      <c r="Q95" s="23" t="n">
        <v>0.811989400170914</v>
      </c>
      <c r="R95" s="23" t="n">
        <v>0.468947955441722</v>
      </c>
      <c r="S95" s="23" t="n">
        <v>0.600269944434563</v>
      </c>
      <c r="T95" s="23" t="n">
        <v>0.691290948498904</v>
      </c>
      <c r="U95" s="23" t="n">
        <v>0.578866398433271</v>
      </c>
      <c r="V95" s="23" t="n">
        <v>0.464223416888763</v>
      </c>
      <c r="W95" s="23" t="n">
        <v>0.686723871611025</v>
      </c>
      <c r="X95" s="23" t="n">
        <v>0.505770272911823</v>
      </c>
      <c r="Y95" s="23" t="n">
        <v>0.336222490816444</v>
      </c>
    </row>
    <row r="96" customFormat="false" ht="15" hidden="false" customHeight="false" outlineLevel="0" collapsed="false">
      <c r="A96" s="0" t="s">
        <v>258</v>
      </c>
      <c r="B96" s="23" t="n">
        <v>0.246718409100986</v>
      </c>
      <c r="C96" s="23" t="n">
        <v>0.234466675867208</v>
      </c>
      <c r="D96" s="23" t="n">
        <v>0.518814915031806</v>
      </c>
      <c r="E96" s="23" t="n">
        <v>0.481185084968194</v>
      </c>
      <c r="F96" s="23" t="n">
        <v>0.765533324132792</v>
      </c>
      <c r="G96" s="23" t="n">
        <v>0.753281590899014</v>
      </c>
      <c r="H96" s="23" t="n">
        <v>0.943682039649061</v>
      </c>
      <c r="I96" s="23" t="n">
        <v>0.776589912540498</v>
      </c>
      <c r="J96" s="23" t="n">
        <v>0.543241188635287</v>
      </c>
      <c r="K96" s="23" t="n">
        <v>0.320023829367696</v>
      </c>
      <c r="L96" s="23" t="n">
        <v>0.456758811364714</v>
      </c>
      <c r="M96" s="23" t="n">
        <v>0.553361531307425</v>
      </c>
      <c r="N96" s="23" t="n">
        <v>0.446638468692575</v>
      </c>
      <c r="O96" s="23" t="n">
        <v>0.400440851013774</v>
      </c>
      <c r="P96" s="23" t="n">
        <v>0.623658210281365</v>
      </c>
      <c r="Q96" s="23" t="n">
        <v>0.782905714894701</v>
      </c>
      <c r="R96" s="23" t="n">
        <v>0.456566083172803</v>
      </c>
      <c r="S96" s="23" t="n">
        <v>0.615813587786139</v>
      </c>
      <c r="T96" s="23" t="n">
        <v>0.6946094628985</v>
      </c>
      <c r="U96" s="23" t="n">
        <v>0.582631627802034</v>
      </c>
      <c r="V96" s="23" t="n">
        <v>0.468126047029801</v>
      </c>
      <c r="W96" s="23" t="n">
        <v>0.773487217831021</v>
      </c>
      <c r="X96" s="23" t="n">
        <v>0.613613893741704</v>
      </c>
      <c r="Y96" s="23" t="n">
        <v>0.444709045050844</v>
      </c>
    </row>
    <row r="97" customFormat="false" ht="15" hidden="false" customHeight="false" outlineLevel="0" collapsed="false">
      <c r="A97" s="0" t="s">
        <v>259</v>
      </c>
      <c r="B97" s="23" t="n">
        <v>0.409262197705236</v>
      </c>
      <c r="C97" s="23" t="n">
        <v>0.260347362496456</v>
      </c>
      <c r="D97" s="23" t="n">
        <v>0.330390439798309</v>
      </c>
      <c r="E97" s="23" t="n">
        <v>0.669609560201692</v>
      </c>
      <c r="F97" s="23" t="n">
        <v>0.739652637503544</v>
      </c>
      <c r="G97" s="23" t="n">
        <v>0.590737802294765</v>
      </c>
      <c r="H97" s="23" t="n">
        <v>0.926579071877748</v>
      </c>
      <c r="I97" s="23" t="n">
        <v>0.729539397144922</v>
      </c>
      <c r="J97" s="23" t="n">
        <v>0.479487399801998</v>
      </c>
      <c r="K97" s="23" t="n">
        <v>0.262195856125749</v>
      </c>
      <c r="L97" s="23" t="n">
        <v>0.520512600198002</v>
      </c>
      <c r="M97" s="23" t="n">
        <v>0.524154698500133</v>
      </c>
      <c r="N97" s="23" t="n">
        <v>0.475845301499867</v>
      </c>
      <c r="O97" s="23" t="n">
        <v>0.44709167207575</v>
      </c>
      <c r="P97" s="23" t="n">
        <v>0.664383215752</v>
      </c>
      <c r="Q97" s="23" t="n">
        <v>0.805172443928332</v>
      </c>
      <c r="R97" s="23" t="n">
        <v>0.467343541019174</v>
      </c>
      <c r="S97" s="23" t="n">
        <v>0.608132769195506</v>
      </c>
      <c r="T97" s="23" t="n">
        <v>0.63710946620046</v>
      </c>
      <c r="U97" s="23" t="n">
        <v>0.518826043466182</v>
      </c>
      <c r="V97" s="23" t="n">
        <v>0.403434485041572</v>
      </c>
      <c r="W97" s="23" t="n">
        <v>0.810534285291582</v>
      </c>
      <c r="X97" s="23" t="n">
        <v>0.663939049614131</v>
      </c>
      <c r="Y97" s="23" t="n">
        <v>0.49998506180408</v>
      </c>
    </row>
    <row r="98" customFormat="false" ht="15" hidden="false" customHeight="false" outlineLevel="0" collapsed="false">
      <c r="A98" s="0" t="s">
        <v>260</v>
      </c>
      <c r="B98" s="23" t="n">
        <v>0.55353873460418</v>
      </c>
      <c r="C98" s="23" t="n">
        <v>0.221590122629108</v>
      </c>
      <c r="D98" s="23" t="n">
        <v>0.224871142766712</v>
      </c>
      <c r="E98" s="23" t="n">
        <v>0.775128857233288</v>
      </c>
      <c r="F98" s="23" t="n">
        <v>0.778409877370892</v>
      </c>
      <c r="G98" s="23" t="n">
        <v>0.44646126539582</v>
      </c>
      <c r="H98" s="23" t="n">
        <v>0.951793011853751</v>
      </c>
      <c r="I98" s="23" t="n">
        <v>0.800682581123056</v>
      </c>
      <c r="J98" s="23" t="n">
        <v>0.57839887539768</v>
      </c>
      <c r="K98" s="23" t="n">
        <v>0.354357862305691</v>
      </c>
      <c r="L98" s="23" t="n">
        <v>0.42160112460232</v>
      </c>
      <c r="M98" s="23" t="n">
        <v>0.570580072753365</v>
      </c>
      <c r="N98" s="23" t="n">
        <v>0.429419927246635</v>
      </c>
      <c r="O98" s="23" t="n">
        <v>0.37339413645607</v>
      </c>
      <c r="P98" s="23" t="n">
        <v>0.597435149548059</v>
      </c>
      <c r="Q98" s="23" t="n">
        <v>0.765864132125228</v>
      </c>
      <c r="R98" s="23" t="n">
        <v>0.446324718817365</v>
      </c>
      <c r="S98" s="23" t="n">
        <v>0.614753701394534</v>
      </c>
      <c r="T98" s="23" t="n">
        <v>0.701562944842026</v>
      </c>
      <c r="U98" s="23" t="n">
        <v>0.590555296519987</v>
      </c>
      <c r="V98" s="23" t="n">
        <v>0.476374442546803</v>
      </c>
      <c r="W98" s="23" t="n">
        <v>0.75751680766374</v>
      </c>
      <c r="X98" s="23" t="n">
        <v>0.592767613905239</v>
      </c>
      <c r="Y98" s="23" t="n">
        <v>0.422712036944104</v>
      </c>
    </row>
    <row r="99" customFormat="false" ht="15" hidden="false" customHeight="false" outlineLevel="0" collapsed="false">
      <c r="A99" s="0" t="s">
        <v>261</v>
      </c>
      <c r="B99" s="23" t="n">
        <v>0.513990690881838</v>
      </c>
      <c r="C99" s="23" t="n">
        <v>0.245637246967177</v>
      </c>
      <c r="D99" s="23" t="n">
        <v>0.240372062150985</v>
      </c>
      <c r="E99" s="23" t="n">
        <v>0.759627937849015</v>
      </c>
      <c r="F99" s="23" t="n">
        <v>0.754362753032823</v>
      </c>
      <c r="G99" s="23" t="n">
        <v>0.486009309118162</v>
      </c>
      <c r="H99" s="23" t="n">
        <v>0.92958360995634</v>
      </c>
      <c r="I99" s="23" t="n">
        <v>0.737689637474587</v>
      </c>
      <c r="J99" s="23" t="n">
        <v>0.490025516971061</v>
      </c>
      <c r="K99" s="23" t="n">
        <v>0.271373370250557</v>
      </c>
      <c r="L99" s="23" t="n">
        <v>0.509974483028939</v>
      </c>
      <c r="M99" s="23" t="n">
        <v>0.51050822722417</v>
      </c>
      <c r="N99" s="23" t="n">
        <v>0.48949177277583</v>
      </c>
      <c r="O99" s="23" t="n">
        <v>0.439558092985278</v>
      </c>
      <c r="P99" s="23" t="n">
        <v>0.658210239705783</v>
      </c>
      <c r="Q99" s="23" t="n">
        <v>0.802182588236568</v>
      </c>
      <c r="R99" s="23" t="n">
        <v>0.46631626722403</v>
      </c>
      <c r="S99" s="23" t="n">
        <v>0.610288615754816</v>
      </c>
      <c r="T99" s="23" t="n">
        <v>0.672161816075072</v>
      </c>
      <c r="U99" s="23" t="n">
        <v>0.557363897760308</v>
      </c>
      <c r="V99" s="23" t="n">
        <v>0.44214287556336</v>
      </c>
      <c r="W99" s="23" t="n">
        <v>0.805979713149992</v>
      </c>
      <c r="X99" s="23" t="n">
        <v>0.657594821443029</v>
      </c>
      <c r="Y99" s="23" t="n">
        <v>0.492841498328047</v>
      </c>
    </row>
    <row r="100" customFormat="false" ht="15" hidden="false" customHeight="false" outlineLevel="0" collapsed="false">
      <c r="A100" s="0" t="s">
        <v>262</v>
      </c>
      <c r="B100" s="23" t="n">
        <v>0.34677540710245</v>
      </c>
      <c r="C100" s="23" t="n">
        <v>0.279811780739644</v>
      </c>
      <c r="D100" s="23" t="n">
        <v>0.373412812157906</v>
      </c>
      <c r="E100" s="23" t="n">
        <v>0.626587187842094</v>
      </c>
      <c r="F100" s="23" t="n">
        <v>0.720188219260356</v>
      </c>
      <c r="G100" s="23" t="n">
        <v>0.65322459289755</v>
      </c>
      <c r="H100" s="23" t="n">
        <v>0.902168187947051</v>
      </c>
      <c r="I100" s="23" t="n">
        <v>0.66960131787858</v>
      </c>
      <c r="J100" s="23" t="n">
        <v>0.406277261539216</v>
      </c>
      <c r="K100" s="23" t="n">
        <v>0.202431959005575</v>
      </c>
      <c r="L100" s="23" t="n">
        <v>0.593722738460784</v>
      </c>
      <c r="M100" s="23" t="n">
        <v>0.467089364929079</v>
      </c>
      <c r="N100" s="23" t="n">
        <v>0.532910635070921</v>
      </c>
      <c r="O100" s="23" t="n">
        <v>0.495890926407836</v>
      </c>
      <c r="P100" s="23" t="n">
        <v>0.699736228941476</v>
      </c>
      <c r="Q100" s="23" t="n">
        <v>0.817392633118308</v>
      </c>
      <c r="R100" s="23" t="n">
        <v>0.467169358873004</v>
      </c>
      <c r="S100" s="23" t="n">
        <v>0.584825763049836</v>
      </c>
      <c r="T100" s="23" t="n">
        <v>0.673020802085033</v>
      </c>
      <c r="U100" s="23" t="n">
        <v>0.558322182682537</v>
      </c>
      <c r="V100" s="23" t="n">
        <v>0.443119485599534</v>
      </c>
      <c r="W100" s="23" t="n">
        <v>0.808348387164285</v>
      </c>
      <c r="X100" s="23" t="n">
        <v>0.660888475840326</v>
      </c>
      <c r="Y100" s="23" t="n">
        <v>0.496543650490326</v>
      </c>
    </row>
    <row r="101" customFormat="false" ht="15" hidden="false" customHeight="false" outlineLevel="0" collapsed="false">
      <c r="A101" s="0" t="s">
        <v>263</v>
      </c>
      <c r="B101" s="23" t="n">
        <v>0.384725446429843</v>
      </c>
      <c r="C101" s="23" t="n">
        <v>0.274351942929105</v>
      </c>
      <c r="D101" s="23" t="n">
        <v>0.340922610641052</v>
      </c>
      <c r="E101" s="23" t="n">
        <v>0.659077389358947</v>
      </c>
      <c r="F101" s="23" t="n">
        <v>0.725648057070895</v>
      </c>
      <c r="G101" s="23" t="n">
        <v>0.615274553570157</v>
      </c>
      <c r="H101" s="23" t="n">
        <v>0.909273874013639</v>
      </c>
      <c r="I101" s="23" t="n">
        <v>0.686328707758169</v>
      </c>
      <c r="J101" s="23" t="n">
        <v>0.425874202020864</v>
      </c>
      <c r="K101" s="23" t="n">
        <v>0.217755842051092</v>
      </c>
      <c r="L101" s="23" t="n">
        <v>0.574125797979136</v>
      </c>
      <c r="M101" s="23" t="n">
        <v>0.482615294393247</v>
      </c>
      <c r="N101" s="23" t="n">
        <v>0.517384705606753</v>
      </c>
      <c r="O101" s="23" t="n">
        <v>0.483399671992775</v>
      </c>
      <c r="P101" s="23" t="n">
        <v>0.691518031962547</v>
      </c>
      <c r="Q101" s="23" t="n">
        <v>0.815510660319285</v>
      </c>
      <c r="R101" s="23" t="n">
        <v>0.468572865707078</v>
      </c>
      <c r="S101" s="23" t="n">
        <v>0.592565494063815</v>
      </c>
      <c r="T101" s="23" t="n">
        <v>0.79142489651247</v>
      </c>
      <c r="U101" s="23" t="n">
        <v>0.697439820271864</v>
      </c>
      <c r="V101" s="23" t="n">
        <v>0.592575607369533</v>
      </c>
      <c r="W101" s="23" t="n">
        <v>0.816250080247071</v>
      </c>
      <c r="X101" s="23" t="n">
        <v>0.671966792246476</v>
      </c>
      <c r="Y101" s="23" t="n">
        <v>0.509099215083535</v>
      </c>
    </row>
    <row r="102" customFormat="false" ht="15" hidden="false" customHeight="false" outlineLevel="0" collapsed="false">
      <c r="A102" s="0" t="s">
        <v>264</v>
      </c>
      <c r="B102" s="23" t="n">
        <v>0.56202545739844</v>
      </c>
      <c r="C102" s="23" t="n">
        <v>0.23566021815145</v>
      </c>
      <c r="D102" s="23" t="n">
        <v>0.202314324450111</v>
      </c>
      <c r="E102" s="23" t="n">
        <v>0.79768567554989</v>
      </c>
      <c r="F102" s="23" t="n">
        <v>0.76433978184855</v>
      </c>
      <c r="G102" s="23" t="n">
        <v>0.43797454260156</v>
      </c>
      <c r="H102" s="23" t="n">
        <v>0.929561417220768</v>
      </c>
      <c r="I102" s="23" t="n">
        <v>0.737840805557789</v>
      </c>
      <c r="J102" s="23" t="n">
        <v>0.490148478058131</v>
      </c>
      <c r="K102" s="23" t="n">
        <v>0.271481097324349</v>
      </c>
      <c r="L102" s="23" t="n">
        <v>0.509851521941869</v>
      </c>
      <c r="M102" s="23" t="n">
        <v>0.491997213832433</v>
      </c>
      <c r="N102" s="23" t="n">
        <v>0.508002786167567</v>
      </c>
      <c r="O102" s="23" t="n">
        <v>0.439412939162638</v>
      </c>
      <c r="P102" s="23" t="n">
        <v>0.658080319896419</v>
      </c>
      <c r="Q102" s="23" t="n">
        <v>0.802089784662631</v>
      </c>
      <c r="R102" s="23" t="n">
        <v>0.46635970823344</v>
      </c>
      <c r="S102" s="23" t="n">
        <v>0.610369172999652</v>
      </c>
      <c r="T102" s="23" t="n">
        <v>0.711111657103336</v>
      </c>
      <c r="U102" s="23" t="n">
        <v>0.601512635173634</v>
      </c>
      <c r="V102" s="23" t="n">
        <v>0.48786088913735</v>
      </c>
      <c r="W102" s="23" t="n">
        <v>0.696569504182629</v>
      </c>
      <c r="X102" s="23" t="n">
        <v>0.517376714640365</v>
      </c>
      <c r="Y102" s="23" t="n">
        <v>0.34728270837679</v>
      </c>
    </row>
    <row r="103" customFormat="false" ht="15" hidden="false" customHeight="false" outlineLevel="0" collapsed="false">
      <c r="A103" s="0" t="s">
        <v>265</v>
      </c>
      <c r="B103" s="23" t="n">
        <v>0.335892621237886</v>
      </c>
      <c r="C103" s="23" t="n">
        <v>0.280141945003855</v>
      </c>
      <c r="D103" s="23" t="n">
        <v>0.383965433758259</v>
      </c>
      <c r="E103" s="23" t="n">
        <v>0.616034566241741</v>
      </c>
      <c r="F103" s="23" t="n">
        <v>0.719858054996146</v>
      </c>
      <c r="G103" s="23" t="n">
        <v>0.664107378762114</v>
      </c>
      <c r="H103" s="23" t="n">
        <v>0.901307846789917</v>
      </c>
      <c r="I103" s="23" t="n">
        <v>0.667619277250293</v>
      </c>
      <c r="J103" s="23" t="n">
        <v>0.403993335583998</v>
      </c>
      <c r="K103" s="23" t="n">
        <v>0.200677576457495</v>
      </c>
      <c r="L103" s="23" t="n">
        <v>0.596006664416002</v>
      </c>
      <c r="M103" s="23" t="n">
        <v>0.464706683838156</v>
      </c>
      <c r="N103" s="23" t="n">
        <v>0.535293316161844</v>
      </c>
      <c r="O103" s="23" t="n">
        <v>0.497314511205919</v>
      </c>
      <c r="P103" s="23" t="n">
        <v>0.700630270332421</v>
      </c>
      <c r="Q103" s="23" t="n">
        <v>0.817543006461994</v>
      </c>
      <c r="R103" s="23" t="n">
        <v>0.466941700792798</v>
      </c>
      <c r="S103" s="23" t="n">
        <v>0.58385443692237</v>
      </c>
      <c r="T103" s="23" t="n">
        <v>0.66156271699862</v>
      </c>
      <c r="U103" s="23" t="n">
        <v>0.545594904819521</v>
      </c>
      <c r="V103" s="23" t="n">
        <v>0.430204910010737</v>
      </c>
      <c r="W103" s="23" t="n">
        <v>0.828190979719472</v>
      </c>
      <c r="X103" s="23" t="n">
        <v>0.688982440631396</v>
      </c>
      <c r="Y103" s="23" t="n">
        <v>0.528700166355336</v>
      </c>
    </row>
    <row r="104" customFormat="false" ht="15" hidden="false" customHeight="false" outlineLevel="0" collapsed="false">
      <c r="A104" s="0" t="s">
        <v>266</v>
      </c>
      <c r="B104" s="23" t="n">
        <v>0.39824234144277</v>
      </c>
      <c r="C104" s="23" t="n">
        <v>0.268534544742998</v>
      </c>
      <c r="D104" s="23" t="n">
        <v>0.333223113814233</v>
      </c>
      <c r="E104" s="23" t="n">
        <v>0.666776886185767</v>
      </c>
      <c r="F104" s="23" t="n">
        <v>0.731465455257003</v>
      </c>
      <c r="G104" s="23" t="n">
        <v>0.601757658557231</v>
      </c>
      <c r="H104" s="23" t="n">
        <v>0.916454573255339</v>
      </c>
      <c r="I104" s="23" t="n">
        <v>0.703811650737992</v>
      </c>
      <c r="J104" s="23" t="n">
        <v>0.447029478795471</v>
      </c>
      <c r="K104" s="23" t="n">
        <v>0.23484699677563</v>
      </c>
      <c r="L104" s="23" t="n">
        <v>0.552970521204529</v>
      </c>
      <c r="M104" s="23" t="n">
        <v>0.498909604020243</v>
      </c>
      <c r="N104" s="23" t="n">
        <v>0.501090395979757</v>
      </c>
      <c r="O104" s="23" t="n">
        <v>0.469425094459868</v>
      </c>
      <c r="P104" s="23" t="n">
        <v>0.68160757647971</v>
      </c>
      <c r="Q104" s="23" t="n">
        <v>0.812334561999908</v>
      </c>
      <c r="R104" s="23" t="n">
        <v>0.468964653962362</v>
      </c>
      <c r="S104" s="23" t="n">
        <v>0.599691639482561</v>
      </c>
      <c r="T104" s="23" t="n">
        <v>0.682657646392672</v>
      </c>
      <c r="U104" s="23" t="n">
        <v>0.569119706048016</v>
      </c>
      <c r="V104" s="23" t="n">
        <v>0.454171303025398</v>
      </c>
      <c r="W104" s="23" t="n">
        <v>0.844249909800643</v>
      </c>
      <c r="X104" s="23" t="n">
        <v>0.712416468081431</v>
      </c>
      <c r="Y104" s="23" t="n">
        <v>0.556344634925483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8" min="4" style="0" width="16"/>
  </cols>
  <sheetData>
    <row r="2" customFormat="false" ht="19.7" hidden="false" customHeight="false" outlineLevel="0" collapsed="false">
      <c r="B2" s="1" t="s">
        <v>267</v>
      </c>
    </row>
    <row r="3" customFormat="false" ht="15" hidden="false" customHeight="false" outlineLevel="0" collapsed="false">
      <c r="B3" s="2" t="s">
        <v>268</v>
      </c>
    </row>
    <row r="5" customFormat="false" ht="15" hidden="false" customHeight="false" outlineLevel="0" collapsed="false">
      <c r="B5" s="6" t="s">
        <v>142</v>
      </c>
      <c r="C5" s="24" t="s">
        <v>164</v>
      </c>
    </row>
    <row r="6" customFormat="false" ht="15" hidden="false" customHeight="false" outlineLevel="0" collapsed="false">
      <c r="B6" s="6" t="s">
        <v>269</v>
      </c>
      <c r="C6" s="24" t="s">
        <v>144</v>
      </c>
    </row>
    <row r="7" customFormat="false" ht="15" hidden="false" customHeight="false" outlineLevel="0" collapsed="false">
      <c r="B7" s="6" t="s">
        <v>270</v>
      </c>
      <c r="C7" s="25" t="n">
        <f aca="false">IFERROR(INDEX(Dados!$B$2:$Y$104,MATCH($C$5,Dados!$A$2:$A$104,0),MATCH($C$6,Dados!$B$1:$Y$1,0)),"")</f>
        <v>0.275611929670436</v>
      </c>
    </row>
    <row r="8" customFormat="false" ht="15" hidden="false" customHeight="false" outlineLevel="0" collapsed="false">
      <c r="B8" s="6" t="s">
        <v>271</v>
      </c>
      <c r="C8" s="26" t="n">
        <f aca="false">IFERROR(1/$C$7,"")</f>
        <v>3.62828996987087</v>
      </c>
    </row>
    <row r="9" customFormat="false" ht="15" hidden="false" customHeight="false" outlineLevel="0" collapsed="false">
      <c r="B9" s="6" t="s">
        <v>272</v>
      </c>
      <c r="C9" s="27" t="n">
        <v>3</v>
      </c>
    </row>
    <row r="10" customFormat="false" ht="15" hidden="false" customHeight="false" outlineLevel="0" collapsed="false">
      <c r="B10" s="6" t="s">
        <v>273</v>
      </c>
      <c r="C10" s="25" t="n">
        <f aca="false">IFERROR($C$7*$C$9-1,"")</f>
        <v>-0.173164210988692</v>
      </c>
    </row>
    <row r="11" customFormat="false" ht="15" hidden="false" customHeight="false" outlineLevel="0" collapsed="false">
      <c r="B11" s="6" t="s">
        <v>274</v>
      </c>
      <c r="C11" s="25" t="n">
        <f aca="false">IFERROR($C$7-1/$C$9,"")</f>
        <v>-0.0577214036628972</v>
      </c>
    </row>
    <row r="12" customFormat="false" ht="15" hidden="false" customHeight="false" outlineLevel="0" collapsed="false">
      <c r="B12" s="6" t="s">
        <v>275</v>
      </c>
      <c r="C12" s="26" t="n">
        <f aca="false">IFERROR($C$9-1,"")</f>
        <v>2</v>
      </c>
    </row>
    <row r="13" customFormat="false" ht="15" hidden="false" customHeight="false" outlineLevel="0" collapsed="false">
      <c r="B13" s="6" t="s">
        <v>276</v>
      </c>
      <c r="C13" s="6" t="str">
        <f aca="false">IF($C$7="","preencha os campos",IF($C$9="","digite a cotação",IF($C$10&gt;0,"COTAÇÃO ACIMA DO EQUILÍBRIO","cotação abaixo do equilíbrio")))</f>
        <v>cotação abaixo do equilíbrio</v>
      </c>
    </row>
    <row r="14" customFormat="false" ht="15" hidden="false" customHeight="false" outlineLevel="0" collapsed="false">
      <c r="B14" s="6" t="s">
        <v>277</v>
      </c>
      <c r="C14" s="28" t="n">
        <f aca="false">IFERROR($C$10*1000,"")</f>
        <v>-173.164210988692</v>
      </c>
    </row>
    <row r="17" customFormat="false" ht="15" hidden="false" customHeight="false" outlineLevel="0" collapsed="false">
      <c r="B17" s="3" t="s">
        <v>278</v>
      </c>
    </row>
    <row r="18" customFormat="false" ht="15" hidden="false" customHeight="false" outlineLevel="0" collapsed="false">
      <c r="B18" s="2" t="s">
        <v>279</v>
      </c>
    </row>
    <row r="20" customFormat="false" ht="15" hidden="false" customHeight="false" outlineLevel="0" collapsed="false">
      <c r="B20" s="29" t="s">
        <v>280</v>
      </c>
      <c r="C20" s="29" t="s">
        <v>281</v>
      </c>
      <c r="D20" s="29" t="s">
        <v>282</v>
      </c>
      <c r="E20" s="29" t="s">
        <v>283</v>
      </c>
      <c r="F20" s="29" t="s">
        <v>284</v>
      </c>
    </row>
    <row r="21" customFormat="false" ht="15" hidden="false" customHeight="false" outlineLevel="0" collapsed="false">
      <c r="B21" s="21" t="n">
        <v>1.2</v>
      </c>
      <c r="C21" s="20" t="n">
        <f aca="false">$C$7</f>
        <v>0.275611929670436</v>
      </c>
      <c r="D21" s="20" t="n">
        <f aca="false">IFERROR($C$7*B21-1,"")</f>
        <v>-0.669265684395477</v>
      </c>
      <c r="E21" s="21" t="n">
        <f aca="false">B21-1</f>
        <v>0.2</v>
      </c>
      <c r="F21" s="18" t="str">
        <f aca="false">IF(D21="","",IF(D21&gt;0,"sim","não"))</f>
        <v>não</v>
      </c>
    </row>
    <row r="22" customFormat="false" ht="15" hidden="false" customHeight="false" outlineLevel="0" collapsed="false">
      <c r="B22" s="21" t="n">
        <v>1.5</v>
      </c>
      <c r="C22" s="20" t="n">
        <f aca="false">$C$7</f>
        <v>0.275611929670436</v>
      </c>
      <c r="D22" s="20" t="n">
        <f aca="false">IFERROR($C$7*B22-1,"")</f>
        <v>-0.586582105494346</v>
      </c>
      <c r="E22" s="21" t="n">
        <f aca="false">B22-1</f>
        <v>0.5</v>
      </c>
      <c r="F22" s="18" t="str">
        <f aca="false">IF(D22="","",IF(D22&gt;0,"sim","não"))</f>
        <v>não</v>
      </c>
    </row>
    <row r="23" customFormat="false" ht="15" hidden="false" customHeight="false" outlineLevel="0" collapsed="false">
      <c r="B23" s="21" t="n">
        <v>1.8</v>
      </c>
      <c r="C23" s="20" t="n">
        <f aca="false">$C$7</f>
        <v>0.275611929670436</v>
      </c>
      <c r="D23" s="20" t="n">
        <f aca="false">IFERROR($C$7*B23-1,"")</f>
        <v>-0.503898526593215</v>
      </c>
      <c r="E23" s="21" t="n">
        <f aca="false">B23-1</f>
        <v>0.8</v>
      </c>
      <c r="F23" s="18" t="str">
        <f aca="false">IF(D23="","",IF(D23&gt;0,"sim","não"))</f>
        <v>não</v>
      </c>
    </row>
    <row r="24" customFormat="false" ht="15" hidden="false" customHeight="false" outlineLevel="0" collapsed="false">
      <c r="B24" s="21" t="n">
        <v>2</v>
      </c>
      <c r="C24" s="20" t="n">
        <f aca="false">$C$7</f>
        <v>0.275611929670436</v>
      </c>
      <c r="D24" s="20" t="n">
        <f aca="false">IFERROR($C$7*B24-1,"")</f>
        <v>-0.448776140659128</v>
      </c>
      <c r="E24" s="21" t="n">
        <f aca="false">B24-1</f>
        <v>1</v>
      </c>
      <c r="F24" s="18" t="str">
        <f aca="false">IF(D24="","",IF(D24&gt;0,"sim","não"))</f>
        <v>não</v>
      </c>
    </row>
    <row r="25" customFormat="false" ht="15" hidden="false" customHeight="false" outlineLevel="0" collapsed="false">
      <c r="B25" s="21" t="n">
        <v>2.5</v>
      </c>
      <c r="C25" s="20" t="n">
        <f aca="false">$C$7</f>
        <v>0.275611929670436</v>
      </c>
      <c r="D25" s="20" t="n">
        <f aca="false">IFERROR($C$7*B25-1,"")</f>
        <v>-0.31097017582391</v>
      </c>
      <c r="E25" s="21" t="n">
        <f aca="false">B25-1</f>
        <v>1.5</v>
      </c>
      <c r="F25" s="18" t="str">
        <f aca="false">IF(D25="","",IF(D25&gt;0,"sim","não"))</f>
        <v>não</v>
      </c>
    </row>
    <row r="26" customFormat="false" ht="15" hidden="false" customHeight="false" outlineLevel="0" collapsed="false">
      <c r="B26" s="21" t="n">
        <v>3</v>
      </c>
      <c r="C26" s="20" t="n">
        <f aca="false">$C$7</f>
        <v>0.275611929670436</v>
      </c>
      <c r="D26" s="20" t="n">
        <f aca="false">IFERROR($C$7*B26-1,"")</f>
        <v>-0.173164210988692</v>
      </c>
      <c r="E26" s="21" t="n">
        <f aca="false">B26-1</f>
        <v>2</v>
      </c>
      <c r="F26" s="18" t="str">
        <f aca="false">IF(D26="","",IF(D26&gt;0,"sim","não"))</f>
        <v>não</v>
      </c>
    </row>
    <row r="27" customFormat="false" ht="15" hidden="false" customHeight="false" outlineLevel="0" collapsed="false">
      <c r="B27" s="21" t="n">
        <v>4</v>
      </c>
      <c r="C27" s="20" t="n">
        <f aca="false">$C$7</f>
        <v>0.275611929670436</v>
      </c>
      <c r="D27" s="20" t="n">
        <f aca="false">IFERROR($C$7*B27-1,"")</f>
        <v>0.102447718681744</v>
      </c>
      <c r="E27" s="21" t="n">
        <f aca="false">B27-1</f>
        <v>3</v>
      </c>
      <c r="F27" s="18" t="str">
        <f aca="false">IF(D27="","",IF(D27&gt;0,"sim","não"))</f>
        <v>sim</v>
      </c>
    </row>
    <row r="28" customFormat="false" ht="15" hidden="false" customHeight="false" outlineLevel="0" collapsed="false">
      <c r="B28" s="21" t="n">
        <v>5</v>
      </c>
      <c r="C28" s="20" t="n">
        <f aca="false">$C$7</f>
        <v>0.275611929670436</v>
      </c>
      <c r="D28" s="20" t="n">
        <f aca="false">IFERROR($C$7*B28-1,"")</f>
        <v>0.37805964835218</v>
      </c>
      <c r="E28" s="21" t="n">
        <f aca="false">B28-1</f>
        <v>4</v>
      </c>
      <c r="F28" s="18" t="str">
        <f aca="false">IF(D28="","",IF(D28&gt;0,"sim","não"))</f>
        <v>sim</v>
      </c>
    </row>
    <row r="29" customFormat="false" ht="15" hidden="false" customHeight="false" outlineLevel="0" collapsed="false">
      <c r="B29" s="21" t="n">
        <v>7</v>
      </c>
      <c r="C29" s="20" t="n">
        <f aca="false">$C$7</f>
        <v>0.275611929670436</v>
      </c>
      <c r="D29" s="20" t="n">
        <f aca="false">IFERROR($C$7*B29-1,"")</f>
        <v>0.929283507693053</v>
      </c>
      <c r="E29" s="21" t="n">
        <f aca="false">B29-1</f>
        <v>6</v>
      </c>
      <c r="F29" s="18" t="str">
        <f aca="false">IF(D29="","",IF(D29&gt;0,"sim","não"))</f>
        <v>sim</v>
      </c>
    </row>
    <row r="30" customFormat="false" ht="15" hidden="false" customHeight="false" outlineLevel="0" collapsed="false">
      <c r="B30" s="21" t="n">
        <v>10</v>
      </c>
      <c r="C30" s="20" t="n">
        <f aca="false">$C$7</f>
        <v>0.275611929670436</v>
      </c>
      <c r="D30" s="20" t="n">
        <f aca="false">IFERROR($C$7*B30-1,"")</f>
        <v>1.75611929670436</v>
      </c>
      <c r="E30" s="21" t="n">
        <f aca="false">B30-1</f>
        <v>9</v>
      </c>
      <c r="F30" s="18" t="str">
        <f aca="false">IF(D30="","",IF(D30&gt;0,"sim","não"))</f>
        <v>sim</v>
      </c>
    </row>
    <row r="32" customFormat="false" ht="15" hidden="false" customHeight="false" outlineLevel="0" collapsed="false">
      <c r="B32" s="30" t="s">
        <v>285</v>
      </c>
      <c r="C32" s="30"/>
      <c r="D32" s="30"/>
      <c r="E32" s="30"/>
      <c r="F32" s="30"/>
      <c r="G32" s="30"/>
      <c r="H32" s="30"/>
    </row>
  </sheetData>
  <mergeCells count="1">
    <mergeCell ref="B32:H32"/>
  </mergeCells>
  <conditionalFormatting sqref="C10">
    <cfRule type="cellIs" priority="2" operator="greaterThan" aboveAverage="0" equalAverage="0" bottom="0" percent="0" rank="0" text="" dxfId="78">
      <formula>0</formula>
    </cfRule>
    <cfRule type="cellIs" priority="3" operator="lessThanOrEqual" aboveAverage="0" equalAverage="0" bottom="0" percent="0" rank="0" text="" dxfId="79">
      <formula>0</formula>
    </cfRule>
  </conditionalFormatting>
  <conditionalFormatting sqref="D21:D30">
    <cfRule type="cellIs" priority="4" operator="greaterThan" aboveAverage="0" equalAverage="0" bottom="0" percent="0" rank="0" text="" dxfId="80">
      <formula>0</formula>
    </cfRule>
    <cfRule type="cellIs" priority="5" operator="lessThanOrEqual" aboveAverage="0" equalAverage="0" bottom="0" percent="0" rank="0" text="" dxfId="81">
      <formula>0</formula>
    </cfRule>
  </conditionalFormatting>
  <dataValidations count="2">
    <dataValidation allowBlank="false" errorStyle="stop" operator="between" showDropDown="false" showErrorMessage="false" showInputMessage="false" sqref="C5" type="list">
      <formula1>Lista_Partidas</formula1>
      <formula2>0</formula2>
    </dataValidation>
    <dataValidation allowBlank="false" errorStyle="stop" operator="between" showDropDown="false" showErrorMessage="false" showInputMessage="false" sqref="C6" type="list">
      <formula1>Lista_Mercados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58"/>
  </cols>
  <sheetData>
    <row r="1" customFormat="false" ht="19.7" hidden="false" customHeight="false" outlineLevel="0" collapsed="false">
      <c r="A1" s="1" t="s">
        <v>286</v>
      </c>
    </row>
    <row r="2" customFormat="false" ht="15" hidden="false" customHeight="false" outlineLevel="0" collapsed="false">
      <c r="A2" s="15" t="s">
        <v>287</v>
      </c>
      <c r="B2" s="15"/>
      <c r="C2" s="15"/>
      <c r="D2" s="15"/>
      <c r="E2" s="15"/>
      <c r="F2" s="15"/>
      <c r="G2" s="15"/>
    </row>
    <row r="4" customFormat="false" ht="33.75" hidden="false" customHeight="true" outlineLevel="0" collapsed="false">
      <c r="A4" s="16" t="s">
        <v>269</v>
      </c>
      <c r="B4" s="16" t="s">
        <v>288</v>
      </c>
      <c r="C4" s="16" t="s">
        <v>289</v>
      </c>
      <c r="D4" s="16" t="s">
        <v>290</v>
      </c>
      <c r="E4" s="16" t="s">
        <v>291</v>
      </c>
      <c r="F4" s="16" t="s">
        <v>292</v>
      </c>
      <c r="G4" s="16" t="s">
        <v>293</v>
      </c>
    </row>
    <row r="5" customFormat="false" ht="15" hidden="false" customHeight="false" outlineLevel="0" collapsed="false">
      <c r="A5" s="18" t="s">
        <v>294</v>
      </c>
      <c r="B5" s="20" t="n">
        <v>0.48846908734053</v>
      </c>
      <c r="C5" s="20" t="n">
        <v>0.48846908734053</v>
      </c>
      <c r="D5" s="31" t="n">
        <v>0</v>
      </c>
      <c r="E5" s="18" t="n">
        <v>4076</v>
      </c>
      <c r="F5" s="18" t="s">
        <v>295</v>
      </c>
      <c r="G5" s="32" t="s">
        <v>296</v>
      </c>
    </row>
    <row r="6" customFormat="false" ht="15" hidden="false" customHeight="false" outlineLevel="0" collapsed="false">
      <c r="A6" s="18" t="s">
        <v>143</v>
      </c>
      <c r="B6" s="20" t="n">
        <v>0.476901388052403</v>
      </c>
      <c r="C6" s="20" t="n">
        <v>0.477674190382728</v>
      </c>
      <c r="D6" s="31" t="n">
        <v>-0.0772802330325562</v>
      </c>
      <c r="E6" s="18" t="n">
        <v>4076</v>
      </c>
      <c r="F6" s="18" t="s">
        <v>295</v>
      </c>
      <c r="G6" s="32"/>
    </row>
    <row r="7" customFormat="false" ht="15" hidden="false" customHeight="false" outlineLevel="0" collapsed="false">
      <c r="A7" s="18" t="s">
        <v>55</v>
      </c>
      <c r="B7" s="20" t="n">
        <v>0.259845065727668</v>
      </c>
      <c r="C7" s="20" t="n">
        <v>0.272080471050049</v>
      </c>
      <c r="D7" s="31" t="n">
        <v>-1.22354053223814</v>
      </c>
      <c r="E7" s="18" t="n">
        <v>4076</v>
      </c>
      <c r="F7" s="18" t="s">
        <v>295</v>
      </c>
      <c r="G7" s="32"/>
    </row>
    <row r="8" customFormat="false" ht="15" hidden="false" customHeight="false" outlineLevel="0" collapsed="false">
      <c r="A8" s="18" t="s">
        <v>144</v>
      </c>
      <c r="B8" s="20" t="n">
        <v>0.26325354621993</v>
      </c>
      <c r="C8" s="20" t="n">
        <v>0.250245338567223</v>
      </c>
      <c r="D8" s="31" t="n">
        <v>1.30082076527068</v>
      </c>
      <c r="E8" s="18" t="n">
        <v>4076</v>
      </c>
      <c r="F8" s="18" t="s">
        <v>295</v>
      </c>
      <c r="G8" s="32"/>
    </row>
    <row r="9" customFormat="false" ht="15" hidden="false" customHeight="false" outlineLevel="0" collapsed="false">
      <c r="A9" s="18" t="s">
        <v>297</v>
      </c>
      <c r="B9" s="20" t="n">
        <v>0.904624396601161</v>
      </c>
      <c r="C9" s="20" t="n">
        <v>0.918547595682041</v>
      </c>
      <c r="D9" s="31" t="n">
        <v>-1.39231990808807</v>
      </c>
      <c r="E9" s="18" t="n">
        <v>4076</v>
      </c>
      <c r="F9" s="18" t="s">
        <v>295</v>
      </c>
      <c r="G9" s="32"/>
    </row>
    <row r="10" customFormat="false" ht="15" hidden="false" customHeight="false" outlineLevel="0" collapsed="false">
      <c r="A10" s="18" t="s">
        <v>101</v>
      </c>
      <c r="B10" s="20" t="n">
        <v>0.676290487757895</v>
      </c>
      <c r="C10" s="20" t="n">
        <v>0.694308145240432</v>
      </c>
      <c r="D10" s="31" t="n">
        <v>-1.80176574825371</v>
      </c>
      <c r="E10" s="18" t="n">
        <v>4076</v>
      </c>
      <c r="F10" s="18" t="s">
        <v>295</v>
      </c>
      <c r="G10" s="32"/>
    </row>
    <row r="11" customFormat="false" ht="15" hidden="false" customHeight="false" outlineLevel="0" collapsed="false">
      <c r="A11" s="18" t="s">
        <v>149</v>
      </c>
      <c r="B11" s="20" t="n">
        <v>0.419656646713428</v>
      </c>
      <c r="C11" s="20" t="n">
        <v>0.435721295387635</v>
      </c>
      <c r="D11" s="31" t="n">
        <v>-1.60646486742065</v>
      </c>
      <c r="E11" s="18" t="n">
        <v>4076</v>
      </c>
      <c r="F11" s="18" t="s">
        <v>295</v>
      </c>
      <c r="G11" s="32"/>
    </row>
    <row r="12" customFormat="false" ht="15" hidden="false" customHeight="false" outlineLevel="0" collapsed="false">
      <c r="A12" s="18" t="s">
        <v>150</v>
      </c>
      <c r="B12" s="20" t="n">
        <v>0.216453967525338</v>
      </c>
      <c r="C12" s="20" t="n">
        <v>0.210745829244357</v>
      </c>
      <c r="D12" s="31" t="n">
        <v>0.570813828098049</v>
      </c>
      <c r="E12" s="18" t="n">
        <v>4076</v>
      </c>
      <c r="F12" s="18" t="s">
        <v>295</v>
      </c>
      <c r="G12" s="32"/>
    </row>
    <row r="13" customFormat="false" ht="15" hidden="false" customHeight="false" outlineLevel="0" collapsed="false">
      <c r="A13" s="18" t="s">
        <v>298</v>
      </c>
      <c r="B13" s="20" t="n">
        <v>0.0951583506669489</v>
      </c>
      <c r="C13" s="20" t="n">
        <v>0.0902845927379784</v>
      </c>
      <c r="D13" s="31" t="n">
        <v>0.487375792897044</v>
      </c>
      <c r="E13" s="18" t="n">
        <v>4076</v>
      </c>
      <c r="F13" s="18" t="s">
        <v>295</v>
      </c>
      <c r="G13" s="32"/>
    </row>
    <row r="14" customFormat="false" ht="15" hidden="false" customHeight="false" outlineLevel="0" collapsed="false">
      <c r="A14" s="18" t="s">
        <v>299</v>
      </c>
      <c r="B14" s="20" t="n">
        <v>0.323709512242105</v>
      </c>
      <c r="C14" s="20" t="n">
        <v>0.305691854759568</v>
      </c>
      <c r="D14" s="31" t="n">
        <v>1.8017657482537</v>
      </c>
      <c r="E14" s="18" t="n">
        <v>4076</v>
      </c>
      <c r="F14" s="18" t="s">
        <v>295</v>
      </c>
      <c r="G14" s="32"/>
    </row>
    <row r="15" customFormat="false" ht="15" hidden="false" customHeight="false" outlineLevel="0" collapsed="false">
      <c r="A15" s="18" t="s">
        <v>300</v>
      </c>
      <c r="B15" s="20" t="n">
        <v>0.580343353286572</v>
      </c>
      <c r="C15" s="20" t="n">
        <v>0.564278704612365</v>
      </c>
      <c r="D15" s="31" t="n">
        <v>1.60646486742065</v>
      </c>
      <c r="E15" s="18" t="n">
        <v>4076</v>
      </c>
      <c r="F15" s="18" t="s">
        <v>295</v>
      </c>
      <c r="G15" s="32"/>
    </row>
    <row r="16" customFormat="false" ht="15" hidden="false" customHeight="false" outlineLevel="0" collapsed="false">
      <c r="A16" s="18" t="s">
        <v>301</v>
      </c>
      <c r="B16" s="20" t="n">
        <v>0.783546032474662</v>
      </c>
      <c r="C16" s="20" t="n">
        <v>0.789254170755643</v>
      </c>
      <c r="D16" s="31" t="n">
        <v>-0.570813828098038</v>
      </c>
      <c r="E16" s="18" t="n">
        <v>4076</v>
      </c>
      <c r="F16" s="18" t="s">
        <v>295</v>
      </c>
      <c r="G16" s="32"/>
    </row>
    <row r="17" customFormat="false" ht="15" hidden="false" customHeight="false" outlineLevel="0" collapsed="false">
      <c r="A17" s="18" t="s">
        <v>154</v>
      </c>
      <c r="B17" s="20" t="n">
        <v>0.484967749887732</v>
      </c>
      <c r="C17" s="20" t="n">
        <v>0.482826300294406</v>
      </c>
      <c r="D17" s="31" t="n">
        <v>0.214144959332596</v>
      </c>
      <c r="E17" s="18" t="n">
        <v>4076</v>
      </c>
      <c r="F17" s="18" t="s">
        <v>295</v>
      </c>
      <c r="G17" s="32"/>
    </row>
    <row r="18" customFormat="false" ht="15" hidden="false" customHeight="false" outlineLevel="0" collapsed="false">
      <c r="A18" s="18" t="s">
        <v>155</v>
      </c>
      <c r="B18" s="20" t="n">
        <v>0.688170429075823</v>
      </c>
      <c r="C18" s="20" t="n">
        <v>0.707801766437684</v>
      </c>
      <c r="D18" s="31" t="n">
        <v>-1.96313373618611</v>
      </c>
      <c r="E18" s="18" t="n">
        <v>4076</v>
      </c>
      <c r="F18" s="18" t="s">
        <v>295</v>
      </c>
      <c r="G18" s="32"/>
    </row>
    <row r="19" customFormat="false" ht="15" hidden="false" customHeight="false" outlineLevel="0" collapsed="false">
      <c r="A19" s="18" t="s">
        <v>76</v>
      </c>
      <c r="B19" s="20" t="n">
        <v>0.809466045934212</v>
      </c>
      <c r="C19" s="20" t="n">
        <v>0.828263002944063</v>
      </c>
      <c r="D19" s="31" t="n">
        <v>-1.87969570098511</v>
      </c>
      <c r="E19" s="18" t="n">
        <v>4076</v>
      </c>
      <c r="F19" s="18" t="s">
        <v>295</v>
      </c>
      <c r="G19" s="32"/>
    </row>
    <row r="20" customFormat="false" ht="15" hidden="false" customHeight="false" outlineLevel="0" collapsed="false">
      <c r="A20" s="18" t="s">
        <v>156</v>
      </c>
      <c r="B20" s="20" t="n">
        <v>0.459836520232557</v>
      </c>
      <c r="C20" s="20" t="n">
        <v>0.483562315996075</v>
      </c>
      <c r="D20" s="31" t="n">
        <v>-2.37257957635175</v>
      </c>
      <c r="E20" s="18" t="n">
        <v>4076</v>
      </c>
      <c r="F20" s="18" t="s">
        <v>295</v>
      </c>
      <c r="G20" s="32"/>
    </row>
    <row r="21" customFormat="false" ht="15" hidden="false" customHeight="false" outlineLevel="0" collapsed="false">
      <c r="A21" s="18" t="s">
        <v>157</v>
      </c>
      <c r="B21" s="20" t="n">
        <v>0.581132137090946</v>
      </c>
      <c r="C21" s="20" t="n">
        <v>0.604023552502453</v>
      </c>
      <c r="D21" s="31" t="n">
        <v>-2.28914154115075</v>
      </c>
      <c r="E21" s="18" t="n">
        <v>4076</v>
      </c>
      <c r="F21" s="18" t="s">
        <v>295</v>
      </c>
      <c r="G21" s="32"/>
    </row>
    <row r="22" customFormat="false" ht="15" hidden="false" customHeight="false" outlineLevel="0" collapsed="false">
      <c r="A22" s="18" t="s">
        <v>302</v>
      </c>
      <c r="B22" s="20" t="n">
        <v>0.639901051626115</v>
      </c>
      <c r="C22" s="20" t="n">
        <v>0.657507360157017</v>
      </c>
      <c r="D22" s="31" t="n">
        <v>-1.7606308530902</v>
      </c>
      <c r="E22" s="18" t="n">
        <v>4076</v>
      </c>
      <c r="F22" s="18" t="s">
        <v>295</v>
      </c>
      <c r="G22" s="32"/>
    </row>
    <row r="23" customFormat="false" ht="15" hidden="false" customHeight="false" outlineLevel="0" collapsed="false">
      <c r="A23" s="18" t="s">
        <v>303</v>
      </c>
      <c r="B23" s="20" t="n">
        <v>0.32449829604648</v>
      </c>
      <c r="C23" s="20" t="n">
        <v>0.345436702649657</v>
      </c>
      <c r="D23" s="31" t="n">
        <v>-2.0938406603177</v>
      </c>
      <c r="E23" s="18" t="n">
        <v>4076</v>
      </c>
      <c r="F23" s="18" t="s">
        <v>295</v>
      </c>
      <c r="G23" s="32"/>
    </row>
    <row r="24" customFormat="false" ht="15" hidden="false" customHeight="false" outlineLevel="0" collapsed="false">
      <c r="A24" s="18" t="s">
        <v>304</v>
      </c>
      <c r="B24" s="20" t="n">
        <v>0.383267210581648</v>
      </c>
      <c r="C24" s="20" t="n">
        <v>0.39892051030422</v>
      </c>
      <c r="D24" s="31" t="n">
        <v>-1.56532997225714</v>
      </c>
      <c r="E24" s="18" t="n">
        <v>4076</v>
      </c>
      <c r="F24" s="18" t="s">
        <v>295</v>
      </c>
      <c r="G24" s="32"/>
    </row>
    <row r="25" customFormat="false" ht="15" hidden="false" customHeight="false" outlineLevel="0" collapsed="false">
      <c r="A25" s="18" t="s">
        <v>305</v>
      </c>
      <c r="B25" s="20" t="n">
        <v>0.407339808888171</v>
      </c>
      <c r="C25" s="20" t="n">
        <v>0.422718351324828</v>
      </c>
      <c r="D25" s="31" t="n">
        <v>-1.53785424366569</v>
      </c>
      <c r="E25" s="18" t="n">
        <v>4076</v>
      </c>
      <c r="F25" s="18" t="s">
        <v>295</v>
      </c>
      <c r="G25" s="32"/>
    </row>
    <row r="26" customFormat="false" ht="15" hidden="false" customHeight="false" outlineLevel="0" collapsed="false">
      <c r="A26" s="18" t="s">
        <v>29</v>
      </c>
      <c r="B26" s="20" t="n">
        <v>0.445798178681216</v>
      </c>
      <c r="C26" s="20" t="n">
        <v>0.487487733071639</v>
      </c>
      <c r="D26" s="31" t="n">
        <v>-4.16895543904226</v>
      </c>
      <c r="E26" s="18" t="n">
        <v>4076</v>
      </c>
      <c r="F26" s="18" t="s">
        <v>306</v>
      </c>
      <c r="G26" s="32" t="s">
        <v>307</v>
      </c>
    </row>
    <row r="27" customFormat="false" ht="15" hidden="false" customHeight="false" outlineLevel="0" collapsed="false">
      <c r="A27" s="18" t="s">
        <v>308</v>
      </c>
      <c r="B27" s="20" t="n">
        <v>0.784592804101106</v>
      </c>
      <c r="C27" s="20" t="n">
        <v>0.803074806937386</v>
      </c>
      <c r="D27" s="31" t="n">
        <v>-1.84820028362798</v>
      </c>
      <c r="E27" s="18" t="n">
        <v>1876</v>
      </c>
      <c r="F27" s="18" t="s">
        <v>309</v>
      </c>
      <c r="G27" s="32" t="s">
        <v>310</v>
      </c>
    </row>
    <row r="28" customFormat="false" ht="15" hidden="false" customHeight="false" outlineLevel="0" collapsed="false">
      <c r="A28" s="18" t="s">
        <v>158</v>
      </c>
      <c r="B28" s="20" t="n">
        <v>0.685782052297353</v>
      </c>
      <c r="C28" s="20" t="n">
        <v>0.700190365165408</v>
      </c>
      <c r="D28" s="31" t="n">
        <v>-1.44083128680549</v>
      </c>
      <c r="E28" s="18" t="n">
        <v>1876</v>
      </c>
      <c r="F28" s="18" t="s">
        <v>309</v>
      </c>
      <c r="G28" s="32" t="s">
        <v>311</v>
      </c>
    </row>
    <row r="29" customFormat="false" ht="15" hidden="false" customHeight="false" outlineLevel="0" collapsed="false">
      <c r="A29" s="18" t="s">
        <v>159</v>
      </c>
      <c r="B29" s="20" t="n">
        <v>0.576801891800707</v>
      </c>
      <c r="C29" s="20" t="n">
        <v>0.577279036176355</v>
      </c>
      <c r="D29" s="31" t="n">
        <v>-0.0477144375647387</v>
      </c>
      <c r="E29" s="18" t="n">
        <v>1876</v>
      </c>
      <c r="F29" s="18" t="s">
        <v>309</v>
      </c>
      <c r="G29" s="32" t="s">
        <v>312</v>
      </c>
    </row>
    <row r="30" customFormat="false" ht="15" hidden="false" customHeight="false" outlineLevel="0" collapsed="false">
      <c r="A30" s="18" t="s">
        <v>160</v>
      </c>
      <c r="B30" s="20" t="n">
        <v>0.466293832356679</v>
      </c>
      <c r="C30" s="20" t="n">
        <v>0.464398152216419</v>
      </c>
      <c r="D30" s="31" t="n">
        <v>0.189568014026037</v>
      </c>
      <c r="E30" s="18" t="n">
        <v>1876</v>
      </c>
      <c r="F30" s="18" t="s">
        <v>309</v>
      </c>
      <c r="G30" s="32" t="s">
        <v>313</v>
      </c>
    </row>
    <row r="31" customFormat="false" ht="15" hidden="false" customHeight="false" outlineLevel="0" collapsed="false">
      <c r="A31" s="18" t="s">
        <v>314</v>
      </c>
      <c r="B31" s="20" t="n">
        <v>0.362274418813637</v>
      </c>
      <c r="C31" s="20" t="n">
        <v>0.357265466311144</v>
      </c>
      <c r="D31" s="31" t="n">
        <v>0.500895250249245</v>
      </c>
      <c r="E31" s="18" t="n">
        <v>1876</v>
      </c>
      <c r="F31" s="18" t="s">
        <v>309</v>
      </c>
      <c r="G31" s="32" t="s">
        <v>315</v>
      </c>
    </row>
    <row r="32" customFormat="false" ht="15" hidden="false" customHeight="false" outlineLevel="0" collapsed="false">
      <c r="A32" s="18" t="s">
        <v>316</v>
      </c>
      <c r="B32" s="20" t="n">
        <v>0.270667301094166</v>
      </c>
      <c r="C32" s="20" t="n">
        <v>0.26801048451574</v>
      </c>
      <c r="D32" s="31" t="n">
        <v>0.265681657842543</v>
      </c>
      <c r="E32" s="18" t="n">
        <v>1876</v>
      </c>
      <c r="F32" s="18" t="s">
        <v>309</v>
      </c>
      <c r="G32" s="32" t="s">
        <v>315</v>
      </c>
    </row>
    <row r="33" customFormat="false" ht="15" hidden="false" customHeight="false" outlineLevel="0" collapsed="false">
      <c r="A33" s="18" t="s">
        <v>317</v>
      </c>
      <c r="B33" s="20" t="n">
        <v>0.83927506453664</v>
      </c>
      <c r="C33" s="20" t="n">
        <v>0.848083858429786</v>
      </c>
      <c r="D33" s="31" t="n">
        <v>-0.880879389314626</v>
      </c>
      <c r="E33" s="18" t="n">
        <v>1876</v>
      </c>
      <c r="F33" s="18" t="s">
        <v>309</v>
      </c>
      <c r="G33" s="32" t="s">
        <v>318</v>
      </c>
    </row>
    <row r="34" customFormat="false" ht="15" hidden="false" customHeight="false" outlineLevel="0" collapsed="false">
      <c r="A34" s="18" t="s">
        <v>161</v>
      </c>
      <c r="B34" s="20" t="n">
        <v>0.686289297711042</v>
      </c>
      <c r="C34" s="20" t="n">
        <v>0.699776586291871</v>
      </c>
      <c r="D34" s="31" t="n">
        <v>-1.34872885808285</v>
      </c>
      <c r="E34" s="18" t="n">
        <v>1876</v>
      </c>
      <c r="F34" s="18" t="s">
        <v>309</v>
      </c>
      <c r="G34" s="32" t="s">
        <v>319</v>
      </c>
    </row>
    <row r="35" customFormat="false" ht="15" hidden="false" customHeight="false" outlineLevel="0" collapsed="false">
      <c r="A35" s="18" t="s">
        <v>162</v>
      </c>
      <c r="B35" s="20" t="n">
        <v>0.511023557239822</v>
      </c>
      <c r="C35" s="20" t="n">
        <v>0.54228984677773</v>
      </c>
      <c r="D35" s="31" t="n">
        <v>-3.12662895379078</v>
      </c>
      <c r="E35" s="18" t="n">
        <v>1876</v>
      </c>
      <c r="F35" s="18" t="s">
        <v>309</v>
      </c>
      <c r="G35" s="32" t="s">
        <v>320</v>
      </c>
    </row>
    <row r="36" customFormat="false" ht="15" hidden="false" customHeight="false" outlineLevel="0" collapsed="false">
      <c r="A36" s="18" t="s">
        <v>163</v>
      </c>
      <c r="B36" s="20" t="n">
        <v>0.346573656196817</v>
      </c>
      <c r="C36" s="20" t="n">
        <v>0.374026041681186</v>
      </c>
      <c r="D36" s="31" t="n">
        <v>-2.74523854843694</v>
      </c>
      <c r="E36" s="18" t="n">
        <v>1876</v>
      </c>
      <c r="F36" s="18" t="s">
        <v>309</v>
      </c>
      <c r="G36" s="32" t="s">
        <v>321</v>
      </c>
    </row>
    <row r="37" customFormat="false" ht="15" hidden="false" customHeight="false" outlineLevel="0" collapsed="false">
      <c r="A37" s="18" t="s">
        <v>322</v>
      </c>
      <c r="B37" s="20" t="n">
        <v>0.215021709787195</v>
      </c>
      <c r="C37" s="20" t="n">
        <v>0.230009145023344</v>
      </c>
      <c r="D37" s="31" t="n">
        <v>-1.49874352361487</v>
      </c>
      <c r="E37" s="18" t="n">
        <v>1876</v>
      </c>
      <c r="F37" s="18" t="s">
        <v>309</v>
      </c>
      <c r="G37" s="32" t="s">
        <v>323</v>
      </c>
    </row>
  </sheetData>
  <autoFilter ref="A4:G37"/>
  <mergeCells count="1">
    <mergeCell ref="A2:G2"/>
  </mergeCells>
  <conditionalFormatting sqref="D5:D37">
    <cfRule type="cellIs" priority="2" operator="lessThan" aboveAverage="0" equalAverage="0" bottom="0" percent="0" rank="0" text="" dxfId="81">
      <formula>-3</formula>
    </cfRule>
  </conditionalFormatting>
  <conditionalFormatting sqref="F5:F37">
    <cfRule type="cellIs" priority="3" operator="equal" aboveAverage="0" equalAverage="0" bottom="0" percent="0" rank="0" text="" dxfId="84">
      <formula>"Baixa"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5" min="4" style="0" width="14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26"/>
  </cols>
  <sheetData>
    <row r="1" customFormat="false" ht="19.7" hidden="false" customHeight="false" outlineLevel="0" collapsed="false">
      <c r="A1" s="1" t="s">
        <v>324</v>
      </c>
    </row>
    <row r="2" customFormat="false" ht="15" hidden="false" customHeight="false" outlineLevel="0" collapsed="false">
      <c r="A2" s="15" t="s">
        <v>325</v>
      </c>
      <c r="B2" s="15"/>
      <c r="C2" s="15"/>
      <c r="D2" s="15"/>
      <c r="E2" s="15"/>
      <c r="F2" s="15"/>
      <c r="G2" s="15"/>
      <c r="H2" s="15"/>
      <c r="I2" s="15"/>
    </row>
    <row r="4" customFormat="false" ht="33.75" hidden="false" customHeight="true" outlineLevel="0" collapsed="false">
      <c r="A4" s="16" t="s">
        <v>326</v>
      </c>
      <c r="B4" s="16" t="s">
        <v>327</v>
      </c>
      <c r="C4" s="16" t="s">
        <v>328</v>
      </c>
      <c r="D4" s="16" t="s">
        <v>329</v>
      </c>
      <c r="E4" s="16" t="s">
        <v>330</v>
      </c>
      <c r="F4" s="16" t="s">
        <v>331</v>
      </c>
      <c r="G4" s="16" t="s">
        <v>332</v>
      </c>
      <c r="H4" s="16" t="s">
        <v>333</v>
      </c>
      <c r="I4" s="16" t="s">
        <v>334</v>
      </c>
    </row>
    <row r="5" customFormat="false" ht="15" hidden="false" customHeight="false" outlineLevel="0" collapsed="false">
      <c r="A5" s="18" t="s">
        <v>89</v>
      </c>
      <c r="B5" s="18" t="n">
        <v>1</v>
      </c>
      <c r="C5" s="18" t="n">
        <v>60</v>
      </c>
      <c r="D5" s="21" t="n">
        <v>1.67516206028153</v>
      </c>
      <c r="E5" s="21" t="n">
        <v>0.632671170955452</v>
      </c>
      <c r="F5" s="21" t="n">
        <v>1.15252857463355</v>
      </c>
      <c r="G5" s="21" t="n">
        <v>0.878742468520343</v>
      </c>
      <c r="H5" s="21" t="n">
        <v>0.918420002924521</v>
      </c>
      <c r="I5" s="18" t="s">
        <v>335</v>
      </c>
    </row>
    <row r="6" customFormat="false" ht="15" hidden="false" customHeight="false" outlineLevel="0" collapsed="false">
      <c r="A6" s="18" t="s">
        <v>77</v>
      </c>
      <c r="B6" s="18" t="n">
        <v>2</v>
      </c>
      <c r="C6" s="18" t="n">
        <v>57</v>
      </c>
      <c r="D6" s="21" t="n">
        <v>1.54028320201727</v>
      </c>
      <c r="E6" s="21" t="n">
        <v>0.574836028703949</v>
      </c>
      <c r="F6" s="21" t="n">
        <v>1.2709046702082</v>
      </c>
      <c r="G6" s="21" t="n">
        <v>0.733033348049633</v>
      </c>
      <c r="H6" s="21" t="n">
        <v>0.900450208313479</v>
      </c>
      <c r="I6" s="18" t="s">
        <v>335</v>
      </c>
    </row>
    <row r="7" customFormat="false" ht="15" hidden="false" customHeight="false" outlineLevel="0" collapsed="false">
      <c r="A7" s="18" t="s">
        <v>73</v>
      </c>
      <c r="B7" s="18" t="n">
        <v>3</v>
      </c>
      <c r="C7" s="18" t="n">
        <v>49</v>
      </c>
      <c r="D7" s="21" t="n">
        <v>1.20481342873028</v>
      </c>
      <c r="E7" s="21" t="n">
        <v>0.760073500963766</v>
      </c>
      <c r="F7" s="21" t="n">
        <v>1.07404941531575</v>
      </c>
      <c r="G7" s="21" t="n">
        <v>0.939454635038698</v>
      </c>
      <c r="H7" s="21" t="n">
        <v>1.00819238551379</v>
      </c>
      <c r="I7" s="18" t="s">
        <v>335</v>
      </c>
    </row>
    <row r="8" customFormat="false" ht="15" hidden="false" customHeight="false" outlineLevel="0" collapsed="false">
      <c r="A8" s="18" t="s">
        <v>94</v>
      </c>
      <c r="B8" s="18" t="n">
        <v>4</v>
      </c>
      <c r="C8" s="18" t="n">
        <v>48</v>
      </c>
      <c r="D8" s="21" t="n">
        <v>1.22251908530252</v>
      </c>
      <c r="E8" s="21" t="n">
        <v>0.742558431696304</v>
      </c>
      <c r="F8" s="21" t="n">
        <v>1.05373909325157</v>
      </c>
      <c r="G8" s="21" t="n">
        <v>0.935942820065098</v>
      </c>
      <c r="H8" s="21" t="n">
        <v>1.05591451948363</v>
      </c>
      <c r="I8" s="18" t="s">
        <v>335</v>
      </c>
    </row>
    <row r="9" customFormat="false" ht="15" hidden="false" customHeight="false" outlineLevel="0" collapsed="false">
      <c r="A9" s="18" t="s">
        <v>88</v>
      </c>
      <c r="B9" s="18" t="n">
        <v>5</v>
      </c>
      <c r="C9" s="18" t="n">
        <v>46</v>
      </c>
      <c r="D9" s="21" t="n">
        <v>1.25586945572413</v>
      </c>
      <c r="E9" s="21" t="n">
        <v>0.85135510495589</v>
      </c>
      <c r="F9" s="21" t="n">
        <v>1.07793360145093</v>
      </c>
      <c r="G9" s="21" t="n">
        <v>0.90785163815468</v>
      </c>
      <c r="H9" s="21" t="n">
        <v>0.963392581075608</v>
      </c>
      <c r="I9" s="18" t="s">
        <v>335</v>
      </c>
    </row>
    <row r="10" customFormat="false" ht="15" hidden="false" customHeight="false" outlineLevel="0" collapsed="false">
      <c r="A10" s="18" t="s">
        <v>86</v>
      </c>
      <c r="B10" s="18" t="n">
        <v>6</v>
      </c>
      <c r="C10" s="18" t="n">
        <v>45</v>
      </c>
      <c r="D10" s="21" t="n">
        <v>1.19939634206947</v>
      </c>
      <c r="E10" s="21" t="n">
        <v>0.695061172752625</v>
      </c>
      <c r="F10" s="21" t="n">
        <v>1.20772543221934</v>
      </c>
      <c r="G10" s="21" t="n">
        <v>0.792704164714767</v>
      </c>
      <c r="H10" s="21" t="n">
        <v>1.00998675817656</v>
      </c>
      <c r="I10" s="18" t="s">
        <v>335</v>
      </c>
    </row>
    <row r="11" customFormat="false" ht="15" hidden="false" customHeight="false" outlineLevel="0" collapsed="false">
      <c r="A11" s="18" t="s">
        <v>74</v>
      </c>
      <c r="B11" s="18" t="n">
        <v>7</v>
      </c>
      <c r="C11" s="18" t="n">
        <v>40</v>
      </c>
      <c r="D11" s="21" t="n">
        <v>1.23255040831818</v>
      </c>
      <c r="E11" s="21" t="n">
        <v>0.759942365155946</v>
      </c>
      <c r="F11" s="21" t="n">
        <v>1.10880590247492</v>
      </c>
      <c r="G11" s="21" t="n">
        <v>0.85176521125681</v>
      </c>
      <c r="H11" s="21" t="n">
        <v>0.994860195884908</v>
      </c>
      <c r="I11" s="18" t="s">
        <v>335</v>
      </c>
    </row>
    <row r="12" customFormat="false" ht="15" hidden="false" customHeight="false" outlineLevel="0" collapsed="false">
      <c r="A12" s="18" t="s">
        <v>87</v>
      </c>
      <c r="B12" s="18" t="n">
        <v>8</v>
      </c>
      <c r="C12" s="18" t="n">
        <v>38</v>
      </c>
      <c r="D12" s="21" t="n">
        <v>1.18747189975123</v>
      </c>
      <c r="E12" s="21" t="n">
        <v>0.876502478360577</v>
      </c>
      <c r="F12" s="21" t="n">
        <v>1.01337661595114</v>
      </c>
      <c r="G12" s="21" t="n">
        <v>1.00481842939229</v>
      </c>
      <c r="H12" s="21" t="n">
        <v>1.03933463179378</v>
      </c>
      <c r="I12" s="18" t="s">
        <v>335</v>
      </c>
    </row>
    <row r="13" customFormat="false" ht="15" hidden="false" customHeight="false" outlineLevel="0" collapsed="false">
      <c r="A13" s="18" t="s">
        <v>85</v>
      </c>
      <c r="B13" s="18" t="n">
        <v>9</v>
      </c>
      <c r="C13" s="18" t="n">
        <v>38</v>
      </c>
      <c r="D13" s="21" t="n">
        <v>1.09236520830918</v>
      </c>
      <c r="E13" s="21" t="n">
        <v>1.05801299902667</v>
      </c>
      <c r="F13" s="21" t="n">
        <v>0.91142449259438</v>
      </c>
      <c r="G13" s="21" t="n">
        <v>1.14402290201084</v>
      </c>
      <c r="H13" s="21" t="n">
        <v>1.17126336755599</v>
      </c>
      <c r="I13" s="18" t="s">
        <v>335</v>
      </c>
    </row>
    <row r="14" customFormat="false" ht="15" hidden="false" customHeight="false" outlineLevel="0" collapsed="false">
      <c r="A14" s="18" t="s">
        <v>83</v>
      </c>
      <c r="B14" s="18" t="n">
        <v>10</v>
      </c>
      <c r="C14" s="18" t="n">
        <v>36</v>
      </c>
      <c r="D14" s="21" t="n">
        <v>1.16927646583108</v>
      </c>
      <c r="E14" s="21" t="n">
        <v>0.833712979058762</v>
      </c>
      <c r="F14" s="21" t="n">
        <v>1.3038187789033</v>
      </c>
      <c r="G14" s="21" t="n">
        <v>0.995378283108723</v>
      </c>
      <c r="H14" s="21" t="n">
        <v>1.04202822425795</v>
      </c>
      <c r="I14" s="18" t="s">
        <v>335</v>
      </c>
    </row>
    <row r="15" customFormat="false" ht="15" hidden="false" customHeight="false" outlineLevel="0" collapsed="false">
      <c r="A15" s="18" t="s">
        <v>81</v>
      </c>
      <c r="B15" s="18" t="n">
        <v>11</v>
      </c>
      <c r="C15" s="18" t="n">
        <v>36</v>
      </c>
      <c r="D15" s="21" t="n">
        <v>1.13220569124886</v>
      </c>
      <c r="E15" s="21" t="n">
        <v>0.734200332963586</v>
      </c>
      <c r="F15" s="21" t="n">
        <v>1.10251352191962</v>
      </c>
      <c r="G15" s="21" t="n">
        <v>0.808190174619099</v>
      </c>
      <c r="H15" s="21" t="n">
        <v>1.04320608765068</v>
      </c>
      <c r="I15" s="18" t="s">
        <v>335</v>
      </c>
    </row>
    <row r="16" customFormat="false" ht="15" hidden="false" customHeight="false" outlineLevel="0" collapsed="false">
      <c r="A16" s="18" t="s">
        <v>91</v>
      </c>
      <c r="B16" s="18" t="n">
        <v>12</v>
      </c>
      <c r="C16" s="18" t="n">
        <v>35</v>
      </c>
      <c r="D16" s="21" t="n">
        <v>1.31687006978134</v>
      </c>
      <c r="E16" s="21" t="n">
        <v>0.763914122906379</v>
      </c>
      <c r="F16" s="21" t="n">
        <v>0.917834051841381</v>
      </c>
      <c r="G16" s="21" t="n">
        <v>0.97717137136881</v>
      </c>
      <c r="H16" s="21" t="n">
        <v>0.963046987704338</v>
      </c>
      <c r="I16" s="18" t="s">
        <v>335</v>
      </c>
    </row>
    <row r="17" customFormat="false" ht="15" hidden="false" customHeight="false" outlineLevel="0" collapsed="false">
      <c r="A17" s="18" t="s">
        <v>98</v>
      </c>
      <c r="B17" s="18" t="n">
        <v>13</v>
      </c>
      <c r="C17" s="18" t="n">
        <v>33</v>
      </c>
      <c r="D17" s="21" t="n">
        <v>0.98429880038011</v>
      </c>
      <c r="E17" s="21" t="n">
        <v>0.912501845048134</v>
      </c>
      <c r="F17" s="21" t="n">
        <v>0.956079393098752</v>
      </c>
      <c r="G17" s="21" t="n">
        <v>0.982550374385556</v>
      </c>
      <c r="H17" s="21" t="n">
        <v>1.13791466429369</v>
      </c>
      <c r="I17" s="18" t="s">
        <v>335</v>
      </c>
    </row>
    <row r="18" customFormat="false" ht="15" hidden="false" customHeight="false" outlineLevel="0" collapsed="false">
      <c r="A18" s="18" t="s">
        <v>84</v>
      </c>
      <c r="B18" s="18" t="n">
        <v>14</v>
      </c>
      <c r="C18" s="18" t="n">
        <v>32</v>
      </c>
      <c r="D18" s="21" t="n">
        <v>1.10141287983976</v>
      </c>
      <c r="E18" s="21" t="n">
        <v>0.752430533409899</v>
      </c>
      <c r="F18" s="21" t="n">
        <v>0.941612133591767</v>
      </c>
      <c r="G18" s="21" t="n">
        <v>1.02442438839062</v>
      </c>
      <c r="H18" s="21" t="n">
        <v>0.865501989810646</v>
      </c>
      <c r="I18" s="18" t="s">
        <v>335</v>
      </c>
    </row>
    <row r="19" customFormat="false" ht="15" hidden="false" customHeight="false" outlineLevel="0" collapsed="false">
      <c r="A19" s="18" t="s">
        <v>90</v>
      </c>
      <c r="B19" s="18" t="n">
        <v>15</v>
      </c>
      <c r="C19" s="18" t="n">
        <v>32</v>
      </c>
      <c r="D19" s="21" t="n">
        <v>1.33315184249246</v>
      </c>
      <c r="E19" s="21" t="n">
        <v>0.818183901266007</v>
      </c>
      <c r="F19" s="21" t="n">
        <v>1</v>
      </c>
      <c r="G19" s="21" t="n">
        <v>1</v>
      </c>
      <c r="H19" s="21" t="n">
        <v>1</v>
      </c>
      <c r="I19" s="18" t="s">
        <v>336</v>
      </c>
    </row>
    <row r="20" customFormat="false" ht="15" hidden="false" customHeight="false" outlineLevel="0" collapsed="false">
      <c r="A20" s="18" t="s">
        <v>82</v>
      </c>
      <c r="B20" s="18" t="n">
        <v>16</v>
      </c>
      <c r="C20" s="18" t="n">
        <v>31</v>
      </c>
      <c r="D20" s="21" t="n">
        <v>1.17449017113092</v>
      </c>
      <c r="E20" s="21" t="n">
        <v>0.963267778826995</v>
      </c>
      <c r="F20" s="21" t="n">
        <v>1.0288297050439</v>
      </c>
      <c r="G20" s="21" t="n">
        <v>0.950110795812306</v>
      </c>
      <c r="H20" s="21" t="n">
        <v>1.03208821515188</v>
      </c>
      <c r="I20" s="18" t="s">
        <v>335</v>
      </c>
    </row>
    <row r="21" customFormat="false" ht="15" hidden="false" customHeight="false" outlineLevel="0" collapsed="false">
      <c r="A21" s="18" t="s">
        <v>97</v>
      </c>
      <c r="B21" s="18" t="n">
        <v>17</v>
      </c>
      <c r="C21" s="18" t="n">
        <v>29</v>
      </c>
      <c r="D21" s="21" t="n">
        <v>1.19314201350346</v>
      </c>
      <c r="E21" s="21" t="n">
        <v>0.85530457821474</v>
      </c>
      <c r="F21" s="21" t="n">
        <v>1.09179470011878</v>
      </c>
      <c r="G21" s="21" t="n">
        <v>0.942226168867479</v>
      </c>
      <c r="H21" s="21" t="n">
        <v>1.00810963324539</v>
      </c>
      <c r="I21" s="18" t="s">
        <v>335</v>
      </c>
    </row>
    <row r="22" customFormat="false" ht="15" hidden="false" customHeight="false" outlineLevel="0" collapsed="false">
      <c r="A22" s="18" t="s">
        <v>99</v>
      </c>
      <c r="B22" s="18" t="n">
        <v>18</v>
      </c>
      <c r="C22" s="18" t="n">
        <v>28</v>
      </c>
      <c r="D22" s="21" t="n">
        <v>1.17062054311697</v>
      </c>
      <c r="E22" s="21" t="n">
        <v>0.779739716445254</v>
      </c>
      <c r="F22" s="21" t="n">
        <v>0.922973445733213</v>
      </c>
      <c r="G22" s="21" t="n">
        <v>0.951501774232323</v>
      </c>
      <c r="H22" s="21" t="n">
        <v>1.07368168730255</v>
      </c>
      <c r="I22" s="18" t="s">
        <v>335</v>
      </c>
    </row>
    <row r="23" customFormat="false" ht="15" hidden="false" customHeight="false" outlineLevel="0" collapsed="false">
      <c r="A23" s="18" t="s">
        <v>79</v>
      </c>
      <c r="B23" s="18" t="n">
        <v>19</v>
      </c>
      <c r="C23" s="18" t="n">
        <v>23</v>
      </c>
      <c r="D23" s="21" t="n">
        <v>1.08292247974894</v>
      </c>
      <c r="E23" s="21" t="n">
        <v>1.06574248558709</v>
      </c>
      <c r="F23" s="21" t="n">
        <v>1</v>
      </c>
      <c r="G23" s="21" t="n">
        <v>1</v>
      </c>
      <c r="H23" s="21" t="n">
        <v>1</v>
      </c>
      <c r="I23" s="18" t="s">
        <v>336</v>
      </c>
    </row>
    <row r="24" customFormat="false" ht="15" hidden="false" customHeight="false" outlineLevel="0" collapsed="false">
      <c r="A24" s="18" t="s">
        <v>92</v>
      </c>
      <c r="B24" s="18" t="n">
        <v>20</v>
      </c>
      <c r="C24" s="18" t="n">
        <v>18</v>
      </c>
      <c r="D24" s="21" t="n">
        <v>0.939026264955727</v>
      </c>
      <c r="E24" s="21" t="n">
        <v>1.15528498337749</v>
      </c>
      <c r="F24" s="21" t="n">
        <v>0.968458534609967</v>
      </c>
      <c r="G24" s="21" t="n">
        <v>1.09277478822935</v>
      </c>
      <c r="H24" s="21" t="n">
        <v>0.8345573010486</v>
      </c>
      <c r="I24" s="18" t="s">
        <v>335</v>
      </c>
    </row>
  </sheetData>
  <mergeCells count="1">
    <mergeCell ref="A2:I2"/>
  </mergeCells>
  <conditionalFormatting sqref="D5:D24">
    <cfRule type="colorScale" priority="2">
      <colorScale>
        <cfvo type="min" val="0"/>
        <cfvo type="max" val="0"/>
        <color rgb="FFFFFFFF"/>
        <color rgb="FFCDE2FB"/>
      </colorScale>
    </cfRule>
  </conditionalFormatting>
  <conditionalFormatting sqref="F5:F24">
    <cfRule type="colorScale" priority="3">
      <colorScale>
        <cfvo type="min" val="0"/>
        <cfvo type="max" val="0"/>
        <color rgb="FFFFFFFF"/>
        <color rgb="FFCDE2FB"/>
      </colorScale>
    </cfRule>
  </conditionalFormatting>
  <conditionalFormatting sqref="H5:H24">
    <cfRule type="colorScale" priority="4">
      <colorScale>
        <cfvo type="min" val="0"/>
        <cfvo type="max" val="0"/>
        <color rgb="FFFFFFFF"/>
        <color rgb="FFCDE2FB"/>
      </colorScale>
    </cfRule>
  </conditionalFormatting>
  <conditionalFormatting sqref="I5:I24">
    <cfRule type="cellIs" priority="5" operator="notEqual" aboveAverage="0" equalAverage="0" bottom="0" percent="0" rank="0" text="" dxfId="84">
      <formula>"sim"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2026-09-23T23:17:05Z</dcterms:created>
  <dc:creator>openpyxl</dc:creator>
  <dc:description/>
  <dc:language>en-US</dc:language>
  <cp:lastModifiedBy/>
  <dcterms:modified xsi:type="dcterms:W3CDTF">2026-09-23T23:17:05Z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